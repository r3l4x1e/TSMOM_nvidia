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teixeira/Downloads/"/>
    </mc:Choice>
  </mc:AlternateContent>
  <xr:revisionPtr revIDLastSave="0" documentId="8_{5C879C92-8DB3-B344-B1B0-6452E2810103}" xr6:coauthVersionLast="47" xr6:coauthVersionMax="47" xr10:uidLastSave="{00000000-0000-0000-0000-000000000000}"/>
  <bookViews>
    <workbookView xWindow="0" yWindow="0" windowWidth="28800" windowHeight="18000" activeTab="1" xr2:uid="{D8563FA2-C484-904F-B6F0-0AA9605F5ED8}"/>
  </bookViews>
  <sheets>
    <sheet name="NVIDIA_STOCK" sheetId="2" r:id="rId1"/>
    <sheet name="dados" sheetId="4" r:id="rId2"/>
    <sheet name="Formulas" sheetId="6" r:id="rId3"/>
  </sheets>
  <definedNames>
    <definedName name="_xlnm._FilterDatabase" localSheetId="1" hidden="1">dados!$A$1:$H$1509</definedName>
    <definedName name="DadosExternos_1" localSheetId="0" hidden="1">NVIDIA_STOCK!$A$1:$G$1701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9" i="4" l="1"/>
  <c r="F2" i="4"/>
  <c r="D1259" i="4"/>
  <c r="D1008" i="4"/>
  <c r="D756" i="4"/>
  <c r="D503" i="4"/>
  <c r="D25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3" i="4"/>
  <c r="D2" i="4"/>
  <c r="B3" i="6"/>
  <c r="C4" i="4"/>
  <c r="F4" i="4" s="1"/>
  <c r="G4" i="4" s="1"/>
  <c r="H4" i="4" s="1"/>
  <c r="C5" i="4"/>
  <c r="F5" i="4" s="1"/>
  <c r="G5" i="4" s="1"/>
  <c r="H5" i="4" s="1"/>
  <c r="C6" i="4"/>
  <c r="F6" i="4" s="1"/>
  <c r="G6" i="4" s="1"/>
  <c r="H6" i="4" s="1"/>
  <c r="C7" i="4"/>
  <c r="F7" i="4" s="1"/>
  <c r="G7" i="4" s="1"/>
  <c r="H7" i="4" s="1"/>
  <c r="C8" i="4"/>
  <c r="F8" i="4" s="1"/>
  <c r="G8" i="4" s="1"/>
  <c r="H8" i="4" s="1"/>
  <c r="C9" i="4"/>
  <c r="F9" i="4" s="1"/>
  <c r="G9" i="4" s="1"/>
  <c r="H9" i="4" s="1"/>
  <c r="C10" i="4"/>
  <c r="F10" i="4" s="1"/>
  <c r="G10" i="4" s="1"/>
  <c r="H10" i="4" s="1"/>
  <c r="C11" i="4"/>
  <c r="F11" i="4" s="1"/>
  <c r="G11" i="4" s="1"/>
  <c r="H11" i="4" s="1"/>
  <c r="C12" i="4"/>
  <c r="F12" i="4" s="1"/>
  <c r="G12" i="4" s="1"/>
  <c r="H12" i="4" s="1"/>
  <c r="C13" i="4"/>
  <c r="F13" i="4" s="1"/>
  <c r="G13" i="4" s="1"/>
  <c r="H13" i="4" s="1"/>
  <c r="C14" i="4"/>
  <c r="F14" i="4" s="1"/>
  <c r="G14" i="4" s="1"/>
  <c r="H14" i="4" s="1"/>
  <c r="C15" i="4"/>
  <c r="F15" i="4" s="1"/>
  <c r="G15" i="4" s="1"/>
  <c r="H15" i="4" s="1"/>
  <c r="C16" i="4"/>
  <c r="F16" i="4" s="1"/>
  <c r="G16" i="4" s="1"/>
  <c r="H16" i="4" s="1"/>
  <c r="C17" i="4"/>
  <c r="F17" i="4" s="1"/>
  <c r="G17" i="4" s="1"/>
  <c r="H17" i="4" s="1"/>
  <c r="C18" i="4"/>
  <c r="F18" i="4" s="1"/>
  <c r="G18" i="4" s="1"/>
  <c r="H18" i="4" s="1"/>
  <c r="C19" i="4"/>
  <c r="F19" i="4" s="1"/>
  <c r="G19" i="4" s="1"/>
  <c r="H19" i="4" s="1"/>
  <c r="C20" i="4"/>
  <c r="F20" i="4" s="1"/>
  <c r="G20" i="4" s="1"/>
  <c r="H20" i="4" s="1"/>
  <c r="C21" i="4"/>
  <c r="F21" i="4" s="1"/>
  <c r="G21" i="4" s="1"/>
  <c r="H21" i="4" s="1"/>
  <c r="C22" i="4"/>
  <c r="F22" i="4" s="1"/>
  <c r="G22" i="4" s="1"/>
  <c r="H22" i="4" s="1"/>
  <c r="C23" i="4"/>
  <c r="F23" i="4" s="1"/>
  <c r="G23" i="4" s="1"/>
  <c r="H23" i="4" s="1"/>
  <c r="C24" i="4"/>
  <c r="F24" i="4" s="1"/>
  <c r="G24" i="4" s="1"/>
  <c r="H24" i="4" s="1"/>
  <c r="C25" i="4"/>
  <c r="F25" i="4" s="1"/>
  <c r="G25" i="4" s="1"/>
  <c r="H25" i="4" s="1"/>
  <c r="C26" i="4"/>
  <c r="F26" i="4" s="1"/>
  <c r="G26" i="4" s="1"/>
  <c r="H26" i="4" s="1"/>
  <c r="C27" i="4"/>
  <c r="F27" i="4" s="1"/>
  <c r="G27" i="4" s="1"/>
  <c r="H27" i="4" s="1"/>
  <c r="C28" i="4"/>
  <c r="F28" i="4" s="1"/>
  <c r="G28" i="4" s="1"/>
  <c r="H28" i="4" s="1"/>
  <c r="C29" i="4"/>
  <c r="F29" i="4" s="1"/>
  <c r="G29" i="4" s="1"/>
  <c r="H29" i="4" s="1"/>
  <c r="C30" i="4"/>
  <c r="F30" i="4" s="1"/>
  <c r="G30" i="4" s="1"/>
  <c r="H30" i="4" s="1"/>
  <c r="C31" i="4"/>
  <c r="F31" i="4" s="1"/>
  <c r="G31" i="4" s="1"/>
  <c r="H31" i="4" s="1"/>
  <c r="C32" i="4"/>
  <c r="F32" i="4" s="1"/>
  <c r="G32" i="4" s="1"/>
  <c r="H32" i="4" s="1"/>
  <c r="C33" i="4"/>
  <c r="F33" i="4" s="1"/>
  <c r="G33" i="4" s="1"/>
  <c r="H33" i="4" s="1"/>
  <c r="C34" i="4"/>
  <c r="F34" i="4" s="1"/>
  <c r="G34" i="4" s="1"/>
  <c r="H34" i="4" s="1"/>
  <c r="C35" i="4"/>
  <c r="F35" i="4" s="1"/>
  <c r="G35" i="4" s="1"/>
  <c r="H35" i="4" s="1"/>
  <c r="C36" i="4"/>
  <c r="F36" i="4" s="1"/>
  <c r="G36" i="4" s="1"/>
  <c r="H36" i="4" s="1"/>
  <c r="C37" i="4"/>
  <c r="F37" i="4" s="1"/>
  <c r="G37" i="4" s="1"/>
  <c r="H37" i="4" s="1"/>
  <c r="C38" i="4"/>
  <c r="F38" i="4" s="1"/>
  <c r="G38" i="4" s="1"/>
  <c r="H38" i="4" s="1"/>
  <c r="C39" i="4"/>
  <c r="F39" i="4" s="1"/>
  <c r="G39" i="4" s="1"/>
  <c r="H39" i="4" s="1"/>
  <c r="C40" i="4"/>
  <c r="F40" i="4" s="1"/>
  <c r="G40" i="4" s="1"/>
  <c r="H40" i="4" s="1"/>
  <c r="C41" i="4"/>
  <c r="F41" i="4" s="1"/>
  <c r="G41" i="4" s="1"/>
  <c r="H41" i="4" s="1"/>
  <c r="C42" i="4"/>
  <c r="F42" i="4" s="1"/>
  <c r="G42" i="4" s="1"/>
  <c r="H42" i="4" s="1"/>
  <c r="C43" i="4"/>
  <c r="F43" i="4" s="1"/>
  <c r="G43" i="4" s="1"/>
  <c r="H43" i="4" s="1"/>
  <c r="C44" i="4"/>
  <c r="F44" i="4" s="1"/>
  <c r="G44" i="4" s="1"/>
  <c r="H44" i="4" s="1"/>
  <c r="C45" i="4"/>
  <c r="F45" i="4" s="1"/>
  <c r="G45" i="4" s="1"/>
  <c r="H45" i="4" s="1"/>
  <c r="C46" i="4"/>
  <c r="F46" i="4" s="1"/>
  <c r="G46" i="4" s="1"/>
  <c r="H46" i="4" s="1"/>
  <c r="C47" i="4"/>
  <c r="F47" i="4" s="1"/>
  <c r="G47" i="4" s="1"/>
  <c r="H47" i="4" s="1"/>
  <c r="C48" i="4"/>
  <c r="F48" i="4" s="1"/>
  <c r="G48" i="4" s="1"/>
  <c r="H48" i="4" s="1"/>
  <c r="C49" i="4"/>
  <c r="F49" i="4" s="1"/>
  <c r="G49" i="4" s="1"/>
  <c r="H49" i="4" s="1"/>
  <c r="C50" i="4"/>
  <c r="F50" i="4" s="1"/>
  <c r="G50" i="4" s="1"/>
  <c r="H50" i="4" s="1"/>
  <c r="C51" i="4"/>
  <c r="F51" i="4" s="1"/>
  <c r="G51" i="4" s="1"/>
  <c r="H51" i="4" s="1"/>
  <c r="C52" i="4"/>
  <c r="F52" i="4" s="1"/>
  <c r="G52" i="4" s="1"/>
  <c r="H52" i="4" s="1"/>
  <c r="C53" i="4"/>
  <c r="F53" i="4" s="1"/>
  <c r="G53" i="4" s="1"/>
  <c r="H53" i="4" s="1"/>
  <c r="C54" i="4"/>
  <c r="F54" i="4" s="1"/>
  <c r="G54" i="4" s="1"/>
  <c r="H54" i="4" s="1"/>
  <c r="C55" i="4"/>
  <c r="F55" i="4" s="1"/>
  <c r="G55" i="4" s="1"/>
  <c r="H55" i="4" s="1"/>
  <c r="C56" i="4"/>
  <c r="F56" i="4" s="1"/>
  <c r="G56" i="4" s="1"/>
  <c r="H56" i="4" s="1"/>
  <c r="C57" i="4"/>
  <c r="F57" i="4" s="1"/>
  <c r="G57" i="4" s="1"/>
  <c r="H57" i="4" s="1"/>
  <c r="C58" i="4"/>
  <c r="F58" i="4" s="1"/>
  <c r="G58" i="4" s="1"/>
  <c r="H58" i="4" s="1"/>
  <c r="C59" i="4"/>
  <c r="F59" i="4" s="1"/>
  <c r="G59" i="4" s="1"/>
  <c r="H59" i="4" s="1"/>
  <c r="C60" i="4"/>
  <c r="F60" i="4" s="1"/>
  <c r="G60" i="4" s="1"/>
  <c r="H60" i="4" s="1"/>
  <c r="C61" i="4"/>
  <c r="F61" i="4" s="1"/>
  <c r="G61" i="4" s="1"/>
  <c r="H61" i="4" s="1"/>
  <c r="C62" i="4"/>
  <c r="F62" i="4" s="1"/>
  <c r="G62" i="4" s="1"/>
  <c r="H62" i="4" s="1"/>
  <c r="C63" i="4"/>
  <c r="F63" i="4" s="1"/>
  <c r="G63" i="4" s="1"/>
  <c r="H63" i="4" s="1"/>
  <c r="C64" i="4"/>
  <c r="F64" i="4" s="1"/>
  <c r="G64" i="4" s="1"/>
  <c r="H64" i="4" s="1"/>
  <c r="C65" i="4"/>
  <c r="F65" i="4" s="1"/>
  <c r="G65" i="4" s="1"/>
  <c r="H65" i="4" s="1"/>
  <c r="C66" i="4"/>
  <c r="F66" i="4" s="1"/>
  <c r="G66" i="4" s="1"/>
  <c r="H66" i="4" s="1"/>
  <c r="C67" i="4"/>
  <c r="F67" i="4" s="1"/>
  <c r="G67" i="4" s="1"/>
  <c r="H67" i="4" s="1"/>
  <c r="C68" i="4"/>
  <c r="F68" i="4" s="1"/>
  <c r="G68" i="4" s="1"/>
  <c r="H68" i="4" s="1"/>
  <c r="C69" i="4"/>
  <c r="F69" i="4" s="1"/>
  <c r="G69" i="4" s="1"/>
  <c r="H69" i="4" s="1"/>
  <c r="C70" i="4"/>
  <c r="F70" i="4" s="1"/>
  <c r="G70" i="4" s="1"/>
  <c r="H70" i="4" s="1"/>
  <c r="C71" i="4"/>
  <c r="F71" i="4" s="1"/>
  <c r="G71" i="4" s="1"/>
  <c r="H71" i="4" s="1"/>
  <c r="C72" i="4"/>
  <c r="F72" i="4" s="1"/>
  <c r="G72" i="4" s="1"/>
  <c r="H72" i="4" s="1"/>
  <c r="C73" i="4"/>
  <c r="F73" i="4" s="1"/>
  <c r="G73" i="4" s="1"/>
  <c r="H73" i="4" s="1"/>
  <c r="C74" i="4"/>
  <c r="F74" i="4" s="1"/>
  <c r="G74" i="4" s="1"/>
  <c r="H74" i="4" s="1"/>
  <c r="C75" i="4"/>
  <c r="F75" i="4" s="1"/>
  <c r="G75" i="4" s="1"/>
  <c r="H75" i="4" s="1"/>
  <c r="C76" i="4"/>
  <c r="F76" i="4" s="1"/>
  <c r="G76" i="4" s="1"/>
  <c r="H76" i="4" s="1"/>
  <c r="C77" i="4"/>
  <c r="F77" i="4" s="1"/>
  <c r="G77" i="4" s="1"/>
  <c r="H77" i="4" s="1"/>
  <c r="C78" i="4"/>
  <c r="F78" i="4" s="1"/>
  <c r="G78" i="4" s="1"/>
  <c r="H78" i="4" s="1"/>
  <c r="C79" i="4"/>
  <c r="F79" i="4" s="1"/>
  <c r="G79" i="4" s="1"/>
  <c r="H79" i="4" s="1"/>
  <c r="C80" i="4"/>
  <c r="F80" i="4" s="1"/>
  <c r="G80" i="4" s="1"/>
  <c r="H80" i="4" s="1"/>
  <c r="C81" i="4"/>
  <c r="F81" i="4" s="1"/>
  <c r="G81" i="4" s="1"/>
  <c r="H81" i="4" s="1"/>
  <c r="C82" i="4"/>
  <c r="F82" i="4" s="1"/>
  <c r="G82" i="4" s="1"/>
  <c r="H82" i="4" s="1"/>
  <c r="C83" i="4"/>
  <c r="F83" i="4" s="1"/>
  <c r="G83" i="4" s="1"/>
  <c r="H83" i="4" s="1"/>
  <c r="C84" i="4"/>
  <c r="F84" i="4" s="1"/>
  <c r="G84" i="4" s="1"/>
  <c r="H84" i="4" s="1"/>
  <c r="C85" i="4"/>
  <c r="F85" i="4" s="1"/>
  <c r="G85" i="4" s="1"/>
  <c r="H85" i="4" s="1"/>
  <c r="C86" i="4"/>
  <c r="F86" i="4" s="1"/>
  <c r="G86" i="4" s="1"/>
  <c r="H86" i="4" s="1"/>
  <c r="C87" i="4"/>
  <c r="F87" i="4" s="1"/>
  <c r="G87" i="4" s="1"/>
  <c r="H87" i="4" s="1"/>
  <c r="C88" i="4"/>
  <c r="F88" i="4" s="1"/>
  <c r="G88" i="4" s="1"/>
  <c r="H88" i="4" s="1"/>
  <c r="C89" i="4"/>
  <c r="F89" i="4" s="1"/>
  <c r="G89" i="4" s="1"/>
  <c r="H89" i="4" s="1"/>
  <c r="C90" i="4"/>
  <c r="F90" i="4" s="1"/>
  <c r="G90" i="4" s="1"/>
  <c r="H90" i="4" s="1"/>
  <c r="C91" i="4"/>
  <c r="F91" i="4" s="1"/>
  <c r="G91" i="4" s="1"/>
  <c r="H91" i="4" s="1"/>
  <c r="C92" i="4"/>
  <c r="F92" i="4" s="1"/>
  <c r="G92" i="4" s="1"/>
  <c r="H92" i="4" s="1"/>
  <c r="C93" i="4"/>
  <c r="F93" i="4" s="1"/>
  <c r="G93" i="4" s="1"/>
  <c r="H93" i="4" s="1"/>
  <c r="C94" i="4"/>
  <c r="F94" i="4" s="1"/>
  <c r="G94" i="4" s="1"/>
  <c r="H94" i="4" s="1"/>
  <c r="C95" i="4"/>
  <c r="F95" i="4" s="1"/>
  <c r="G95" i="4" s="1"/>
  <c r="H95" i="4" s="1"/>
  <c r="C96" i="4"/>
  <c r="F96" i="4" s="1"/>
  <c r="G96" i="4" s="1"/>
  <c r="H96" i="4" s="1"/>
  <c r="C97" i="4"/>
  <c r="F97" i="4" s="1"/>
  <c r="G97" i="4" s="1"/>
  <c r="H97" i="4" s="1"/>
  <c r="C98" i="4"/>
  <c r="F98" i="4" s="1"/>
  <c r="G98" i="4" s="1"/>
  <c r="H98" i="4" s="1"/>
  <c r="C99" i="4"/>
  <c r="F99" i="4" s="1"/>
  <c r="G99" i="4" s="1"/>
  <c r="H99" i="4" s="1"/>
  <c r="C100" i="4"/>
  <c r="F100" i="4" s="1"/>
  <c r="G100" i="4" s="1"/>
  <c r="H100" i="4" s="1"/>
  <c r="C101" i="4"/>
  <c r="F101" i="4" s="1"/>
  <c r="G101" i="4" s="1"/>
  <c r="H101" i="4" s="1"/>
  <c r="C102" i="4"/>
  <c r="F102" i="4" s="1"/>
  <c r="G102" i="4" s="1"/>
  <c r="H102" i="4" s="1"/>
  <c r="C103" i="4"/>
  <c r="F103" i="4" s="1"/>
  <c r="G103" i="4" s="1"/>
  <c r="H103" i="4" s="1"/>
  <c r="C104" i="4"/>
  <c r="F104" i="4" s="1"/>
  <c r="G104" i="4" s="1"/>
  <c r="H104" i="4" s="1"/>
  <c r="C105" i="4"/>
  <c r="F105" i="4" s="1"/>
  <c r="G105" i="4" s="1"/>
  <c r="H105" i="4" s="1"/>
  <c r="C106" i="4"/>
  <c r="F106" i="4" s="1"/>
  <c r="G106" i="4" s="1"/>
  <c r="H106" i="4" s="1"/>
  <c r="C107" i="4"/>
  <c r="F107" i="4" s="1"/>
  <c r="G107" i="4" s="1"/>
  <c r="H107" i="4" s="1"/>
  <c r="C108" i="4"/>
  <c r="F108" i="4" s="1"/>
  <c r="G108" i="4" s="1"/>
  <c r="H108" i="4" s="1"/>
  <c r="C109" i="4"/>
  <c r="F109" i="4" s="1"/>
  <c r="G109" i="4" s="1"/>
  <c r="H109" i="4" s="1"/>
  <c r="C110" i="4"/>
  <c r="F110" i="4" s="1"/>
  <c r="G110" i="4" s="1"/>
  <c r="H110" i="4" s="1"/>
  <c r="C111" i="4"/>
  <c r="F111" i="4" s="1"/>
  <c r="G111" i="4" s="1"/>
  <c r="H111" i="4" s="1"/>
  <c r="C112" i="4"/>
  <c r="F112" i="4" s="1"/>
  <c r="G112" i="4" s="1"/>
  <c r="H112" i="4" s="1"/>
  <c r="C113" i="4"/>
  <c r="F113" i="4" s="1"/>
  <c r="G113" i="4" s="1"/>
  <c r="H113" i="4" s="1"/>
  <c r="C114" i="4"/>
  <c r="F114" i="4" s="1"/>
  <c r="G114" i="4" s="1"/>
  <c r="H114" i="4" s="1"/>
  <c r="C115" i="4"/>
  <c r="F115" i="4" s="1"/>
  <c r="G115" i="4" s="1"/>
  <c r="H115" i="4" s="1"/>
  <c r="C116" i="4"/>
  <c r="F116" i="4" s="1"/>
  <c r="G116" i="4" s="1"/>
  <c r="H116" i="4" s="1"/>
  <c r="C117" i="4"/>
  <c r="F117" i="4" s="1"/>
  <c r="G117" i="4" s="1"/>
  <c r="H117" i="4" s="1"/>
  <c r="C118" i="4"/>
  <c r="F118" i="4" s="1"/>
  <c r="G118" i="4" s="1"/>
  <c r="H118" i="4" s="1"/>
  <c r="C119" i="4"/>
  <c r="F119" i="4" s="1"/>
  <c r="G119" i="4" s="1"/>
  <c r="H119" i="4" s="1"/>
  <c r="C120" i="4"/>
  <c r="F120" i="4" s="1"/>
  <c r="G120" i="4" s="1"/>
  <c r="H120" i="4" s="1"/>
  <c r="C121" i="4"/>
  <c r="F121" i="4" s="1"/>
  <c r="G121" i="4" s="1"/>
  <c r="H121" i="4" s="1"/>
  <c r="C122" i="4"/>
  <c r="F122" i="4" s="1"/>
  <c r="G122" i="4" s="1"/>
  <c r="H122" i="4" s="1"/>
  <c r="C123" i="4"/>
  <c r="F123" i="4" s="1"/>
  <c r="G123" i="4" s="1"/>
  <c r="H123" i="4" s="1"/>
  <c r="C124" i="4"/>
  <c r="F124" i="4" s="1"/>
  <c r="G124" i="4" s="1"/>
  <c r="H124" i="4" s="1"/>
  <c r="C125" i="4"/>
  <c r="F125" i="4" s="1"/>
  <c r="G125" i="4" s="1"/>
  <c r="H125" i="4" s="1"/>
  <c r="C126" i="4"/>
  <c r="F126" i="4" s="1"/>
  <c r="G126" i="4" s="1"/>
  <c r="H126" i="4" s="1"/>
  <c r="C127" i="4"/>
  <c r="F127" i="4" s="1"/>
  <c r="G127" i="4" s="1"/>
  <c r="H127" i="4" s="1"/>
  <c r="C128" i="4"/>
  <c r="F128" i="4" s="1"/>
  <c r="G128" i="4" s="1"/>
  <c r="H128" i="4" s="1"/>
  <c r="C129" i="4"/>
  <c r="F129" i="4" s="1"/>
  <c r="G129" i="4" s="1"/>
  <c r="H129" i="4" s="1"/>
  <c r="C130" i="4"/>
  <c r="F130" i="4" s="1"/>
  <c r="G130" i="4" s="1"/>
  <c r="H130" i="4" s="1"/>
  <c r="C131" i="4"/>
  <c r="F131" i="4" s="1"/>
  <c r="G131" i="4" s="1"/>
  <c r="H131" i="4" s="1"/>
  <c r="C132" i="4"/>
  <c r="F132" i="4" s="1"/>
  <c r="G132" i="4" s="1"/>
  <c r="H132" i="4" s="1"/>
  <c r="C133" i="4"/>
  <c r="F133" i="4" s="1"/>
  <c r="G133" i="4" s="1"/>
  <c r="H133" i="4" s="1"/>
  <c r="C134" i="4"/>
  <c r="F134" i="4" s="1"/>
  <c r="G134" i="4" s="1"/>
  <c r="H134" i="4" s="1"/>
  <c r="C135" i="4"/>
  <c r="F135" i="4" s="1"/>
  <c r="G135" i="4" s="1"/>
  <c r="H135" i="4" s="1"/>
  <c r="C136" i="4"/>
  <c r="F136" i="4" s="1"/>
  <c r="G136" i="4" s="1"/>
  <c r="H136" i="4" s="1"/>
  <c r="C137" i="4"/>
  <c r="F137" i="4" s="1"/>
  <c r="G137" i="4" s="1"/>
  <c r="H137" i="4" s="1"/>
  <c r="C138" i="4"/>
  <c r="F138" i="4" s="1"/>
  <c r="G138" i="4" s="1"/>
  <c r="H138" i="4" s="1"/>
  <c r="C139" i="4"/>
  <c r="F139" i="4" s="1"/>
  <c r="G139" i="4" s="1"/>
  <c r="H139" i="4" s="1"/>
  <c r="C140" i="4"/>
  <c r="F140" i="4" s="1"/>
  <c r="G140" i="4" s="1"/>
  <c r="H140" i="4" s="1"/>
  <c r="C141" i="4"/>
  <c r="F141" i="4" s="1"/>
  <c r="G141" i="4" s="1"/>
  <c r="H141" i="4" s="1"/>
  <c r="C142" i="4"/>
  <c r="F142" i="4" s="1"/>
  <c r="G142" i="4" s="1"/>
  <c r="H142" i="4" s="1"/>
  <c r="C143" i="4"/>
  <c r="F143" i="4" s="1"/>
  <c r="G143" i="4" s="1"/>
  <c r="H143" i="4" s="1"/>
  <c r="C144" i="4"/>
  <c r="F144" i="4" s="1"/>
  <c r="G144" i="4" s="1"/>
  <c r="H144" i="4" s="1"/>
  <c r="C145" i="4"/>
  <c r="F145" i="4" s="1"/>
  <c r="G145" i="4" s="1"/>
  <c r="H145" i="4" s="1"/>
  <c r="C146" i="4"/>
  <c r="F146" i="4" s="1"/>
  <c r="G146" i="4" s="1"/>
  <c r="H146" i="4" s="1"/>
  <c r="C147" i="4"/>
  <c r="F147" i="4" s="1"/>
  <c r="G147" i="4" s="1"/>
  <c r="H147" i="4" s="1"/>
  <c r="C148" i="4"/>
  <c r="F148" i="4" s="1"/>
  <c r="G148" i="4" s="1"/>
  <c r="H148" i="4" s="1"/>
  <c r="C149" i="4"/>
  <c r="F149" i="4" s="1"/>
  <c r="G149" i="4" s="1"/>
  <c r="H149" i="4" s="1"/>
  <c r="C150" i="4"/>
  <c r="F150" i="4" s="1"/>
  <c r="G150" i="4" s="1"/>
  <c r="H150" i="4" s="1"/>
  <c r="C151" i="4"/>
  <c r="F151" i="4" s="1"/>
  <c r="G151" i="4" s="1"/>
  <c r="H151" i="4" s="1"/>
  <c r="C152" i="4"/>
  <c r="F152" i="4" s="1"/>
  <c r="G152" i="4" s="1"/>
  <c r="H152" i="4" s="1"/>
  <c r="C153" i="4"/>
  <c r="F153" i="4" s="1"/>
  <c r="G153" i="4" s="1"/>
  <c r="H153" i="4" s="1"/>
  <c r="C154" i="4"/>
  <c r="F154" i="4" s="1"/>
  <c r="G154" i="4" s="1"/>
  <c r="H154" i="4" s="1"/>
  <c r="C155" i="4"/>
  <c r="F155" i="4" s="1"/>
  <c r="G155" i="4" s="1"/>
  <c r="H155" i="4" s="1"/>
  <c r="C156" i="4"/>
  <c r="F156" i="4" s="1"/>
  <c r="G156" i="4" s="1"/>
  <c r="H156" i="4" s="1"/>
  <c r="C157" i="4"/>
  <c r="F157" i="4" s="1"/>
  <c r="G157" i="4" s="1"/>
  <c r="H157" i="4" s="1"/>
  <c r="C158" i="4"/>
  <c r="F158" i="4" s="1"/>
  <c r="G158" i="4" s="1"/>
  <c r="H158" i="4" s="1"/>
  <c r="C159" i="4"/>
  <c r="F159" i="4" s="1"/>
  <c r="G159" i="4" s="1"/>
  <c r="H159" i="4" s="1"/>
  <c r="C160" i="4"/>
  <c r="F160" i="4" s="1"/>
  <c r="G160" i="4" s="1"/>
  <c r="H160" i="4" s="1"/>
  <c r="C161" i="4"/>
  <c r="F161" i="4" s="1"/>
  <c r="G161" i="4" s="1"/>
  <c r="H161" i="4" s="1"/>
  <c r="C162" i="4"/>
  <c r="F162" i="4" s="1"/>
  <c r="G162" i="4" s="1"/>
  <c r="H162" i="4" s="1"/>
  <c r="C163" i="4"/>
  <c r="F163" i="4" s="1"/>
  <c r="G163" i="4" s="1"/>
  <c r="H163" i="4" s="1"/>
  <c r="C164" i="4"/>
  <c r="F164" i="4" s="1"/>
  <c r="G164" i="4" s="1"/>
  <c r="H164" i="4" s="1"/>
  <c r="C165" i="4"/>
  <c r="F165" i="4" s="1"/>
  <c r="G165" i="4" s="1"/>
  <c r="H165" i="4" s="1"/>
  <c r="C166" i="4"/>
  <c r="F166" i="4" s="1"/>
  <c r="G166" i="4" s="1"/>
  <c r="H166" i="4" s="1"/>
  <c r="C167" i="4"/>
  <c r="F167" i="4" s="1"/>
  <c r="G167" i="4" s="1"/>
  <c r="H167" i="4" s="1"/>
  <c r="C168" i="4"/>
  <c r="F168" i="4" s="1"/>
  <c r="G168" i="4" s="1"/>
  <c r="H168" i="4" s="1"/>
  <c r="C169" i="4"/>
  <c r="F169" i="4" s="1"/>
  <c r="G169" i="4" s="1"/>
  <c r="H169" i="4" s="1"/>
  <c r="C170" i="4"/>
  <c r="F170" i="4" s="1"/>
  <c r="G170" i="4" s="1"/>
  <c r="H170" i="4" s="1"/>
  <c r="C171" i="4"/>
  <c r="F171" i="4" s="1"/>
  <c r="G171" i="4" s="1"/>
  <c r="H171" i="4" s="1"/>
  <c r="C172" i="4"/>
  <c r="F172" i="4" s="1"/>
  <c r="G172" i="4" s="1"/>
  <c r="H172" i="4" s="1"/>
  <c r="C173" i="4"/>
  <c r="F173" i="4" s="1"/>
  <c r="G173" i="4" s="1"/>
  <c r="H173" i="4" s="1"/>
  <c r="C174" i="4"/>
  <c r="F174" i="4" s="1"/>
  <c r="G174" i="4" s="1"/>
  <c r="H174" i="4" s="1"/>
  <c r="C175" i="4"/>
  <c r="F175" i="4" s="1"/>
  <c r="G175" i="4" s="1"/>
  <c r="H175" i="4" s="1"/>
  <c r="C176" i="4"/>
  <c r="F176" i="4" s="1"/>
  <c r="G176" i="4" s="1"/>
  <c r="H176" i="4" s="1"/>
  <c r="C177" i="4"/>
  <c r="F177" i="4" s="1"/>
  <c r="G177" i="4" s="1"/>
  <c r="H177" i="4" s="1"/>
  <c r="C178" i="4"/>
  <c r="F178" i="4" s="1"/>
  <c r="G178" i="4" s="1"/>
  <c r="H178" i="4" s="1"/>
  <c r="C179" i="4"/>
  <c r="F179" i="4" s="1"/>
  <c r="G179" i="4" s="1"/>
  <c r="H179" i="4" s="1"/>
  <c r="C180" i="4"/>
  <c r="F180" i="4" s="1"/>
  <c r="G180" i="4" s="1"/>
  <c r="H180" i="4" s="1"/>
  <c r="C181" i="4"/>
  <c r="F181" i="4" s="1"/>
  <c r="G181" i="4" s="1"/>
  <c r="H181" i="4" s="1"/>
  <c r="C182" i="4"/>
  <c r="F182" i="4" s="1"/>
  <c r="G182" i="4" s="1"/>
  <c r="H182" i="4" s="1"/>
  <c r="C183" i="4"/>
  <c r="F183" i="4" s="1"/>
  <c r="G183" i="4" s="1"/>
  <c r="H183" i="4" s="1"/>
  <c r="C184" i="4"/>
  <c r="F184" i="4" s="1"/>
  <c r="G184" i="4" s="1"/>
  <c r="H184" i="4" s="1"/>
  <c r="C185" i="4"/>
  <c r="F185" i="4" s="1"/>
  <c r="G185" i="4" s="1"/>
  <c r="H185" i="4" s="1"/>
  <c r="C186" i="4"/>
  <c r="F186" i="4" s="1"/>
  <c r="G186" i="4" s="1"/>
  <c r="H186" i="4" s="1"/>
  <c r="C187" i="4"/>
  <c r="F187" i="4" s="1"/>
  <c r="G187" i="4" s="1"/>
  <c r="H187" i="4" s="1"/>
  <c r="C188" i="4"/>
  <c r="F188" i="4" s="1"/>
  <c r="G188" i="4" s="1"/>
  <c r="H188" i="4" s="1"/>
  <c r="C189" i="4"/>
  <c r="F189" i="4" s="1"/>
  <c r="G189" i="4" s="1"/>
  <c r="H189" i="4" s="1"/>
  <c r="C190" i="4"/>
  <c r="F190" i="4" s="1"/>
  <c r="G190" i="4" s="1"/>
  <c r="H190" i="4" s="1"/>
  <c r="C191" i="4"/>
  <c r="F191" i="4" s="1"/>
  <c r="G191" i="4" s="1"/>
  <c r="H191" i="4" s="1"/>
  <c r="C192" i="4"/>
  <c r="F192" i="4" s="1"/>
  <c r="G192" i="4" s="1"/>
  <c r="H192" i="4" s="1"/>
  <c r="C193" i="4"/>
  <c r="F193" i="4" s="1"/>
  <c r="G193" i="4" s="1"/>
  <c r="H193" i="4" s="1"/>
  <c r="C194" i="4"/>
  <c r="F194" i="4" s="1"/>
  <c r="G194" i="4" s="1"/>
  <c r="H194" i="4" s="1"/>
  <c r="C195" i="4"/>
  <c r="F195" i="4" s="1"/>
  <c r="G195" i="4" s="1"/>
  <c r="H195" i="4" s="1"/>
  <c r="C196" i="4"/>
  <c r="F196" i="4" s="1"/>
  <c r="G196" i="4" s="1"/>
  <c r="H196" i="4" s="1"/>
  <c r="C197" i="4"/>
  <c r="F197" i="4" s="1"/>
  <c r="G197" i="4" s="1"/>
  <c r="H197" i="4" s="1"/>
  <c r="C198" i="4"/>
  <c r="F198" i="4" s="1"/>
  <c r="G198" i="4" s="1"/>
  <c r="H198" i="4" s="1"/>
  <c r="C199" i="4"/>
  <c r="F199" i="4" s="1"/>
  <c r="G199" i="4" s="1"/>
  <c r="H199" i="4" s="1"/>
  <c r="C200" i="4"/>
  <c r="F200" i="4" s="1"/>
  <c r="G200" i="4" s="1"/>
  <c r="H200" i="4" s="1"/>
  <c r="C201" i="4"/>
  <c r="F201" i="4" s="1"/>
  <c r="G201" i="4" s="1"/>
  <c r="H201" i="4" s="1"/>
  <c r="C202" i="4"/>
  <c r="F202" i="4" s="1"/>
  <c r="G202" i="4" s="1"/>
  <c r="H202" i="4" s="1"/>
  <c r="C203" i="4"/>
  <c r="F203" i="4" s="1"/>
  <c r="G203" i="4" s="1"/>
  <c r="H203" i="4" s="1"/>
  <c r="C204" i="4"/>
  <c r="F204" i="4" s="1"/>
  <c r="G204" i="4" s="1"/>
  <c r="H204" i="4" s="1"/>
  <c r="C205" i="4"/>
  <c r="F205" i="4" s="1"/>
  <c r="G205" i="4" s="1"/>
  <c r="H205" i="4" s="1"/>
  <c r="C206" i="4"/>
  <c r="F206" i="4" s="1"/>
  <c r="G206" i="4" s="1"/>
  <c r="H206" i="4" s="1"/>
  <c r="C207" i="4"/>
  <c r="F207" i="4" s="1"/>
  <c r="G207" i="4" s="1"/>
  <c r="H207" i="4" s="1"/>
  <c r="C208" i="4"/>
  <c r="F208" i="4" s="1"/>
  <c r="G208" i="4" s="1"/>
  <c r="H208" i="4" s="1"/>
  <c r="C209" i="4"/>
  <c r="F209" i="4" s="1"/>
  <c r="G209" i="4" s="1"/>
  <c r="H209" i="4" s="1"/>
  <c r="C210" i="4"/>
  <c r="F210" i="4" s="1"/>
  <c r="G210" i="4" s="1"/>
  <c r="H210" i="4" s="1"/>
  <c r="C211" i="4"/>
  <c r="F211" i="4" s="1"/>
  <c r="G211" i="4" s="1"/>
  <c r="H211" i="4" s="1"/>
  <c r="C212" i="4"/>
  <c r="F212" i="4" s="1"/>
  <c r="G212" i="4" s="1"/>
  <c r="H212" i="4" s="1"/>
  <c r="C213" i="4"/>
  <c r="F213" i="4" s="1"/>
  <c r="G213" i="4" s="1"/>
  <c r="H213" i="4" s="1"/>
  <c r="C214" i="4"/>
  <c r="F214" i="4" s="1"/>
  <c r="G214" i="4" s="1"/>
  <c r="H214" i="4" s="1"/>
  <c r="C215" i="4"/>
  <c r="F215" i="4" s="1"/>
  <c r="G215" i="4" s="1"/>
  <c r="H215" i="4" s="1"/>
  <c r="C216" i="4"/>
  <c r="F216" i="4" s="1"/>
  <c r="G216" i="4" s="1"/>
  <c r="H216" i="4" s="1"/>
  <c r="C217" i="4"/>
  <c r="F217" i="4" s="1"/>
  <c r="G217" i="4" s="1"/>
  <c r="H217" i="4" s="1"/>
  <c r="C218" i="4"/>
  <c r="F218" i="4" s="1"/>
  <c r="G218" i="4" s="1"/>
  <c r="H218" i="4" s="1"/>
  <c r="C219" i="4"/>
  <c r="F219" i="4" s="1"/>
  <c r="G219" i="4" s="1"/>
  <c r="H219" i="4" s="1"/>
  <c r="C220" i="4"/>
  <c r="F220" i="4" s="1"/>
  <c r="G220" i="4" s="1"/>
  <c r="H220" i="4" s="1"/>
  <c r="C221" i="4"/>
  <c r="F221" i="4" s="1"/>
  <c r="G221" i="4" s="1"/>
  <c r="H221" i="4" s="1"/>
  <c r="C222" i="4"/>
  <c r="F222" i="4" s="1"/>
  <c r="G222" i="4" s="1"/>
  <c r="H222" i="4" s="1"/>
  <c r="C223" i="4"/>
  <c r="F223" i="4" s="1"/>
  <c r="G223" i="4" s="1"/>
  <c r="H223" i="4" s="1"/>
  <c r="C224" i="4"/>
  <c r="F224" i="4" s="1"/>
  <c r="G224" i="4" s="1"/>
  <c r="H224" i="4" s="1"/>
  <c r="C225" i="4"/>
  <c r="F225" i="4" s="1"/>
  <c r="G225" i="4" s="1"/>
  <c r="H225" i="4" s="1"/>
  <c r="C226" i="4"/>
  <c r="F226" i="4" s="1"/>
  <c r="G226" i="4" s="1"/>
  <c r="H226" i="4" s="1"/>
  <c r="C227" i="4"/>
  <c r="F227" i="4" s="1"/>
  <c r="G227" i="4" s="1"/>
  <c r="H227" i="4" s="1"/>
  <c r="C228" i="4"/>
  <c r="F228" i="4" s="1"/>
  <c r="G228" i="4" s="1"/>
  <c r="H228" i="4" s="1"/>
  <c r="C229" i="4"/>
  <c r="F229" i="4" s="1"/>
  <c r="G229" i="4" s="1"/>
  <c r="H229" i="4" s="1"/>
  <c r="C230" i="4"/>
  <c r="F230" i="4" s="1"/>
  <c r="G230" i="4" s="1"/>
  <c r="H230" i="4" s="1"/>
  <c r="C231" i="4"/>
  <c r="F231" i="4" s="1"/>
  <c r="G231" i="4" s="1"/>
  <c r="H231" i="4" s="1"/>
  <c r="C232" i="4"/>
  <c r="F232" i="4" s="1"/>
  <c r="G232" i="4" s="1"/>
  <c r="H232" i="4" s="1"/>
  <c r="C233" i="4"/>
  <c r="F233" i="4" s="1"/>
  <c r="G233" i="4" s="1"/>
  <c r="H233" i="4" s="1"/>
  <c r="C234" i="4"/>
  <c r="F234" i="4" s="1"/>
  <c r="G234" i="4" s="1"/>
  <c r="H234" i="4" s="1"/>
  <c r="C235" i="4"/>
  <c r="F235" i="4" s="1"/>
  <c r="G235" i="4" s="1"/>
  <c r="H235" i="4" s="1"/>
  <c r="C236" i="4"/>
  <c r="F236" i="4" s="1"/>
  <c r="G236" i="4" s="1"/>
  <c r="H236" i="4" s="1"/>
  <c r="C237" i="4"/>
  <c r="F237" i="4" s="1"/>
  <c r="G237" i="4" s="1"/>
  <c r="H237" i="4" s="1"/>
  <c r="C238" i="4"/>
  <c r="F238" i="4" s="1"/>
  <c r="G238" i="4" s="1"/>
  <c r="H238" i="4" s="1"/>
  <c r="C239" i="4"/>
  <c r="F239" i="4" s="1"/>
  <c r="G239" i="4" s="1"/>
  <c r="H239" i="4" s="1"/>
  <c r="C240" i="4"/>
  <c r="F240" i="4" s="1"/>
  <c r="G240" i="4" s="1"/>
  <c r="H240" i="4" s="1"/>
  <c r="C241" i="4"/>
  <c r="F241" i="4" s="1"/>
  <c r="G241" i="4" s="1"/>
  <c r="H241" i="4" s="1"/>
  <c r="C242" i="4"/>
  <c r="F242" i="4" s="1"/>
  <c r="G242" i="4" s="1"/>
  <c r="H242" i="4" s="1"/>
  <c r="C243" i="4"/>
  <c r="F243" i="4" s="1"/>
  <c r="G243" i="4" s="1"/>
  <c r="H243" i="4" s="1"/>
  <c r="C244" i="4"/>
  <c r="F244" i="4" s="1"/>
  <c r="G244" i="4" s="1"/>
  <c r="H244" i="4" s="1"/>
  <c r="C245" i="4"/>
  <c r="F245" i="4" s="1"/>
  <c r="G245" i="4" s="1"/>
  <c r="H245" i="4" s="1"/>
  <c r="C246" i="4"/>
  <c r="F246" i="4" s="1"/>
  <c r="G246" i="4" s="1"/>
  <c r="H246" i="4" s="1"/>
  <c r="C247" i="4"/>
  <c r="F247" i="4" s="1"/>
  <c r="G247" i="4" s="1"/>
  <c r="H247" i="4" s="1"/>
  <c r="C248" i="4"/>
  <c r="F248" i="4" s="1"/>
  <c r="G248" i="4" s="1"/>
  <c r="H248" i="4" s="1"/>
  <c r="C249" i="4"/>
  <c r="F249" i="4" s="1"/>
  <c r="G249" i="4" s="1"/>
  <c r="H249" i="4" s="1"/>
  <c r="C250" i="4"/>
  <c r="F250" i="4" s="1"/>
  <c r="G250" i="4" s="1"/>
  <c r="H250" i="4" s="1"/>
  <c r="C251" i="4"/>
  <c r="F251" i="4" s="1"/>
  <c r="G251" i="4" s="1"/>
  <c r="H251" i="4" s="1"/>
  <c r="C252" i="4"/>
  <c r="F252" i="4" s="1"/>
  <c r="C253" i="4"/>
  <c r="C254" i="4"/>
  <c r="F254" i="4" s="1"/>
  <c r="G254" i="4" s="1"/>
  <c r="H254" i="4" s="1"/>
  <c r="C255" i="4"/>
  <c r="F255" i="4" s="1"/>
  <c r="G255" i="4" s="1"/>
  <c r="H255" i="4" s="1"/>
  <c r="C256" i="4"/>
  <c r="F256" i="4" s="1"/>
  <c r="G256" i="4" s="1"/>
  <c r="H256" i="4" s="1"/>
  <c r="C257" i="4"/>
  <c r="F257" i="4" s="1"/>
  <c r="G257" i="4" s="1"/>
  <c r="H257" i="4" s="1"/>
  <c r="C258" i="4"/>
  <c r="F258" i="4" s="1"/>
  <c r="G258" i="4" s="1"/>
  <c r="H258" i="4" s="1"/>
  <c r="C259" i="4"/>
  <c r="F259" i="4" s="1"/>
  <c r="G259" i="4" s="1"/>
  <c r="H259" i="4" s="1"/>
  <c r="C260" i="4"/>
  <c r="F260" i="4" s="1"/>
  <c r="G260" i="4" s="1"/>
  <c r="H260" i="4" s="1"/>
  <c r="C261" i="4"/>
  <c r="F261" i="4" s="1"/>
  <c r="G261" i="4" s="1"/>
  <c r="H261" i="4" s="1"/>
  <c r="C262" i="4"/>
  <c r="F262" i="4" s="1"/>
  <c r="G262" i="4" s="1"/>
  <c r="H262" i="4" s="1"/>
  <c r="C263" i="4"/>
  <c r="F263" i="4" s="1"/>
  <c r="G263" i="4" s="1"/>
  <c r="H263" i="4" s="1"/>
  <c r="C264" i="4"/>
  <c r="F264" i="4" s="1"/>
  <c r="G264" i="4" s="1"/>
  <c r="H264" i="4" s="1"/>
  <c r="C265" i="4"/>
  <c r="F265" i="4" s="1"/>
  <c r="G265" i="4" s="1"/>
  <c r="H265" i="4" s="1"/>
  <c r="C266" i="4"/>
  <c r="F266" i="4" s="1"/>
  <c r="G266" i="4" s="1"/>
  <c r="H266" i="4" s="1"/>
  <c r="C267" i="4"/>
  <c r="F267" i="4" s="1"/>
  <c r="G267" i="4" s="1"/>
  <c r="H267" i="4" s="1"/>
  <c r="C268" i="4"/>
  <c r="F268" i="4" s="1"/>
  <c r="G268" i="4" s="1"/>
  <c r="H268" i="4" s="1"/>
  <c r="C269" i="4"/>
  <c r="F269" i="4" s="1"/>
  <c r="G269" i="4" s="1"/>
  <c r="H269" i="4" s="1"/>
  <c r="C270" i="4"/>
  <c r="F270" i="4" s="1"/>
  <c r="G270" i="4" s="1"/>
  <c r="H270" i="4" s="1"/>
  <c r="C271" i="4"/>
  <c r="F271" i="4" s="1"/>
  <c r="G271" i="4" s="1"/>
  <c r="H271" i="4" s="1"/>
  <c r="C272" i="4"/>
  <c r="F272" i="4" s="1"/>
  <c r="G272" i="4" s="1"/>
  <c r="H272" i="4" s="1"/>
  <c r="C273" i="4"/>
  <c r="F273" i="4" s="1"/>
  <c r="G273" i="4" s="1"/>
  <c r="H273" i="4" s="1"/>
  <c r="C274" i="4"/>
  <c r="F274" i="4" s="1"/>
  <c r="G274" i="4" s="1"/>
  <c r="H274" i="4" s="1"/>
  <c r="C275" i="4"/>
  <c r="F275" i="4" s="1"/>
  <c r="G275" i="4" s="1"/>
  <c r="H275" i="4" s="1"/>
  <c r="C276" i="4"/>
  <c r="F276" i="4" s="1"/>
  <c r="G276" i="4" s="1"/>
  <c r="H276" i="4" s="1"/>
  <c r="C277" i="4"/>
  <c r="F277" i="4" s="1"/>
  <c r="G277" i="4" s="1"/>
  <c r="H277" i="4" s="1"/>
  <c r="C278" i="4"/>
  <c r="F278" i="4" s="1"/>
  <c r="G278" i="4" s="1"/>
  <c r="H278" i="4" s="1"/>
  <c r="C279" i="4"/>
  <c r="F279" i="4" s="1"/>
  <c r="G279" i="4" s="1"/>
  <c r="H279" i="4" s="1"/>
  <c r="C280" i="4"/>
  <c r="F280" i="4" s="1"/>
  <c r="G280" i="4" s="1"/>
  <c r="H280" i="4" s="1"/>
  <c r="C281" i="4"/>
  <c r="F281" i="4" s="1"/>
  <c r="G281" i="4" s="1"/>
  <c r="H281" i="4" s="1"/>
  <c r="C282" i="4"/>
  <c r="F282" i="4" s="1"/>
  <c r="G282" i="4" s="1"/>
  <c r="H282" i="4" s="1"/>
  <c r="C283" i="4"/>
  <c r="F283" i="4" s="1"/>
  <c r="G283" i="4" s="1"/>
  <c r="H283" i="4" s="1"/>
  <c r="C284" i="4"/>
  <c r="F284" i="4" s="1"/>
  <c r="G284" i="4" s="1"/>
  <c r="H284" i="4" s="1"/>
  <c r="C285" i="4"/>
  <c r="F285" i="4" s="1"/>
  <c r="G285" i="4" s="1"/>
  <c r="H285" i="4" s="1"/>
  <c r="C286" i="4"/>
  <c r="F286" i="4" s="1"/>
  <c r="G286" i="4" s="1"/>
  <c r="H286" i="4" s="1"/>
  <c r="C287" i="4"/>
  <c r="F287" i="4" s="1"/>
  <c r="G287" i="4" s="1"/>
  <c r="H287" i="4" s="1"/>
  <c r="C288" i="4"/>
  <c r="F288" i="4" s="1"/>
  <c r="G288" i="4" s="1"/>
  <c r="H288" i="4" s="1"/>
  <c r="C289" i="4"/>
  <c r="F289" i="4" s="1"/>
  <c r="G289" i="4" s="1"/>
  <c r="H289" i="4" s="1"/>
  <c r="C290" i="4"/>
  <c r="F290" i="4" s="1"/>
  <c r="G290" i="4" s="1"/>
  <c r="H290" i="4" s="1"/>
  <c r="C291" i="4"/>
  <c r="F291" i="4" s="1"/>
  <c r="G291" i="4" s="1"/>
  <c r="H291" i="4" s="1"/>
  <c r="C292" i="4"/>
  <c r="F292" i="4" s="1"/>
  <c r="G292" i="4" s="1"/>
  <c r="H292" i="4" s="1"/>
  <c r="C293" i="4"/>
  <c r="F293" i="4" s="1"/>
  <c r="G293" i="4" s="1"/>
  <c r="H293" i="4" s="1"/>
  <c r="C294" i="4"/>
  <c r="F294" i="4" s="1"/>
  <c r="G294" i="4" s="1"/>
  <c r="H294" i="4" s="1"/>
  <c r="C295" i="4"/>
  <c r="F295" i="4" s="1"/>
  <c r="G295" i="4" s="1"/>
  <c r="H295" i="4" s="1"/>
  <c r="C296" i="4"/>
  <c r="F296" i="4" s="1"/>
  <c r="G296" i="4" s="1"/>
  <c r="H296" i="4" s="1"/>
  <c r="C297" i="4"/>
  <c r="F297" i="4" s="1"/>
  <c r="G297" i="4" s="1"/>
  <c r="H297" i="4" s="1"/>
  <c r="C298" i="4"/>
  <c r="F298" i="4" s="1"/>
  <c r="G298" i="4" s="1"/>
  <c r="H298" i="4" s="1"/>
  <c r="C299" i="4"/>
  <c r="F299" i="4" s="1"/>
  <c r="G299" i="4" s="1"/>
  <c r="H299" i="4" s="1"/>
  <c r="C300" i="4"/>
  <c r="F300" i="4" s="1"/>
  <c r="G300" i="4" s="1"/>
  <c r="H300" i="4" s="1"/>
  <c r="C301" i="4"/>
  <c r="F301" i="4" s="1"/>
  <c r="G301" i="4" s="1"/>
  <c r="H301" i="4" s="1"/>
  <c r="C302" i="4"/>
  <c r="F302" i="4" s="1"/>
  <c r="G302" i="4" s="1"/>
  <c r="H302" i="4" s="1"/>
  <c r="C303" i="4"/>
  <c r="F303" i="4" s="1"/>
  <c r="G303" i="4" s="1"/>
  <c r="H303" i="4" s="1"/>
  <c r="C304" i="4"/>
  <c r="F304" i="4" s="1"/>
  <c r="G304" i="4" s="1"/>
  <c r="H304" i="4" s="1"/>
  <c r="C305" i="4"/>
  <c r="F305" i="4" s="1"/>
  <c r="G305" i="4" s="1"/>
  <c r="H305" i="4" s="1"/>
  <c r="C306" i="4"/>
  <c r="F306" i="4" s="1"/>
  <c r="G306" i="4" s="1"/>
  <c r="H306" i="4" s="1"/>
  <c r="C307" i="4"/>
  <c r="F307" i="4" s="1"/>
  <c r="G307" i="4" s="1"/>
  <c r="H307" i="4" s="1"/>
  <c r="C308" i="4"/>
  <c r="F308" i="4" s="1"/>
  <c r="G308" i="4" s="1"/>
  <c r="H308" i="4" s="1"/>
  <c r="C309" i="4"/>
  <c r="F309" i="4" s="1"/>
  <c r="G309" i="4" s="1"/>
  <c r="H309" i="4" s="1"/>
  <c r="C310" i="4"/>
  <c r="F310" i="4" s="1"/>
  <c r="G310" i="4" s="1"/>
  <c r="H310" i="4" s="1"/>
  <c r="C311" i="4"/>
  <c r="F311" i="4" s="1"/>
  <c r="G311" i="4" s="1"/>
  <c r="H311" i="4" s="1"/>
  <c r="C312" i="4"/>
  <c r="F312" i="4" s="1"/>
  <c r="G312" i="4" s="1"/>
  <c r="H312" i="4" s="1"/>
  <c r="C313" i="4"/>
  <c r="F313" i="4" s="1"/>
  <c r="G313" i="4" s="1"/>
  <c r="H313" i="4" s="1"/>
  <c r="C314" i="4"/>
  <c r="F314" i="4" s="1"/>
  <c r="G314" i="4" s="1"/>
  <c r="H314" i="4" s="1"/>
  <c r="C315" i="4"/>
  <c r="F315" i="4" s="1"/>
  <c r="G315" i="4" s="1"/>
  <c r="H315" i="4" s="1"/>
  <c r="C316" i="4"/>
  <c r="F316" i="4" s="1"/>
  <c r="G316" i="4" s="1"/>
  <c r="H316" i="4" s="1"/>
  <c r="C317" i="4"/>
  <c r="F317" i="4" s="1"/>
  <c r="G317" i="4" s="1"/>
  <c r="H317" i="4" s="1"/>
  <c r="C318" i="4"/>
  <c r="F318" i="4" s="1"/>
  <c r="G318" i="4" s="1"/>
  <c r="H318" i="4" s="1"/>
  <c r="C319" i="4"/>
  <c r="F319" i="4" s="1"/>
  <c r="G319" i="4" s="1"/>
  <c r="H319" i="4" s="1"/>
  <c r="C320" i="4"/>
  <c r="F320" i="4" s="1"/>
  <c r="G320" i="4" s="1"/>
  <c r="H320" i="4" s="1"/>
  <c r="C321" i="4"/>
  <c r="F321" i="4" s="1"/>
  <c r="G321" i="4" s="1"/>
  <c r="H321" i="4" s="1"/>
  <c r="C322" i="4"/>
  <c r="F322" i="4" s="1"/>
  <c r="G322" i="4" s="1"/>
  <c r="H322" i="4" s="1"/>
  <c r="C323" i="4"/>
  <c r="F323" i="4" s="1"/>
  <c r="G323" i="4" s="1"/>
  <c r="H323" i="4" s="1"/>
  <c r="C324" i="4"/>
  <c r="F324" i="4" s="1"/>
  <c r="G324" i="4" s="1"/>
  <c r="H324" i="4" s="1"/>
  <c r="C325" i="4"/>
  <c r="F325" i="4" s="1"/>
  <c r="G325" i="4" s="1"/>
  <c r="H325" i="4" s="1"/>
  <c r="C326" i="4"/>
  <c r="F326" i="4" s="1"/>
  <c r="G326" i="4" s="1"/>
  <c r="H326" i="4" s="1"/>
  <c r="C327" i="4"/>
  <c r="F327" i="4" s="1"/>
  <c r="G327" i="4" s="1"/>
  <c r="H327" i="4" s="1"/>
  <c r="C328" i="4"/>
  <c r="F328" i="4" s="1"/>
  <c r="G328" i="4" s="1"/>
  <c r="H328" i="4" s="1"/>
  <c r="C329" i="4"/>
  <c r="F329" i="4" s="1"/>
  <c r="G329" i="4" s="1"/>
  <c r="H329" i="4" s="1"/>
  <c r="C330" i="4"/>
  <c r="F330" i="4" s="1"/>
  <c r="G330" i="4" s="1"/>
  <c r="H330" i="4" s="1"/>
  <c r="C331" i="4"/>
  <c r="F331" i="4" s="1"/>
  <c r="G331" i="4" s="1"/>
  <c r="H331" i="4" s="1"/>
  <c r="C332" i="4"/>
  <c r="F332" i="4" s="1"/>
  <c r="G332" i="4" s="1"/>
  <c r="H332" i="4" s="1"/>
  <c r="C333" i="4"/>
  <c r="F333" i="4" s="1"/>
  <c r="G333" i="4" s="1"/>
  <c r="H333" i="4" s="1"/>
  <c r="C334" i="4"/>
  <c r="F334" i="4" s="1"/>
  <c r="G334" i="4" s="1"/>
  <c r="H334" i="4" s="1"/>
  <c r="C335" i="4"/>
  <c r="F335" i="4" s="1"/>
  <c r="G335" i="4" s="1"/>
  <c r="H335" i="4" s="1"/>
  <c r="C336" i="4"/>
  <c r="F336" i="4" s="1"/>
  <c r="G336" i="4" s="1"/>
  <c r="H336" i="4" s="1"/>
  <c r="C337" i="4"/>
  <c r="F337" i="4" s="1"/>
  <c r="G337" i="4" s="1"/>
  <c r="H337" i="4" s="1"/>
  <c r="C338" i="4"/>
  <c r="F338" i="4" s="1"/>
  <c r="G338" i="4" s="1"/>
  <c r="H338" i="4" s="1"/>
  <c r="C339" i="4"/>
  <c r="F339" i="4" s="1"/>
  <c r="G339" i="4" s="1"/>
  <c r="H339" i="4" s="1"/>
  <c r="C340" i="4"/>
  <c r="F340" i="4" s="1"/>
  <c r="G340" i="4" s="1"/>
  <c r="H340" i="4" s="1"/>
  <c r="C341" i="4"/>
  <c r="F341" i="4" s="1"/>
  <c r="G341" i="4" s="1"/>
  <c r="H341" i="4" s="1"/>
  <c r="C342" i="4"/>
  <c r="F342" i="4" s="1"/>
  <c r="G342" i="4" s="1"/>
  <c r="H342" i="4" s="1"/>
  <c r="C343" i="4"/>
  <c r="F343" i="4" s="1"/>
  <c r="G343" i="4" s="1"/>
  <c r="H343" i="4" s="1"/>
  <c r="C344" i="4"/>
  <c r="F344" i="4" s="1"/>
  <c r="G344" i="4" s="1"/>
  <c r="H344" i="4" s="1"/>
  <c r="C345" i="4"/>
  <c r="F345" i="4" s="1"/>
  <c r="G345" i="4" s="1"/>
  <c r="H345" i="4" s="1"/>
  <c r="C346" i="4"/>
  <c r="F346" i="4" s="1"/>
  <c r="G346" i="4" s="1"/>
  <c r="H346" i="4" s="1"/>
  <c r="C347" i="4"/>
  <c r="F347" i="4" s="1"/>
  <c r="G347" i="4" s="1"/>
  <c r="H347" i="4" s="1"/>
  <c r="C348" i="4"/>
  <c r="F348" i="4" s="1"/>
  <c r="G348" i="4" s="1"/>
  <c r="H348" i="4" s="1"/>
  <c r="C349" i="4"/>
  <c r="F349" i="4" s="1"/>
  <c r="G349" i="4" s="1"/>
  <c r="H349" i="4" s="1"/>
  <c r="C350" i="4"/>
  <c r="F350" i="4" s="1"/>
  <c r="G350" i="4" s="1"/>
  <c r="H350" i="4" s="1"/>
  <c r="C351" i="4"/>
  <c r="F351" i="4" s="1"/>
  <c r="G351" i="4" s="1"/>
  <c r="H351" i="4" s="1"/>
  <c r="C352" i="4"/>
  <c r="F352" i="4" s="1"/>
  <c r="G352" i="4" s="1"/>
  <c r="H352" i="4" s="1"/>
  <c r="C353" i="4"/>
  <c r="F353" i="4" s="1"/>
  <c r="G353" i="4" s="1"/>
  <c r="H353" i="4" s="1"/>
  <c r="C354" i="4"/>
  <c r="F354" i="4" s="1"/>
  <c r="G354" i="4" s="1"/>
  <c r="H354" i="4" s="1"/>
  <c r="C355" i="4"/>
  <c r="F355" i="4" s="1"/>
  <c r="G355" i="4" s="1"/>
  <c r="H355" i="4" s="1"/>
  <c r="C356" i="4"/>
  <c r="F356" i="4" s="1"/>
  <c r="G356" i="4" s="1"/>
  <c r="H356" i="4" s="1"/>
  <c r="C357" i="4"/>
  <c r="F357" i="4" s="1"/>
  <c r="G357" i="4" s="1"/>
  <c r="H357" i="4" s="1"/>
  <c r="C358" i="4"/>
  <c r="F358" i="4" s="1"/>
  <c r="G358" i="4" s="1"/>
  <c r="H358" i="4" s="1"/>
  <c r="C359" i="4"/>
  <c r="F359" i="4" s="1"/>
  <c r="G359" i="4" s="1"/>
  <c r="H359" i="4" s="1"/>
  <c r="C360" i="4"/>
  <c r="F360" i="4" s="1"/>
  <c r="G360" i="4" s="1"/>
  <c r="H360" i="4" s="1"/>
  <c r="C361" i="4"/>
  <c r="F361" i="4" s="1"/>
  <c r="G361" i="4" s="1"/>
  <c r="H361" i="4" s="1"/>
  <c r="C362" i="4"/>
  <c r="F362" i="4" s="1"/>
  <c r="G362" i="4" s="1"/>
  <c r="H362" i="4" s="1"/>
  <c r="C363" i="4"/>
  <c r="F363" i="4" s="1"/>
  <c r="G363" i="4" s="1"/>
  <c r="H363" i="4" s="1"/>
  <c r="C364" i="4"/>
  <c r="F364" i="4" s="1"/>
  <c r="G364" i="4" s="1"/>
  <c r="H364" i="4" s="1"/>
  <c r="C365" i="4"/>
  <c r="F365" i="4" s="1"/>
  <c r="G365" i="4" s="1"/>
  <c r="H365" i="4" s="1"/>
  <c r="C366" i="4"/>
  <c r="F366" i="4" s="1"/>
  <c r="G366" i="4" s="1"/>
  <c r="H366" i="4" s="1"/>
  <c r="C367" i="4"/>
  <c r="F367" i="4" s="1"/>
  <c r="G367" i="4" s="1"/>
  <c r="H367" i="4" s="1"/>
  <c r="C368" i="4"/>
  <c r="F368" i="4" s="1"/>
  <c r="G368" i="4" s="1"/>
  <c r="H368" i="4" s="1"/>
  <c r="C369" i="4"/>
  <c r="F369" i="4" s="1"/>
  <c r="G369" i="4" s="1"/>
  <c r="H369" i="4" s="1"/>
  <c r="C370" i="4"/>
  <c r="F370" i="4" s="1"/>
  <c r="G370" i="4" s="1"/>
  <c r="H370" i="4" s="1"/>
  <c r="C371" i="4"/>
  <c r="F371" i="4" s="1"/>
  <c r="G371" i="4" s="1"/>
  <c r="H371" i="4" s="1"/>
  <c r="C372" i="4"/>
  <c r="F372" i="4" s="1"/>
  <c r="G372" i="4" s="1"/>
  <c r="H372" i="4" s="1"/>
  <c r="C373" i="4"/>
  <c r="F373" i="4" s="1"/>
  <c r="G373" i="4" s="1"/>
  <c r="H373" i="4" s="1"/>
  <c r="C374" i="4"/>
  <c r="F374" i="4" s="1"/>
  <c r="G374" i="4" s="1"/>
  <c r="H374" i="4" s="1"/>
  <c r="C375" i="4"/>
  <c r="F375" i="4" s="1"/>
  <c r="G375" i="4" s="1"/>
  <c r="H375" i="4" s="1"/>
  <c r="C376" i="4"/>
  <c r="F376" i="4" s="1"/>
  <c r="G376" i="4" s="1"/>
  <c r="H376" i="4" s="1"/>
  <c r="C377" i="4"/>
  <c r="F377" i="4" s="1"/>
  <c r="G377" i="4" s="1"/>
  <c r="H377" i="4" s="1"/>
  <c r="C378" i="4"/>
  <c r="F378" i="4" s="1"/>
  <c r="G378" i="4" s="1"/>
  <c r="H378" i="4" s="1"/>
  <c r="C379" i="4"/>
  <c r="F379" i="4" s="1"/>
  <c r="G379" i="4" s="1"/>
  <c r="H379" i="4" s="1"/>
  <c r="C380" i="4"/>
  <c r="F380" i="4" s="1"/>
  <c r="G380" i="4" s="1"/>
  <c r="H380" i="4" s="1"/>
  <c r="C381" i="4"/>
  <c r="F381" i="4" s="1"/>
  <c r="G381" i="4" s="1"/>
  <c r="H381" i="4" s="1"/>
  <c r="C382" i="4"/>
  <c r="F382" i="4" s="1"/>
  <c r="G382" i="4" s="1"/>
  <c r="H382" i="4" s="1"/>
  <c r="C383" i="4"/>
  <c r="F383" i="4" s="1"/>
  <c r="G383" i="4" s="1"/>
  <c r="H383" i="4" s="1"/>
  <c r="C384" i="4"/>
  <c r="F384" i="4" s="1"/>
  <c r="G384" i="4" s="1"/>
  <c r="H384" i="4" s="1"/>
  <c r="C385" i="4"/>
  <c r="F385" i="4" s="1"/>
  <c r="G385" i="4" s="1"/>
  <c r="H385" i="4" s="1"/>
  <c r="C386" i="4"/>
  <c r="F386" i="4" s="1"/>
  <c r="G386" i="4" s="1"/>
  <c r="H386" i="4" s="1"/>
  <c r="C387" i="4"/>
  <c r="F387" i="4" s="1"/>
  <c r="G387" i="4" s="1"/>
  <c r="H387" i="4" s="1"/>
  <c r="C388" i="4"/>
  <c r="F388" i="4" s="1"/>
  <c r="G388" i="4" s="1"/>
  <c r="H388" i="4" s="1"/>
  <c r="C389" i="4"/>
  <c r="F389" i="4" s="1"/>
  <c r="G389" i="4" s="1"/>
  <c r="H389" i="4" s="1"/>
  <c r="C390" i="4"/>
  <c r="F390" i="4" s="1"/>
  <c r="G390" i="4" s="1"/>
  <c r="H390" i="4" s="1"/>
  <c r="C391" i="4"/>
  <c r="F391" i="4" s="1"/>
  <c r="G391" i="4" s="1"/>
  <c r="H391" i="4" s="1"/>
  <c r="C392" i="4"/>
  <c r="F392" i="4" s="1"/>
  <c r="G392" i="4" s="1"/>
  <c r="H392" i="4" s="1"/>
  <c r="C393" i="4"/>
  <c r="F393" i="4" s="1"/>
  <c r="G393" i="4" s="1"/>
  <c r="H393" i="4" s="1"/>
  <c r="C394" i="4"/>
  <c r="F394" i="4" s="1"/>
  <c r="G394" i="4" s="1"/>
  <c r="H394" i="4" s="1"/>
  <c r="C395" i="4"/>
  <c r="F395" i="4" s="1"/>
  <c r="G395" i="4" s="1"/>
  <c r="H395" i="4" s="1"/>
  <c r="C396" i="4"/>
  <c r="F396" i="4" s="1"/>
  <c r="G396" i="4" s="1"/>
  <c r="H396" i="4" s="1"/>
  <c r="C397" i="4"/>
  <c r="F397" i="4" s="1"/>
  <c r="G397" i="4" s="1"/>
  <c r="H397" i="4" s="1"/>
  <c r="C398" i="4"/>
  <c r="F398" i="4" s="1"/>
  <c r="G398" i="4" s="1"/>
  <c r="H398" i="4" s="1"/>
  <c r="C399" i="4"/>
  <c r="F399" i="4" s="1"/>
  <c r="G399" i="4" s="1"/>
  <c r="H399" i="4" s="1"/>
  <c r="C400" i="4"/>
  <c r="F400" i="4" s="1"/>
  <c r="G400" i="4" s="1"/>
  <c r="H400" i="4" s="1"/>
  <c r="C401" i="4"/>
  <c r="F401" i="4" s="1"/>
  <c r="G401" i="4" s="1"/>
  <c r="H401" i="4" s="1"/>
  <c r="C402" i="4"/>
  <c r="F402" i="4" s="1"/>
  <c r="G402" i="4" s="1"/>
  <c r="H402" i="4" s="1"/>
  <c r="C403" i="4"/>
  <c r="F403" i="4" s="1"/>
  <c r="G403" i="4" s="1"/>
  <c r="H403" i="4" s="1"/>
  <c r="C404" i="4"/>
  <c r="F404" i="4" s="1"/>
  <c r="G404" i="4" s="1"/>
  <c r="H404" i="4" s="1"/>
  <c r="C405" i="4"/>
  <c r="F405" i="4" s="1"/>
  <c r="G405" i="4" s="1"/>
  <c r="H405" i="4" s="1"/>
  <c r="C406" i="4"/>
  <c r="F406" i="4" s="1"/>
  <c r="G406" i="4" s="1"/>
  <c r="H406" i="4" s="1"/>
  <c r="C407" i="4"/>
  <c r="F407" i="4" s="1"/>
  <c r="G407" i="4" s="1"/>
  <c r="H407" i="4" s="1"/>
  <c r="C408" i="4"/>
  <c r="F408" i="4" s="1"/>
  <c r="G408" i="4" s="1"/>
  <c r="H408" i="4" s="1"/>
  <c r="C409" i="4"/>
  <c r="F409" i="4" s="1"/>
  <c r="G409" i="4" s="1"/>
  <c r="H409" i="4" s="1"/>
  <c r="C410" i="4"/>
  <c r="F410" i="4" s="1"/>
  <c r="G410" i="4" s="1"/>
  <c r="H410" i="4" s="1"/>
  <c r="C411" i="4"/>
  <c r="F411" i="4" s="1"/>
  <c r="G411" i="4" s="1"/>
  <c r="H411" i="4" s="1"/>
  <c r="C412" i="4"/>
  <c r="F412" i="4" s="1"/>
  <c r="G412" i="4" s="1"/>
  <c r="H412" i="4" s="1"/>
  <c r="C413" i="4"/>
  <c r="F413" i="4" s="1"/>
  <c r="G413" i="4" s="1"/>
  <c r="H413" i="4" s="1"/>
  <c r="C414" i="4"/>
  <c r="F414" i="4" s="1"/>
  <c r="G414" i="4" s="1"/>
  <c r="H414" i="4" s="1"/>
  <c r="C415" i="4"/>
  <c r="F415" i="4" s="1"/>
  <c r="G415" i="4" s="1"/>
  <c r="H415" i="4" s="1"/>
  <c r="C416" i="4"/>
  <c r="F416" i="4" s="1"/>
  <c r="G416" i="4" s="1"/>
  <c r="H416" i="4" s="1"/>
  <c r="C417" i="4"/>
  <c r="F417" i="4" s="1"/>
  <c r="G417" i="4" s="1"/>
  <c r="H417" i="4" s="1"/>
  <c r="C418" i="4"/>
  <c r="F418" i="4" s="1"/>
  <c r="G418" i="4" s="1"/>
  <c r="H418" i="4" s="1"/>
  <c r="C419" i="4"/>
  <c r="F419" i="4" s="1"/>
  <c r="G419" i="4" s="1"/>
  <c r="H419" i="4" s="1"/>
  <c r="C420" i="4"/>
  <c r="F420" i="4" s="1"/>
  <c r="G420" i="4" s="1"/>
  <c r="H420" i="4" s="1"/>
  <c r="C421" i="4"/>
  <c r="F421" i="4" s="1"/>
  <c r="G421" i="4" s="1"/>
  <c r="H421" i="4" s="1"/>
  <c r="C422" i="4"/>
  <c r="F422" i="4" s="1"/>
  <c r="G422" i="4" s="1"/>
  <c r="H422" i="4" s="1"/>
  <c r="C423" i="4"/>
  <c r="F423" i="4" s="1"/>
  <c r="G423" i="4" s="1"/>
  <c r="H423" i="4" s="1"/>
  <c r="C424" i="4"/>
  <c r="F424" i="4" s="1"/>
  <c r="G424" i="4" s="1"/>
  <c r="H424" i="4" s="1"/>
  <c r="C425" i="4"/>
  <c r="F425" i="4" s="1"/>
  <c r="G425" i="4" s="1"/>
  <c r="H425" i="4" s="1"/>
  <c r="C426" i="4"/>
  <c r="F426" i="4" s="1"/>
  <c r="G426" i="4" s="1"/>
  <c r="H426" i="4" s="1"/>
  <c r="C427" i="4"/>
  <c r="F427" i="4" s="1"/>
  <c r="G427" i="4" s="1"/>
  <c r="H427" i="4" s="1"/>
  <c r="C428" i="4"/>
  <c r="F428" i="4" s="1"/>
  <c r="G428" i="4" s="1"/>
  <c r="H428" i="4" s="1"/>
  <c r="C429" i="4"/>
  <c r="F429" i="4" s="1"/>
  <c r="G429" i="4" s="1"/>
  <c r="H429" i="4" s="1"/>
  <c r="C430" i="4"/>
  <c r="F430" i="4" s="1"/>
  <c r="G430" i="4" s="1"/>
  <c r="H430" i="4" s="1"/>
  <c r="C431" i="4"/>
  <c r="F431" i="4" s="1"/>
  <c r="G431" i="4" s="1"/>
  <c r="H431" i="4" s="1"/>
  <c r="C432" i="4"/>
  <c r="F432" i="4" s="1"/>
  <c r="G432" i="4" s="1"/>
  <c r="H432" i="4" s="1"/>
  <c r="C433" i="4"/>
  <c r="F433" i="4" s="1"/>
  <c r="G433" i="4" s="1"/>
  <c r="H433" i="4" s="1"/>
  <c r="C434" i="4"/>
  <c r="F434" i="4" s="1"/>
  <c r="G434" i="4" s="1"/>
  <c r="H434" i="4" s="1"/>
  <c r="C435" i="4"/>
  <c r="F435" i="4" s="1"/>
  <c r="G435" i="4" s="1"/>
  <c r="H435" i="4" s="1"/>
  <c r="C436" i="4"/>
  <c r="F436" i="4" s="1"/>
  <c r="G436" i="4" s="1"/>
  <c r="H436" i="4" s="1"/>
  <c r="C437" i="4"/>
  <c r="F437" i="4" s="1"/>
  <c r="G437" i="4" s="1"/>
  <c r="H437" i="4" s="1"/>
  <c r="C438" i="4"/>
  <c r="F438" i="4" s="1"/>
  <c r="G438" i="4" s="1"/>
  <c r="H438" i="4" s="1"/>
  <c r="C439" i="4"/>
  <c r="F439" i="4" s="1"/>
  <c r="G439" i="4" s="1"/>
  <c r="H439" i="4" s="1"/>
  <c r="C440" i="4"/>
  <c r="F440" i="4" s="1"/>
  <c r="G440" i="4" s="1"/>
  <c r="H440" i="4" s="1"/>
  <c r="C441" i="4"/>
  <c r="F441" i="4" s="1"/>
  <c r="G441" i="4" s="1"/>
  <c r="H441" i="4" s="1"/>
  <c r="C442" i="4"/>
  <c r="F442" i="4" s="1"/>
  <c r="G442" i="4" s="1"/>
  <c r="H442" i="4" s="1"/>
  <c r="C443" i="4"/>
  <c r="F443" i="4" s="1"/>
  <c r="G443" i="4" s="1"/>
  <c r="H443" i="4" s="1"/>
  <c r="C444" i="4"/>
  <c r="F444" i="4" s="1"/>
  <c r="G444" i="4" s="1"/>
  <c r="H444" i="4" s="1"/>
  <c r="C445" i="4"/>
  <c r="F445" i="4" s="1"/>
  <c r="G445" i="4" s="1"/>
  <c r="H445" i="4" s="1"/>
  <c r="C446" i="4"/>
  <c r="F446" i="4" s="1"/>
  <c r="G446" i="4" s="1"/>
  <c r="H446" i="4" s="1"/>
  <c r="C447" i="4"/>
  <c r="F447" i="4" s="1"/>
  <c r="G447" i="4" s="1"/>
  <c r="H447" i="4" s="1"/>
  <c r="C448" i="4"/>
  <c r="F448" i="4" s="1"/>
  <c r="G448" i="4" s="1"/>
  <c r="H448" i="4" s="1"/>
  <c r="C449" i="4"/>
  <c r="F449" i="4" s="1"/>
  <c r="G449" i="4" s="1"/>
  <c r="H449" i="4" s="1"/>
  <c r="C450" i="4"/>
  <c r="F450" i="4" s="1"/>
  <c r="G450" i="4" s="1"/>
  <c r="H450" i="4" s="1"/>
  <c r="C451" i="4"/>
  <c r="F451" i="4" s="1"/>
  <c r="G451" i="4" s="1"/>
  <c r="H451" i="4" s="1"/>
  <c r="C452" i="4"/>
  <c r="F452" i="4" s="1"/>
  <c r="G452" i="4" s="1"/>
  <c r="H452" i="4" s="1"/>
  <c r="C453" i="4"/>
  <c r="F453" i="4" s="1"/>
  <c r="G453" i="4" s="1"/>
  <c r="H453" i="4" s="1"/>
  <c r="C454" i="4"/>
  <c r="F454" i="4" s="1"/>
  <c r="G454" i="4" s="1"/>
  <c r="H454" i="4" s="1"/>
  <c r="C455" i="4"/>
  <c r="F455" i="4" s="1"/>
  <c r="G455" i="4" s="1"/>
  <c r="H455" i="4" s="1"/>
  <c r="C456" i="4"/>
  <c r="F456" i="4" s="1"/>
  <c r="G456" i="4" s="1"/>
  <c r="H456" i="4" s="1"/>
  <c r="C457" i="4"/>
  <c r="F457" i="4" s="1"/>
  <c r="G457" i="4" s="1"/>
  <c r="H457" i="4" s="1"/>
  <c r="C458" i="4"/>
  <c r="F458" i="4" s="1"/>
  <c r="G458" i="4" s="1"/>
  <c r="H458" i="4" s="1"/>
  <c r="C459" i="4"/>
  <c r="F459" i="4" s="1"/>
  <c r="G459" i="4" s="1"/>
  <c r="H459" i="4" s="1"/>
  <c r="C460" i="4"/>
  <c r="F460" i="4" s="1"/>
  <c r="G460" i="4" s="1"/>
  <c r="H460" i="4" s="1"/>
  <c r="C461" i="4"/>
  <c r="F461" i="4" s="1"/>
  <c r="G461" i="4" s="1"/>
  <c r="H461" i="4" s="1"/>
  <c r="C462" i="4"/>
  <c r="F462" i="4" s="1"/>
  <c r="G462" i="4" s="1"/>
  <c r="H462" i="4" s="1"/>
  <c r="C463" i="4"/>
  <c r="F463" i="4" s="1"/>
  <c r="G463" i="4" s="1"/>
  <c r="H463" i="4" s="1"/>
  <c r="C464" i="4"/>
  <c r="F464" i="4" s="1"/>
  <c r="G464" i="4" s="1"/>
  <c r="H464" i="4" s="1"/>
  <c r="C465" i="4"/>
  <c r="F465" i="4" s="1"/>
  <c r="G465" i="4" s="1"/>
  <c r="H465" i="4" s="1"/>
  <c r="C466" i="4"/>
  <c r="F466" i="4" s="1"/>
  <c r="G466" i="4" s="1"/>
  <c r="H466" i="4" s="1"/>
  <c r="C467" i="4"/>
  <c r="F467" i="4" s="1"/>
  <c r="G467" i="4" s="1"/>
  <c r="H467" i="4" s="1"/>
  <c r="C468" i="4"/>
  <c r="F468" i="4" s="1"/>
  <c r="G468" i="4" s="1"/>
  <c r="H468" i="4" s="1"/>
  <c r="C469" i="4"/>
  <c r="F469" i="4" s="1"/>
  <c r="G469" i="4" s="1"/>
  <c r="H469" i="4" s="1"/>
  <c r="C470" i="4"/>
  <c r="F470" i="4" s="1"/>
  <c r="G470" i="4" s="1"/>
  <c r="H470" i="4" s="1"/>
  <c r="C471" i="4"/>
  <c r="F471" i="4" s="1"/>
  <c r="G471" i="4" s="1"/>
  <c r="H471" i="4" s="1"/>
  <c r="C472" i="4"/>
  <c r="F472" i="4" s="1"/>
  <c r="G472" i="4" s="1"/>
  <c r="H472" i="4" s="1"/>
  <c r="C473" i="4"/>
  <c r="F473" i="4" s="1"/>
  <c r="G473" i="4" s="1"/>
  <c r="H473" i="4" s="1"/>
  <c r="C474" i="4"/>
  <c r="F474" i="4" s="1"/>
  <c r="G474" i="4" s="1"/>
  <c r="H474" i="4" s="1"/>
  <c r="C475" i="4"/>
  <c r="F475" i="4" s="1"/>
  <c r="G475" i="4" s="1"/>
  <c r="H475" i="4" s="1"/>
  <c r="C476" i="4"/>
  <c r="F476" i="4" s="1"/>
  <c r="G476" i="4" s="1"/>
  <c r="H476" i="4" s="1"/>
  <c r="C477" i="4"/>
  <c r="F477" i="4" s="1"/>
  <c r="G477" i="4" s="1"/>
  <c r="H477" i="4" s="1"/>
  <c r="C478" i="4"/>
  <c r="F478" i="4" s="1"/>
  <c r="G478" i="4" s="1"/>
  <c r="H478" i="4" s="1"/>
  <c r="C479" i="4"/>
  <c r="F479" i="4" s="1"/>
  <c r="G479" i="4" s="1"/>
  <c r="H479" i="4" s="1"/>
  <c r="C480" i="4"/>
  <c r="F480" i="4" s="1"/>
  <c r="G480" i="4" s="1"/>
  <c r="H480" i="4" s="1"/>
  <c r="C481" i="4"/>
  <c r="F481" i="4" s="1"/>
  <c r="G481" i="4" s="1"/>
  <c r="H481" i="4" s="1"/>
  <c r="C482" i="4"/>
  <c r="F482" i="4" s="1"/>
  <c r="G482" i="4" s="1"/>
  <c r="H482" i="4" s="1"/>
  <c r="C483" i="4"/>
  <c r="F483" i="4" s="1"/>
  <c r="G483" i="4" s="1"/>
  <c r="H483" i="4" s="1"/>
  <c r="C484" i="4"/>
  <c r="F484" i="4" s="1"/>
  <c r="G484" i="4" s="1"/>
  <c r="H484" i="4" s="1"/>
  <c r="C485" i="4"/>
  <c r="F485" i="4" s="1"/>
  <c r="G485" i="4" s="1"/>
  <c r="H485" i="4" s="1"/>
  <c r="C486" i="4"/>
  <c r="F486" i="4" s="1"/>
  <c r="G486" i="4" s="1"/>
  <c r="H486" i="4" s="1"/>
  <c r="C487" i="4"/>
  <c r="F487" i="4" s="1"/>
  <c r="G487" i="4" s="1"/>
  <c r="H487" i="4" s="1"/>
  <c r="C488" i="4"/>
  <c r="F488" i="4" s="1"/>
  <c r="G488" i="4" s="1"/>
  <c r="H488" i="4" s="1"/>
  <c r="F489" i="4"/>
  <c r="G489" i="4" s="1"/>
  <c r="H489" i="4" s="1"/>
  <c r="C490" i="4"/>
  <c r="F490" i="4" s="1"/>
  <c r="G490" i="4" s="1"/>
  <c r="H490" i="4" s="1"/>
  <c r="C491" i="4"/>
  <c r="F491" i="4" s="1"/>
  <c r="G491" i="4" s="1"/>
  <c r="H491" i="4" s="1"/>
  <c r="C492" i="4"/>
  <c r="F492" i="4" s="1"/>
  <c r="G492" i="4" s="1"/>
  <c r="H492" i="4" s="1"/>
  <c r="C493" i="4"/>
  <c r="F493" i="4" s="1"/>
  <c r="G493" i="4" s="1"/>
  <c r="H493" i="4" s="1"/>
  <c r="C494" i="4"/>
  <c r="F494" i="4" s="1"/>
  <c r="G494" i="4" s="1"/>
  <c r="H494" i="4" s="1"/>
  <c r="C495" i="4"/>
  <c r="F495" i="4" s="1"/>
  <c r="G495" i="4" s="1"/>
  <c r="H495" i="4" s="1"/>
  <c r="C496" i="4"/>
  <c r="F496" i="4" s="1"/>
  <c r="G496" i="4" s="1"/>
  <c r="H496" i="4" s="1"/>
  <c r="C497" i="4"/>
  <c r="F497" i="4" s="1"/>
  <c r="G497" i="4" s="1"/>
  <c r="H497" i="4" s="1"/>
  <c r="C498" i="4"/>
  <c r="F498" i="4" s="1"/>
  <c r="G498" i="4" s="1"/>
  <c r="H498" i="4" s="1"/>
  <c r="C499" i="4"/>
  <c r="F499" i="4" s="1"/>
  <c r="G499" i="4" s="1"/>
  <c r="H499" i="4" s="1"/>
  <c r="C500" i="4"/>
  <c r="F500" i="4" s="1"/>
  <c r="G500" i="4" s="1"/>
  <c r="H500" i="4" s="1"/>
  <c r="C501" i="4"/>
  <c r="F501" i="4" s="1"/>
  <c r="G501" i="4" s="1"/>
  <c r="H501" i="4" s="1"/>
  <c r="C502" i="4"/>
  <c r="F502" i="4" s="1"/>
  <c r="G502" i="4" s="1"/>
  <c r="H502" i="4" s="1"/>
  <c r="C503" i="4"/>
  <c r="F503" i="4" s="1"/>
  <c r="C504" i="4"/>
  <c r="F504" i="4" s="1"/>
  <c r="G504" i="4" s="1"/>
  <c r="H504" i="4" s="1"/>
  <c r="C505" i="4"/>
  <c r="F505" i="4" s="1"/>
  <c r="G505" i="4" s="1"/>
  <c r="H505" i="4" s="1"/>
  <c r="C506" i="4"/>
  <c r="F506" i="4" s="1"/>
  <c r="G506" i="4" s="1"/>
  <c r="H506" i="4" s="1"/>
  <c r="C507" i="4"/>
  <c r="F507" i="4" s="1"/>
  <c r="G507" i="4" s="1"/>
  <c r="H507" i="4" s="1"/>
  <c r="C508" i="4"/>
  <c r="F508" i="4" s="1"/>
  <c r="G508" i="4" s="1"/>
  <c r="H508" i="4" s="1"/>
  <c r="C509" i="4"/>
  <c r="F509" i="4" s="1"/>
  <c r="G509" i="4" s="1"/>
  <c r="H509" i="4" s="1"/>
  <c r="C510" i="4"/>
  <c r="F510" i="4" s="1"/>
  <c r="G510" i="4" s="1"/>
  <c r="H510" i="4" s="1"/>
  <c r="C511" i="4"/>
  <c r="F511" i="4" s="1"/>
  <c r="G511" i="4" s="1"/>
  <c r="H511" i="4" s="1"/>
  <c r="C512" i="4"/>
  <c r="F512" i="4" s="1"/>
  <c r="G512" i="4" s="1"/>
  <c r="H512" i="4" s="1"/>
  <c r="C513" i="4"/>
  <c r="F513" i="4" s="1"/>
  <c r="G513" i="4" s="1"/>
  <c r="H513" i="4" s="1"/>
  <c r="C514" i="4"/>
  <c r="F514" i="4" s="1"/>
  <c r="G514" i="4" s="1"/>
  <c r="H514" i="4" s="1"/>
  <c r="C515" i="4"/>
  <c r="F515" i="4" s="1"/>
  <c r="G515" i="4" s="1"/>
  <c r="H515" i="4" s="1"/>
  <c r="C516" i="4"/>
  <c r="F516" i="4" s="1"/>
  <c r="G516" i="4" s="1"/>
  <c r="H516" i="4" s="1"/>
  <c r="C517" i="4"/>
  <c r="F517" i="4" s="1"/>
  <c r="G517" i="4" s="1"/>
  <c r="H517" i="4" s="1"/>
  <c r="C518" i="4"/>
  <c r="F518" i="4" s="1"/>
  <c r="G518" i="4" s="1"/>
  <c r="H518" i="4" s="1"/>
  <c r="C519" i="4"/>
  <c r="F519" i="4" s="1"/>
  <c r="G519" i="4" s="1"/>
  <c r="H519" i="4" s="1"/>
  <c r="C520" i="4"/>
  <c r="F520" i="4" s="1"/>
  <c r="G520" i="4" s="1"/>
  <c r="H520" i="4" s="1"/>
  <c r="C521" i="4"/>
  <c r="F521" i="4" s="1"/>
  <c r="G521" i="4" s="1"/>
  <c r="H521" i="4" s="1"/>
  <c r="C522" i="4"/>
  <c r="F522" i="4" s="1"/>
  <c r="G522" i="4" s="1"/>
  <c r="H522" i="4" s="1"/>
  <c r="C523" i="4"/>
  <c r="F523" i="4" s="1"/>
  <c r="G523" i="4" s="1"/>
  <c r="H523" i="4" s="1"/>
  <c r="C524" i="4"/>
  <c r="F524" i="4" s="1"/>
  <c r="G524" i="4" s="1"/>
  <c r="H524" i="4" s="1"/>
  <c r="C525" i="4"/>
  <c r="F525" i="4" s="1"/>
  <c r="G525" i="4" s="1"/>
  <c r="H525" i="4" s="1"/>
  <c r="C526" i="4"/>
  <c r="F526" i="4" s="1"/>
  <c r="G526" i="4" s="1"/>
  <c r="H526" i="4" s="1"/>
  <c r="C527" i="4"/>
  <c r="F527" i="4" s="1"/>
  <c r="G527" i="4" s="1"/>
  <c r="H527" i="4" s="1"/>
  <c r="C528" i="4"/>
  <c r="F528" i="4" s="1"/>
  <c r="G528" i="4" s="1"/>
  <c r="H528" i="4" s="1"/>
  <c r="C529" i="4"/>
  <c r="F529" i="4" s="1"/>
  <c r="G529" i="4" s="1"/>
  <c r="H529" i="4" s="1"/>
  <c r="C530" i="4"/>
  <c r="F530" i="4" s="1"/>
  <c r="G530" i="4" s="1"/>
  <c r="H530" i="4" s="1"/>
  <c r="C531" i="4"/>
  <c r="F531" i="4" s="1"/>
  <c r="G531" i="4" s="1"/>
  <c r="H531" i="4" s="1"/>
  <c r="C532" i="4"/>
  <c r="F532" i="4" s="1"/>
  <c r="G532" i="4" s="1"/>
  <c r="H532" i="4" s="1"/>
  <c r="C533" i="4"/>
  <c r="F533" i="4" s="1"/>
  <c r="G533" i="4" s="1"/>
  <c r="H533" i="4" s="1"/>
  <c r="C534" i="4"/>
  <c r="F534" i="4" s="1"/>
  <c r="G534" i="4" s="1"/>
  <c r="H534" i="4" s="1"/>
  <c r="C535" i="4"/>
  <c r="F535" i="4" s="1"/>
  <c r="G535" i="4" s="1"/>
  <c r="H535" i="4" s="1"/>
  <c r="C536" i="4"/>
  <c r="F536" i="4" s="1"/>
  <c r="G536" i="4" s="1"/>
  <c r="H536" i="4" s="1"/>
  <c r="C537" i="4"/>
  <c r="F537" i="4" s="1"/>
  <c r="G537" i="4" s="1"/>
  <c r="H537" i="4" s="1"/>
  <c r="C538" i="4"/>
  <c r="F538" i="4" s="1"/>
  <c r="G538" i="4" s="1"/>
  <c r="H538" i="4" s="1"/>
  <c r="C539" i="4"/>
  <c r="F539" i="4" s="1"/>
  <c r="G539" i="4" s="1"/>
  <c r="H539" i="4" s="1"/>
  <c r="C540" i="4"/>
  <c r="F540" i="4" s="1"/>
  <c r="G540" i="4" s="1"/>
  <c r="H540" i="4" s="1"/>
  <c r="C541" i="4"/>
  <c r="F541" i="4" s="1"/>
  <c r="G541" i="4" s="1"/>
  <c r="H541" i="4" s="1"/>
  <c r="C542" i="4"/>
  <c r="F542" i="4" s="1"/>
  <c r="G542" i="4" s="1"/>
  <c r="H542" i="4" s="1"/>
  <c r="C543" i="4"/>
  <c r="F543" i="4" s="1"/>
  <c r="G543" i="4" s="1"/>
  <c r="H543" i="4" s="1"/>
  <c r="C544" i="4"/>
  <c r="F544" i="4" s="1"/>
  <c r="G544" i="4" s="1"/>
  <c r="H544" i="4" s="1"/>
  <c r="C545" i="4"/>
  <c r="F545" i="4" s="1"/>
  <c r="G545" i="4" s="1"/>
  <c r="H545" i="4" s="1"/>
  <c r="C546" i="4"/>
  <c r="F546" i="4" s="1"/>
  <c r="G546" i="4" s="1"/>
  <c r="H546" i="4" s="1"/>
  <c r="C547" i="4"/>
  <c r="F547" i="4" s="1"/>
  <c r="G547" i="4" s="1"/>
  <c r="H547" i="4" s="1"/>
  <c r="C548" i="4"/>
  <c r="F548" i="4" s="1"/>
  <c r="G548" i="4" s="1"/>
  <c r="H548" i="4" s="1"/>
  <c r="C549" i="4"/>
  <c r="F549" i="4" s="1"/>
  <c r="G549" i="4" s="1"/>
  <c r="H549" i="4" s="1"/>
  <c r="C550" i="4"/>
  <c r="F550" i="4" s="1"/>
  <c r="G550" i="4" s="1"/>
  <c r="H550" i="4" s="1"/>
  <c r="C551" i="4"/>
  <c r="F551" i="4" s="1"/>
  <c r="G551" i="4" s="1"/>
  <c r="H551" i="4" s="1"/>
  <c r="C552" i="4"/>
  <c r="F552" i="4" s="1"/>
  <c r="G552" i="4" s="1"/>
  <c r="H552" i="4" s="1"/>
  <c r="C553" i="4"/>
  <c r="F553" i="4" s="1"/>
  <c r="G553" i="4" s="1"/>
  <c r="H553" i="4" s="1"/>
  <c r="C554" i="4"/>
  <c r="F554" i="4" s="1"/>
  <c r="G554" i="4" s="1"/>
  <c r="H554" i="4" s="1"/>
  <c r="C555" i="4"/>
  <c r="F555" i="4" s="1"/>
  <c r="G555" i="4" s="1"/>
  <c r="H555" i="4" s="1"/>
  <c r="C556" i="4"/>
  <c r="F556" i="4" s="1"/>
  <c r="G556" i="4" s="1"/>
  <c r="H556" i="4" s="1"/>
  <c r="C557" i="4"/>
  <c r="F557" i="4" s="1"/>
  <c r="G557" i="4" s="1"/>
  <c r="H557" i="4" s="1"/>
  <c r="C558" i="4"/>
  <c r="F558" i="4" s="1"/>
  <c r="G558" i="4" s="1"/>
  <c r="H558" i="4" s="1"/>
  <c r="C559" i="4"/>
  <c r="F559" i="4" s="1"/>
  <c r="G559" i="4" s="1"/>
  <c r="H559" i="4" s="1"/>
  <c r="C560" i="4"/>
  <c r="F560" i="4" s="1"/>
  <c r="G560" i="4" s="1"/>
  <c r="H560" i="4" s="1"/>
  <c r="C561" i="4"/>
  <c r="F561" i="4" s="1"/>
  <c r="G561" i="4" s="1"/>
  <c r="H561" i="4" s="1"/>
  <c r="C562" i="4"/>
  <c r="F562" i="4" s="1"/>
  <c r="G562" i="4" s="1"/>
  <c r="H562" i="4" s="1"/>
  <c r="C563" i="4"/>
  <c r="F563" i="4" s="1"/>
  <c r="G563" i="4" s="1"/>
  <c r="H563" i="4" s="1"/>
  <c r="C564" i="4"/>
  <c r="F564" i="4" s="1"/>
  <c r="G564" i="4" s="1"/>
  <c r="H564" i="4" s="1"/>
  <c r="C565" i="4"/>
  <c r="F565" i="4" s="1"/>
  <c r="G565" i="4" s="1"/>
  <c r="H565" i="4" s="1"/>
  <c r="C566" i="4"/>
  <c r="F566" i="4" s="1"/>
  <c r="G566" i="4" s="1"/>
  <c r="H566" i="4" s="1"/>
  <c r="C567" i="4"/>
  <c r="F567" i="4" s="1"/>
  <c r="G567" i="4" s="1"/>
  <c r="H567" i="4" s="1"/>
  <c r="C568" i="4"/>
  <c r="F568" i="4" s="1"/>
  <c r="G568" i="4" s="1"/>
  <c r="H568" i="4" s="1"/>
  <c r="C569" i="4"/>
  <c r="F569" i="4" s="1"/>
  <c r="G569" i="4" s="1"/>
  <c r="H569" i="4" s="1"/>
  <c r="C570" i="4"/>
  <c r="F570" i="4" s="1"/>
  <c r="G570" i="4" s="1"/>
  <c r="H570" i="4" s="1"/>
  <c r="C571" i="4"/>
  <c r="F571" i="4" s="1"/>
  <c r="G571" i="4" s="1"/>
  <c r="H571" i="4" s="1"/>
  <c r="C572" i="4"/>
  <c r="F572" i="4" s="1"/>
  <c r="G572" i="4" s="1"/>
  <c r="H572" i="4" s="1"/>
  <c r="C573" i="4"/>
  <c r="F573" i="4" s="1"/>
  <c r="G573" i="4" s="1"/>
  <c r="H573" i="4" s="1"/>
  <c r="C574" i="4"/>
  <c r="F574" i="4" s="1"/>
  <c r="G574" i="4" s="1"/>
  <c r="H574" i="4" s="1"/>
  <c r="C575" i="4"/>
  <c r="F575" i="4" s="1"/>
  <c r="G575" i="4" s="1"/>
  <c r="H575" i="4" s="1"/>
  <c r="C576" i="4"/>
  <c r="F576" i="4" s="1"/>
  <c r="G576" i="4" s="1"/>
  <c r="H576" i="4" s="1"/>
  <c r="C577" i="4"/>
  <c r="F577" i="4" s="1"/>
  <c r="G577" i="4" s="1"/>
  <c r="H577" i="4" s="1"/>
  <c r="C578" i="4"/>
  <c r="F578" i="4" s="1"/>
  <c r="G578" i="4" s="1"/>
  <c r="H578" i="4" s="1"/>
  <c r="C579" i="4"/>
  <c r="F579" i="4" s="1"/>
  <c r="G579" i="4" s="1"/>
  <c r="H579" i="4" s="1"/>
  <c r="C580" i="4"/>
  <c r="F580" i="4" s="1"/>
  <c r="G580" i="4" s="1"/>
  <c r="H580" i="4" s="1"/>
  <c r="C581" i="4"/>
  <c r="F581" i="4" s="1"/>
  <c r="G581" i="4" s="1"/>
  <c r="H581" i="4" s="1"/>
  <c r="C582" i="4"/>
  <c r="F582" i="4" s="1"/>
  <c r="G582" i="4" s="1"/>
  <c r="H582" i="4" s="1"/>
  <c r="C583" i="4"/>
  <c r="F583" i="4" s="1"/>
  <c r="G583" i="4" s="1"/>
  <c r="H583" i="4" s="1"/>
  <c r="C584" i="4"/>
  <c r="F584" i="4" s="1"/>
  <c r="G584" i="4" s="1"/>
  <c r="H584" i="4" s="1"/>
  <c r="C585" i="4"/>
  <c r="F585" i="4" s="1"/>
  <c r="G585" i="4" s="1"/>
  <c r="H585" i="4" s="1"/>
  <c r="C586" i="4"/>
  <c r="F586" i="4" s="1"/>
  <c r="G586" i="4" s="1"/>
  <c r="H586" i="4" s="1"/>
  <c r="C587" i="4"/>
  <c r="F587" i="4" s="1"/>
  <c r="G587" i="4" s="1"/>
  <c r="H587" i="4" s="1"/>
  <c r="C588" i="4"/>
  <c r="F588" i="4" s="1"/>
  <c r="G588" i="4" s="1"/>
  <c r="H588" i="4" s="1"/>
  <c r="C589" i="4"/>
  <c r="F589" i="4" s="1"/>
  <c r="G589" i="4" s="1"/>
  <c r="H589" i="4" s="1"/>
  <c r="C590" i="4"/>
  <c r="F590" i="4" s="1"/>
  <c r="G590" i="4" s="1"/>
  <c r="H590" i="4" s="1"/>
  <c r="C591" i="4"/>
  <c r="F591" i="4" s="1"/>
  <c r="G591" i="4" s="1"/>
  <c r="H591" i="4" s="1"/>
  <c r="C592" i="4"/>
  <c r="F592" i="4" s="1"/>
  <c r="G592" i="4" s="1"/>
  <c r="H592" i="4" s="1"/>
  <c r="C593" i="4"/>
  <c r="F593" i="4" s="1"/>
  <c r="G593" i="4" s="1"/>
  <c r="H593" i="4" s="1"/>
  <c r="C594" i="4"/>
  <c r="F594" i="4" s="1"/>
  <c r="G594" i="4" s="1"/>
  <c r="H594" i="4" s="1"/>
  <c r="C595" i="4"/>
  <c r="F595" i="4" s="1"/>
  <c r="G595" i="4" s="1"/>
  <c r="H595" i="4" s="1"/>
  <c r="C596" i="4"/>
  <c r="F596" i="4" s="1"/>
  <c r="G596" i="4" s="1"/>
  <c r="H596" i="4" s="1"/>
  <c r="C597" i="4"/>
  <c r="F597" i="4" s="1"/>
  <c r="G597" i="4" s="1"/>
  <c r="H597" i="4" s="1"/>
  <c r="C598" i="4"/>
  <c r="F598" i="4" s="1"/>
  <c r="G598" i="4" s="1"/>
  <c r="H598" i="4" s="1"/>
  <c r="C599" i="4"/>
  <c r="F599" i="4" s="1"/>
  <c r="G599" i="4" s="1"/>
  <c r="H599" i="4" s="1"/>
  <c r="C600" i="4"/>
  <c r="F600" i="4" s="1"/>
  <c r="G600" i="4" s="1"/>
  <c r="H600" i="4" s="1"/>
  <c r="C601" i="4"/>
  <c r="F601" i="4" s="1"/>
  <c r="G601" i="4" s="1"/>
  <c r="H601" i="4" s="1"/>
  <c r="C602" i="4"/>
  <c r="F602" i="4" s="1"/>
  <c r="G602" i="4" s="1"/>
  <c r="H602" i="4" s="1"/>
  <c r="C603" i="4"/>
  <c r="F603" i="4" s="1"/>
  <c r="G603" i="4" s="1"/>
  <c r="H603" i="4" s="1"/>
  <c r="C604" i="4"/>
  <c r="F604" i="4" s="1"/>
  <c r="G604" i="4" s="1"/>
  <c r="H604" i="4" s="1"/>
  <c r="C605" i="4"/>
  <c r="F605" i="4" s="1"/>
  <c r="G605" i="4" s="1"/>
  <c r="H605" i="4" s="1"/>
  <c r="C606" i="4"/>
  <c r="F606" i="4" s="1"/>
  <c r="G606" i="4" s="1"/>
  <c r="H606" i="4" s="1"/>
  <c r="C607" i="4"/>
  <c r="F607" i="4" s="1"/>
  <c r="G607" i="4" s="1"/>
  <c r="H607" i="4" s="1"/>
  <c r="C608" i="4"/>
  <c r="F608" i="4" s="1"/>
  <c r="G608" i="4" s="1"/>
  <c r="H608" i="4" s="1"/>
  <c r="C609" i="4"/>
  <c r="F609" i="4" s="1"/>
  <c r="G609" i="4" s="1"/>
  <c r="H609" i="4" s="1"/>
  <c r="C610" i="4"/>
  <c r="F610" i="4" s="1"/>
  <c r="G610" i="4" s="1"/>
  <c r="H610" i="4" s="1"/>
  <c r="C611" i="4"/>
  <c r="F611" i="4" s="1"/>
  <c r="G611" i="4" s="1"/>
  <c r="H611" i="4" s="1"/>
  <c r="C612" i="4"/>
  <c r="F612" i="4" s="1"/>
  <c r="G612" i="4" s="1"/>
  <c r="H612" i="4" s="1"/>
  <c r="C613" i="4"/>
  <c r="F613" i="4" s="1"/>
  <c r="G613" i="4" s="1"/>
  <c r="H613" i="4" s="1"/>
  <c r="C614" i="4"/>
  <c r="F614" i="4" s="1"/>
  <c r="G614" i="4" s="1"/>
  <c r="H614" i="4" s="1"/>
  <c r="C615" i="4"/>
  <c r="F615" i="4" s="1"/>
  <c r="G615" i="4" s="1"/>
  <c r="H615" i="4" s="1"/>
  <c r="C616" i="4"/>
  <c r="F616" i="4" s="1"/>
  <c r="G616" i="4" s="1"/>
  <c r="H616" i="4" s="1"/>
  <c r="C617" i="4"/>
  <c r="F617" i="4" s="1"/>
  <c r="G617" i="4" s="1"/>
  <c r="H617" i="4" s="1"/>
  <c r="C618" i="4"/>
  <c r="F618" i="4" s="1"/>
  <c r="G618" i="4" s="1"/>
  <c r="H618" i="4" s="1"/>
  <c r="C619" i="4"/>
  <c r="F619" i="4" s="1"/>
  <c r="G619" i="4" s="1"/>
  <c r="H619" i="4" s="1"/>
  <c r="C620" i="4"/>
  <c r="F620" i="4" s="1"/>
  <c r="G620" i="4" s="1"/>
  <c r="H620" i="4" s="1"/>
  <c r="C621" i="4"/>
  <c r="F621" i="4" s="1"/>
  <c r="G621" i="4" s="1"/>
  <c r="H621" i="4" s="1"/>
  <c r="C622" i="4"/>
  <c r="F622" i="4" s="1"/>
  <c r="G622" i="4" s="1"/>
  <c r="H622" i="4" s="1"/>
  <c r="C623" i="4"/>
  <c r="F623" i="4" s="1"/>
  <c r="G623" i="4" s="1"/>
  <c r="H623" i="4" s="1"/>
  <c r="C624" i="4"/>
  <c r="F624" i="4" s="1"/>
  <c r="G624" i="4" s="1"/>
  <c r="H624" i="4" s="1"/>
  <c r="C625" i="4"/>
  <c r="F625" i="4" s="1"/>
  <c r="G625" i="4" s="1"/>
  <c r="H625" i="4" s="1"/>
  <c r="C626" i="4"/>
  <c r="F626" i="4" s="1"/>
  <c r="G626" i="4" s="1"/>
  <c r="H626" i="4" s="1"/>
  <c r="C627" i="4"/>
  <c r="F627" i="4" s="1"/>
  <c r="G627" i="4" s="1"/>
  <c r="H627" i="4" s="1"/>
  <c r="C628" i="4"/>
  <c r="F628" i="4" s="1"/>
  <c r="G628" i="4" s="1"/>
  <c r="H628" i="4" s="1"/>
  <c r="C629" i="4"/>
  <c r="F629" i="4" s="1"/>
  <c r="G629" i="4" s="1"/>
  <c r="H629" i="4" s="1"/>
  <c r="C630" i="4"/>
  <c r="F630" i="4" s="1"/>
  <c r="G630" i="4" s="1"/>
  <c r="H630" i="4" s="1"/>
  <c r="C631" i="4"/>
  <c r="F631" i="4" s="1"/>
  <c r="G631" i="4" s="1"/>
  <c r="H631" i="4" s="1"/>
  <c r="C632" i="4"/>
  <c r="F632" i="4" s="1"/>
  <c r="G632" i="4" s="1"/>
  <c r="H632" i="4" s="1"/>
  <c r="C633" i="4"/>
  <c r="F633" i="4" s="1"/>
  <c r="G633" i="4" s="1"/>
  <c r="H633" i="4" s="1"/>
  <c r="C634" i="4"/>
  <c r="F634" i="4" s="1"/>
  <c r="G634" i="4" s="1"/>
  <c r="H634" i="4" s="1"/>
  <c r="C635" i="4"/>
  <c r="F635" i="4" s="1"/>
  <c r="G635" i="4" s="1"/>
  <c r="H635" i="4" s="1"/>
  <c r="C636" i="4"/>
  <c r="F636" i="4" s="1"/>
  <c r="G636" i="4" s="1"/>
  <c r="H636" i="4" s="1"/>
  <c r="C637" i="4"/>
  <c r="F637" i="4" s="1"/>
  <c r="G637" i="4" s="1"/>
  <c r="H637" i="4" s="1"/>
  <c r="C638" i="4"/>
  <c r="F638" i="4" s="1"/>
  <c r="G638" i="4" s="1"/>
  <c r="H638" i="4" s="1"/>
  <c r="C639" i="4"/>
  <c r="F639" i="4" s="1"/>
  <c r="G639" i="4" s="1"/>
  <c r="H639" i="4" s="1"/>
  <c r="C640" i="4"/>
  <c r="F640" i="4" s="1"/>
  <c r="G640" i="4" s="1"/>
  <c r="H640" i="4" s="1"/>
  <c r="C641" i="4"/>
  <c r="F641" i="4" s="1"/>
  <c r="G641" i="4" s="1"/>
  <c r="H641" i="4" s="1"/>
  <c r="C642" i="4"/>
  <c r="F642" i="4" s="1"/>
  <c r="G642" i="4" s="1"/>
  <c r="H642" i="4" s="1"/>
  <c r="C643" i="4"/>
  <c r="F643" i="4" s="1"/>
  <c r="G643" i="4" s="1"/>
  <c r="H643" i="4" s="1"/>
  <c r="C644" i="4"/>
  <c r="F644" i="4" s="1"/>
  <c r="G644" i="4" s="1"/>
  <c r="H644" i="4" s="1"/>
  <c r="C645" i="4"/>
  <c r="F645" i="4" s="1"/>
  <c r="G645" i="4" s="1"/>
  <c r="H645" i="4" s="1"/>
  <c r="C646" i="4"/>
  <c r="F646" i="4" s="1"/>
  <c r="G646" i="4" s="1"/>
  <c r="H646" i="4" s="1"/>
  <c r="C647" i="4"/>
  <c r="F647" i="4" s="1"/>
  <c r="G647" i="4" s="1"/>
  <c r="H647" i="4" s="1"/>
  <c r="C648" i="4"/>
  <c r="F648" i="4" s="1"/>
  <c r="G648" i="4" s="1"/>
  <c r="H648" i="4" s="1"/>
  <c r="C649" i="4"/>
  <c r="F649" i="4" s="1"/>
  <c r="G649" i="4" s="1"/>
  <c r="H649" i="4" s="1"/>
  <c r="C650" i="4"/>
  <c r="F650" i="4" s="1"/>
  <c r="G650" i="4" s="1"/>
  <c r="H650" i="4" s="1"/>
  <c r="C651" i="4"/>
  <c r="F651" i="4" s="1"/>
  <c r="G651" i="4" s="1"/>
  <c r="H651" i="4" s="1"/>
  <c r="C652" i="4"/>
  <c r="F652" i="4" s="1"/>
  <c r="G652" i="4" s="1"/>
  <c r="H652" i="4" s="1"/>
  <c r="C653" i="4"/>
  <c r="F653" i="4" s="1"/>
  <c r="G653" i="4" s="1"/>
  <c r="H653" i="4" s="1"/>
  <c r="C654" i="4"/>
  <c r="F654" i="4" s="1"/>
  <c r="G654" i="4" s="1"/>
  <c r="H654" i="4" s="1"/>
  <c r="C655" i="4"/>
  <c r="F655" i="4" s="1"/>
  <c r="G655" i="4" s="1"/>
  <c r="H655" i="4" s="1"/>
  <c r="C656" i="4"/>
  <c r="F656" i="4" s="1"/>
  <c r="G656" i="4" s="1"/>
  <c r="H656" i="4" s="1"/>
  <c r="C657" i="4"/>
  <c r="F657" i="4" s="1"/>
  <c r="G657" i="4" s="1"/>
  <c r="H657" i="4" s="1"/>
  <c r="C658" i="4"/>
  <c r="F658" i="4" s="1"/>
  <c r="G658" i="4" s="1"/>
  <c r="H658" i="4" s="1"/>
  <c r="C659" i="4"/>
  <c r="F659" i="4" s="1"/>
  <c r="G659" i="4" s="1"/>
  <c r="H659" i="4" s="1"/>
  <c r="C660" i="4"/>
  <c r="F660" i="4" s="1"/>
  <c r="G660" i="4" s="1"/>
  <c r="H660" i="4" s="1"/>
  <c r="C661" i="4"/>
  <c r="F661" i="4" s="1"/>
  <c r="G661" i="4" s="1"/>
  <c r="H661" i="4" s="1"/>
  <c r="C662" i="4"/>
  <c r="F662" i="4" s="1"/>
  <c r="G662" i="4" s="1"/>
  <c r="H662" i="4" s="1"/>
  <c r="C663" i="4"/>
  <c r="F663" i="4" s="1"/>
  <c r="G663" i="4" s="1"/>
  <c r="H663" i="4" s="1"/>
  <c r="C664" i="4"/>
  <c r="F664" i="4" s="1"/>
  <c r="G664" i="4" s="1"/>
  <c r="H664" i="4" s="1"/>
  <c r="C665" i="4"/>
  <c r="F665" i="4" s="1"/>
  <c r="G665" i="4" s="1"/>
  <c r="H665" i="4" s="1"/>
  <c r="C666" i="4"/>
  <c r="F666" i="4" s="1"/>
  <c r="G666" i="4" s="1"/>
  <c r="H666" i="4" s="1"/>
  <c r="C667" i="4"/>
  <c r="F667" i="4" s="1"/>
  <c r="G667" i="4" s="1"/>
  <c r="H667" i="4" s="1"/>
  <c r="C668" i="4"/>
  <c r="F668" i="4" s="1"/>
  <c r="G668" i="4" s="1"/>
  <c r="H668" i="4" s="1"/>
  <c r="C669" i="4"/>
  <c r="F669" i="4" s="1"/>
  <c r="G669" i="4" s="1"/>
  <c r="H669" i="4" s="1"/>
  <c r="C670" i="4"/>
  <c r="F670" i="4" s="1"/>
  <c r="G670" i="4" s="1"/>
  <c r="H670" i="4" s="1"/>
  <c r="C671" i="4"/>
  <c r="F671" i="4" s="1"/>
  <c r="G671" i="4" s="1"/>
  <c r="H671" i="4" s="1"/>
  <c r="C672" i="4"/>
  <c r="F672" i="4" s="1"/>
  <c r="G672" i="4" s="1"/>
  <c r="H672" i="4" s="1"/>
  <c r="C673" i="4"/>
  <c r="F673" i="4" s="1"/>
  <c r="G673" i="4" s="1"/>
  <c r="H673" i="4" s="1"/>
  <c r="C674" i="4"/>
  <c r="F674" i="4" s="1"/>
  <c r="G674" i="4" s="1"/>
  <c r="H674" i="4" s="1"/>
  <c r="C675" i="4"/>
  <c r="F675" i="4" s="1"/>
  <c r="G675" i="4" s="1"/>
  <c r="H675" i="4" s="1"/>
  <c r="C676" i="4"/>
  <c r="F676" i="4" s="1"/>
  <c r="G676" i="4" s="1"/>
  <c r="H676" i="4" s="1"/>
  <c r="C677" i="4"/>
  <c r="F677" i="4" s="1"/>
  <c r="G677" i="4" s="1"/>
  <c r="H677" i="4" s="1"/>
  <c r="C678" i="4"/>
  <c r="F678" i="4" s="1"/>
  <c r="G678" i="4" s="1"/>
  <c r="H678" i="4" s="1"/>
  <c r="C679" i="4"/>
  <c r="F679" i="4" s="1"/>
  <c r="G679" i="4" s="1"/>
  <c r="H679" i="4" s="1"/>
  <c r="C680" i="4"/>
  <c r="F680" i="4" s="1"/>
  <c r="G680" i="4" s="1"/>
  <c r="H680" i="4" s="1"/>
  <c r="C681" i="4"/>
  <c r="F681" i="4" s="1"/>
  <c r="G681" i="4" s="1"/>
  <c r="H681" i="4" s="1"/>
  <c r="C682" i="4"/>
  <c r="F682" i="4" s="1"/>
  <c r="G682" i="4" s="1"/>
  <c r="H682" i="4" s="1"/>
  <c r="C683" i="4"/>
  <c r="F683" i="4" s="1"/>
  <c r="G683" i="4" s="1"/>
  <c r="H683" i="4" s="1"/>
  <c r="C684" i="4"/>
  <c r="F684" i="4" s="1"/>
  <c r="G684" i="4" s="1"/>
  <c r="H684" i="4" s="1"/>
  <c r="C685" i="4"/>
  <c r="F685" i="4" s="1"/>
  <c r="G685" i="4" s="1"/>
  <c r="H685" i="4" s="1"/>
  <c r="C686" i="4"/>
  <c r="F686" i="4" s="1"/>
  <c r="G686" i="4" s="1"/>
  <c r="H686" i="4" s="1"/>
  <c r="C687" i="4"/>
  <c r="F687" i="4" s="1"/>
  <c r="G687" i="4" s="1"/>
  <c r="H687" i="4" s="1"/>
  <c r="C688" i="4"/>
  <c r="F688" i="4" s="1"/>
  <c r="G688" i="4" s="1"/>
  <c r="H688" i="4" s="1"/>
  <c r="C689" i="4"/>
  <c r="F689" i="4" s="1"/>
  <c r="G689" i="4" s="1"/>
  <c r="H689" i="4" s="1"/>
  <c r="C690" i="4"/>
  <c r="F690" i="4" s="1"/>
  <c r="G690" i="4" s="1"/>
  <c r="H690" i="4" s="1"/>
  <c r="C691" i="4"/>
  <c r="F691" i="4" s="1"/>
  <c r="G691" i="4" s="1"/>
  <c r="H691" i="4" s="1"/>
  <c r="C692" i="4"/>
  <c r="F692" i="4" s="1"/>
  <c r="G692" i="4" s="1"/>
  <c r="H692" i="4" s="1"/>
  <c r="C693" i="4"/>
  <c r="F693" i="4" s="1"/>
  <c r="G693" i="4" s="1"/>
  <c r="H693" i="4" s="1"/>
  <c r="C694" i="4"/>
  <c r="F694" i="4" s="1"/>
  <c r="G694" i="4" s="1"/>
  <c r="H694" i="4" s="1"/>
  <c r="C695" i="4"/>
  <c r="F695" i="4" s="1"/>
  <c r="G695" i="4" s="1"/>
  <c r="H695" i="4" s="1"/>
  <c r="C696" i="4"/>
  <c r="F696" i="4" s="1"/>
  <c r="G696" i="4" s="1"/>
  <c r="H696" i="4" s="1"/>
  <c r="C697" i="4"/>
  <c r="F697" i="4" s="1"/>
  <c r="G697" i="4" s="1"/>
  <c r="H697" i="4" s="1"/>
  <c r="C698" i="4"/>
  <c r="F698" i="4" s="1"/>
  <c r="G698" i="4" s="1"/>
  <c r="H698" i="4" s="1"/>
  <c r="C699" i="4"/>
  <c r="F699" i="4" s="1"/>
  <c r="G699" i="4" s="1"/>
  <c r="H699" i="4" s="1"/>
  <c r="C700" i="4"/>
  <c r="F700" i="4" s="1"/>
  <c r="G700" i="4" s="1"/>
  <c r="H700" i="4" s="1"/>
  <c r="C701" i="4"/>
  <c r="F701" i="4" s="1"/>
  <c r="G701" i="4" s="1"/>
  <c r="H701" i="4" s="1"/>
  <c r="C702" i="4"/>
  <c r="F702" i="4" s="1"/>
  <c r="G702" i="4" s="1"/>
  <c r="H702" i="4" s="1"/>
  <c r="C703" i="4"/>
  <c r="F703" i="4" s="1"/>
  <c r="G703" i="4" s="1"/>
  <c r="H703" i="4" s="1"/>
  <c r="C704" i="4"/>
  <c r="F704" i="4" s="1"/>
  <c r="G704" i="4" s="1"/>
  <c r="H704" i="4" s="1"/>
  <c r="C705" i="4"/>
  <c r="F705" i="4" s="1"/>
  <c r="G705" i="4" s="1"/>
  <c r="H705" i="4" s="1"/>
  <c r="C706" i="4"/>
  <c r="F706" i="4" s="1"/>
  <c r="G706" i="4" s="1"/>
  <c r="H706" i="4" s="1"/>
  <c r="C707" i="4"/>
  <c r="F707" i="4" s="1"/>
  <c r="G707" i="4" s="1"/>
  <c r="H707" i="4" s="1"/>
  <c r="C708" i="4"/>
  <c r="F708" i="4" s="1"/>
  <c r="G708" i="4" s="1"/>
  <c r="H708" i="4" s="1"/>
  <c r="C709" i="4"/>
  <c r="F709" i="4" s="1"/>
  <c r="G709" i="4" s="1"/>
  <c r="H709" i="4" s="1"/>
  <c r="C710" i="4"/>
  <c r="F710" i="4" s="1"/>
  <c r="G710" i="4" s="1"/>
  <c r="H710" i="4" s="1"/>
  <c r="C711" i="4"/>
  <c r="F711" i="4" s="1"/>
  <c r="G711" i="4" s="1"/>
  <c r="H711" i="4" s="1"/>
  <c r="C712" i="4"/>
  <c r="F712" i="4" s="1"/>
  <c r="G712" i="4" s="1"/>
  <c r="H712" i="4" s="1"/>
  <c r="C713" i="4"/>
  <c r="F713" i="4" s="1"/>
  <c r="G713" i="4" s="1"/>
  <c r="H713" i="4" s="1"/>
  <c r="C714" i="4"/>
  <c r="F714" i="4" s="1"/>
  <c r="G714" i="4" s="1"/>
  <c r="H714" i="4" s="1"/>
  <c r="C715" i="4"/>
  <c r="F715" i="4" s="1"/>
  <c r="G715" i="4" s="1"/>
  <c r="H715" i="4" s="1"/>
  <c r="C716" i="4"/>
  <c r="F716" i="4" s="1"/>
  <c r="G716" i="4" s="1"/>
  <c r="H716" i="4" s="1"/>
  <c r="C717" i="4"/>
  <c r="F717" i="4" s="1"/>
  <c r="G717" i="4" s="1"/>
  <c r="H717" i="4" s="1"/>
  <c r="C718" i="4"/>
  <c r="F718" i="4" s="1"/>
  <c r="G718" i="4" s="1"/>
  <c r="H718" i="4" s="1"/>
  <c r="C719" i="4"/>
  <c r="F719" i="4" s="1"/>
  <c r="G719" i="4" s="1"/>
  <c r="H719" i="4" s="1"/>
  <c r="C720" i="4"/>
  <c r="F720" i="4" s="1"/>
  <c r="G720" i="4" s="1"/>
  <c r="H720" i="4" s="1"/>
  <c r="C721" i="4"/>
  <c r="F721" i="4" s="1"/>
  <c r="G721" i="4" s="1"/>
  <c r="H721" i="4" s="1"/>
  <c r="C722" i="4"/>
  <c r="F722" i="4" s="1"/>
  <c r="G722" i="4" s="1"/>
  <c r="H722" i="4" s="1"/>
  <c r="C723" i="4"/>
  <c r="F723" i="4" s="1"/>
  <c r="G723" i="4" s="1"/>
  <c r="H723" i="4" s="1"/>
  <c r="C724" i="4"/>
  <c r="F724" i="4" s="1"/>
  <c r="G724" i="4" s="1"/>
  <c r="H724" i="4" s="1"/>
  <c r="C725" i="4"/>
  <c r="F725" i="4" s="1"/>
  <c r="G725" i="4" s="1"/>
  <c r="H725" i="4" s="1"/>
  <c r="C726" i="4"/>
  <c r="F726" i="4" s="1"/>
  <c r="G726" i="4" s="1"/>
  <c r="H726" i="4" s="1"/>
  <c r="C727" i="4"/>
  <c r="F727" i="4" s="1"/>
  <c r="G727" i="4" s="1"/>
  <c r="H727" i="4" s="1"/>
  <c r="C728" i="4"/>
  <c r="F728" i="4" s="1"/>
  <c r="G728" i="4" s="1"/>
  <c r="H728" i="4" s="1"/>
  <c r="C729" i="4"/>
  <c r="F729" i="4" s="1"/>
  <c r="G729" i="4" s="1"/>
  <c r="H729" i="4" s="1"/>
  <c r="C730" i="4"/>
  <c r="F730" i="4" s="1"/>
  <c r="G730" i="4" s="1"/>
  <c r="H730" i="4" s="1"/>
  <c r="C731" i="4"/>
  <c r="F731" i="4" s="1"/>
  <c r="G731" i="4" s="1"/>
  <c r="H731" i="4" s="1"/>
  <c r="C732" i="4"/>
  <c r="F732" i="4" s="1"/>
  <c r="G732" i="4" s="1"/>
  <c r="H732" i="4" s="1"/>
  <c r="C733" i="4"/>
  <c r="F733" i="4" s="1"/>
  <c r="G733" i="4" s="1"/>
  <c r="H733" i="4" s="1"/>
  <c r="C734" i="4"/>
  <c r="F734" i="4" s="1"/>
  <c r="G734" i="4" s="1"/>
  <c r="H734" i="4" s="1"/>
  <c r="C735" i="4"/>
  <c r="F735" i="4" s="1"/>
  <c r="G735" i="4" s="1"/>
  <c r="H735" i="4" s="1"/>
  <c r="C736" i="4"/>
  <c r="F736" i="4" s="1"/>
  <c r="G736" i="4" s="1"/>
  <c r="H736" i="4" s="1"/>
  <c r="C737" i="4"/>
  <c r="F737" i="4" s="1"/>
  <c r="G737" i="4" s="1"/>
  <c r="H737" i="4" s="1"/>
  <c r="C738" i="4"/>
  <c r="F738" i="4" s="1"/>
  <c r="G738" i="4" s="1"/>
  <c r="H738" i="4" s="1"/>
  <c r="C739" i="4"/>
  <c r="F739" i="4" s="1"/>
  <c r="G739" i="4" s="1"/>
  <c r="H739" i="4" s="1"/>
  <c r="C740" i="4"/>
  <c r="F740" i="4" s="1"/>
  <c r="G740" i="4" s="1"/>
  <c r="H740" i="4" s="1"/>
  <c r="C741" i="4"/>
  <c r="F741" i="4" s="1"/>
  <c r="G741" i="4" s="1"/>
  <c r="H741" i="4" s="1"/>
  <c r="C742" i="4"/>
  <c r="F742" i="4" s="1"/>
  <c r="G742" i="4" s="1"/>
  <c r="H742" i="4" s="1"/>
  <c r="C743" i="4"/>
  <c r="F743" i="4" s="1"/>
  <c r="G743" i="4" s="1"/>
  <c r="H743" i="4" s="1"/>
  <c r="C744" i="4"/>
  <c r="F744" i="4" s="1"/>
  <c r="G744" i="4" s="1"/>
  <c r="H744" i="4" s="1"/>
  <c r="C745" i="4"/>
  <c r="F745" i="4" s="1"/>
  <c r="G745" i="4" s="1"/>
  <c r="H745" i="4" s="1"/>
  <c r="C746" i="4"/>
  <c r="F746" i="4" s="1"/>
  <c r="G746" i="4" s="1"/>
  <c r="H746" i="4" s="1"/>
  <c r="C747" i="4"/>
  <c r="F747" i="4" s="1"/>
  <c r="G747" i="4" s="1"/>
  <c r="H747" i="4" s="1"/>
  <c r="C748" i="4"/>
  <c r="F748" i="4" s="1"/>
  <c r="G748" i="4" s="1"/>
  <c r="H748" i="4" s="1"/>
  <c r="C749" i="4"/>
  <c r="F749" i="4" s="1"/>
  <c r="G749" i="4" s="1"/>
  <c r="H749" i="4" s="1"/>
  <c r="C750" i="4"/>
  <c r="F750" i="4" s="1"/>
  <c r="G750" i="4" s="1"/>
  <c r="H750" i="4" s="1"/>
  <c r="C751" i="4"/>
  <c r="F751" i="4" s="1"/>
  <c r="G751" i="4" s="1"/>
  <c r="H751" i="4" s="1"/>
  <c r="C752" i="4"/>
  <c r="F752" i="4" s="1"/>
  <c r="G752" i="4" s="1"/>
  <c r="H752" i="4" s="1"/>
  <c r="C753" i="4"/>
  <c r="F753" i="4" s="1"/>
  <c r="G753" i="4" s="1"/>
  <c r="H753" i="4" s="1"/>
  <c r="C754" i="4"/>
  <c r="F754" i="4" s="1"/>
  <c r="G754" i="4" s="1"/>
  <c r="H754" i="4" s="1"/>
  <c r="C755" i="4"/>
  <c r="F755" i="4" s="1"/>
  <c r="G755" i="4" s="1"/>
  <c r="H755" i="4" s="1"/>
  <c r="C756" i="4"/>
  <c r="F756" i="4" s="1"/>
  <c r="C757" i="4"/>
  <c r="F757" i="4" s="1"/>
  <c r="G757" i="4" s="1"/>
  <c r="H757" i="4" s="1"/>
  <c r="C758" i="4"/>
  <c r="F758" i="4" s="1"/>
  <c r="G758" i="4" s="1"/>
  <c r="H758" i="4" s="1"/>
  <c r="C759" i="4"/>
  <c r="F759" i="4" s="1"/>
  <c r="G759" i="4" s="1"/>
  <c r="H759" i="4" s="1"/>
  <c r="C760" i="4"/>
  <c r="F760" i="4" s="1"/>
  <c r="G760" i="4" s="1"/>
  <c r="H760" i="4" s="1"/>
  <c r="C761" i="4"/>
  <c r="F761" i="4" s="1"/>
  <c r="G761" i="4" s="1"/>
  <c r="H761" i="4" s="1"/>
  <c r="C762" i="4"/>
  <c r="F762" i="4" s="1"/>
  <c r="G762" i="4" s="1"/>
  <c r="H762" i="4" s="1"/>
  <c r="C763" i="4"/>
  <c r="F763" i="4" s="1"/>
  <c r="G763" i="4" s="1"/>
  <c r="H763" i="4" s="1"/>
  <c r="C764" i="4"/>
  <c r="F764" i="4" s="1"/>
  <c r="G764" i="4" s="1"/>
  <c r="H764" i="4" s="1"/>
  <c r="C765" i="4"/>
  <c r="F765" i="4" s="1"/>
  <c r="G765" i="4" s="1"/>
  <c r="H765" i="4" s="1"/>
  <c r="C766" i="4"/>
  <c r="F766" i="4" s="1"/>
  <c r="G766" i="4" s="1"/>
  <c r="H766" i="4" s="1"/>
  <c r="C767" i="4"/>
  <c r="F767" i="4" s="1"/>
  <c r="G767" i="4" s="1"/>
  <c r="H767" i="4" s="1"/>
  <c r="C768" i="4"/>
  <c r="F768" i="4" s="1"/>
  <c r="G768" i="4" s="1"/>
  <c r="H768" i="4" s="1"/>
  <c r="C769" i="4"/>
  <c r="F769" i="4" s="1"/>
  <c r="G769" i="4" s="1"/>
  <c r="H769" i="4" s="1"/>
  <c r="C770" i="4"/>
  <c r="F770" i="4" s="1"/>
  <c r="G770" i="4" s="1"/>
  <c r="H770" i="4" s="1"/>
  <c r="C771" i="4"/>
  <c r="F771" i="4" s="1"/>
  <c r="G771" i="4" s="1"/>
  <c r="H771" i="4" s="1"/>
  <c r="C772" i="4"/>
  <c r="F772" i="4" s="1"/>
  <c r="G772" i="4" s="1"/>
  <c r="H772" i="4" s="1"/>
  <c r="C773" i="4"/>
  <c r="F773" i="4" s="1"/>
  <c r="G773" i="4" s="1"/>
  <c r="H773" i="4" s="1"/>
  <c r="C774" i="4"/>
  <c r="F774" i="4" s="1"/>
  <c r="G774" i="4" s="1"/>
  <c r="H774" i="4" s="1"/>
  <c r="C775" i="4"/>
  <c r="F775" i="4" s="1"/>
  <c r="G775" i="4" s="1"/>
  <c r="H775" i="4" s="1"/>
  <c r="C776" i="4"/>
  <c r="F776" i="4" s="1"/>
  <c r="G776" i="4" s="1"/>
  <c r="H776" i="4" s="1"/>
  <c r="C777" i="4"/>
  <c r="F777" i="4" s="1"/>
  <c r="G777" i="4" s="1"/>
  <c r="H777" i="4" s="1"/>
  <c r="C778" i="4"/>
  <c r="F778" i="4" s="1"/>
  <c r="G778" i="4" s="1"/>
  <c r="H778" i="4" s="1"/>
  <c r="C779" i="4"/>
  <c r="F779" i="4" s="1"/>
  <c r="G779" i="4" s="1"/>
  <c r="H779" i="4" s="1"/>
  <c r="C780" i="4"/>
  <c r="F780" i="4" s="1"/>
  <c r="G780" i="4" s="1"/>
  <c r="H780" i="4" s="1"/>
  <c r="C781" i="4"/>
  <c r="F781" i="4" s="1"/>
  <c r="G781" i="4" s="1"/>
  <c r="H781" i="4" s="1"/>
  <c r="C782" i="4"/>
  <c r="F782" i="4" s="1"/>
  <c r="G782" i="4" s="1"/>
  <c r="H782" i="4" s="1"/>
  <c r="C783" i="4"/>
  <c r="F783" i="4" s="1"/>
  <c r="G783" i="4" s="1"/>
  <c r="H783" i="4" s="1"/>
  <c r="C784" i="4"/>
  <c r="F784" i="4" s="1"/>
  <c r="G784" i="4" s="1"/>
  <c r="H784" i="4" s="1"/>
  <c r="C785" i="4"/>
  <c r="F785" i="4" s="1"/>
  <c r="G785" i="4" s="1"/>
  <c r="H785" i="4" s="1"/>
  <c r="C786" i="4"/>
  <c r="F786" i="4" s="1"/>
  <c r="G786" i="4" s="1"/>
  <c r="H786" i="4" s="1"/>
  <c r="C787" i="4"/>
  <c r="F787" i="4" s="1"/>
  <c r="G787" i="4" s="1"/>
  <c r="H787" i="4" s="1"/>
  <c r="C788" i="4"/>
  <c r="F788" i="4" s="1"/>
  <c r="G788" i="4" s="1"/>
  <c r="H788" i="4" s="1"/>
  <c r="C789" i="4"/>
  <c r="F789" i="4" s="1"/>
  <c r="G789" i="4" s="1"/>
  <c r="H789" i="4" s="1"/>
  <c r="C790" i="4"/>
  <c r="F790" i="4" s="1"/>
  <c r="G790" i="4" s="1"/>
  <c r="H790" i="4" s="1"/>
  <c r="C791" i="4"/>
  <c r="F791" i="4" s="1"/>
  <c r="G791" i="4" s="1"/>
  <c r="H791" i="4" s="1"/>
  <c r="C792" i="4"/>
  <c r="F792" i="4" s="1"/>
  <c r="G792" i="4" s="1"/>
  <c r="H792" i="4" s="1"/>
  <c r="C793" i="4"/>
  <c r="F793" i="4" s="1"/>
  <c r="G793" i="4" s="1"/>
  <c r="H793" i="4" s="1"/>
  <c r="C794" i="4"/>
  <c r="F794" i="4" s="1"/>
  <c r="G794" i="4" s="1"/>
  <c r="H794" i="4" s="1"/>
  <c r="C795" i="4"/>
  <c r="F795" i="4" s="1"/>
  <c r="G795" i="4" s="1"/>
  <c r="H795" i="4" s="1"/>
  <c r="C796" i="4"/>
  <c r="F796" i="4" s="1"/>
  <c r="G796" i="4" s="1"/>
  <c r="H796" i="4" s="1"/>
  <c r="C797" i="4"/>
  <c r="F797" i="4" s="1"/>
  <c r="G797" i="4" s="1"/>
  <c r="H797" i="4" s="1"/>
  <c r="C798" i="4"/>
  <c r="F798" i="4" s="1"/>
  <c r="G798" i="4" s="1"/>
  <c r="H798" i="4" s="1"/>
  <c r="C799" i="4"/>
  <c r="F799" i="4" s="1"/>
  <c r="G799" i="4" s="1"/>
  <c r="H799" i="4" s="1"/>
  <c r="C800" i="4"/>
  <c r="F800" i="4" s="1"/>
  <c r="G800" i="4" s="1"/>
  <c r="H800" i="4" s="1"/>
  <c r="C801" i="4"/>
  <c r="F801" i="4" s="1"/>
  <c r="G801" i="4" s="1"/>
  <c r="H801" i="4" s="1"/>
  <c r="C802" i="4"/>
  <c r="F802" i="4" s="1"/>
  <c r="G802" i="4" s="1"/>
  <c r="H802" i="4" s="1"/>
  <c r="C803" i="4"/>
  <c r="F803" i="4" s="1"/>
  <c r="G803" i="4" s="1"/>
  <c r="H803" i="4" s="1"/>
  <c r="C804" i="4"/>
  <c r="F804" i="4" s="1"/>
  <c r="G804" i="4" s="1"/>
  <c r="H804" i="4" s="1"/>
  <c r="C805" i="4"/>
  <c r="F805" i="4" s="1"/>
  <c r="G805" i="4" s="1"/>
  <c r="H805" i="4" s="1"/>
  <c r="C806" i="4"/>
  <c r="F806" i="4" s="1"/>
  <c r="G806" i="4" s="1"/>
  <c r="H806" i="4" s="1"/>
  <c r="C807" i="4"/>
  <c r="F807" i="4" s="1"/>
  <c r="G807" i="4" s="1"/>
  <c r="H807" i="4" s="1"/>
  <c r="C808" i="4"/>
  <c r="F808" i="4" s="1"/>
  <c r="G808" i="4" s="1"/>
  <c r="H808" i="4" s="1"/>
  <c r="C809" i="4"/>
  <c r="F809" i="4" s="1"/>
  <c r="G809" i="4" s="1"/>
  <c r="H809" i="4" s="1"/>
  <c r="C810" i="4"/>
  <c r="F810" i="4" s="1"/>
  <c r="G810" i="4" s="1"/>
  <c r="H810" i="4" s="1"/>
  <c r="C811" i="4"/>
  <c r="F811" i="4" s="1"/>
  <c r="G811" i="4" s="1"/>
  <c r="H811" i="4" s="1"/>
  <c r="C812" i="4"/>
  <c r="F812" i="4" s="1"/>
  <c r="G812" i="4" s="1"/>
  <c r="H812" i="4" s="1"/>
  <c r="C813" i="4"/>
  <c r="F813" i="4" s="1"/>
  <c r="G813" i="4" s="1"/>
  <c r="H813" i="4" s="1"/>
  <c r="C814" i="4"/>
  <c r="F814" i="4" s="1"/>
  <c r="G814" i="4" s="1"/>
  <c r="H814" i="4" s="1"/>
  <c r="C815" i="4"/>
  <c r="F815" i="4" s="1"/>
  <c r="G815" i="4" s="1"/>
  <c r="H815" i="4" s="1"/>
  <c r="C816" i="4"/>
  <c r="F816" i="4" s="1"/>
  <c r="G816" i="4" s="1"/>
  <c r="H816" i="4" s="1"/>
  <c r="C817" i="4"/>
  <c r="F817" i="4" s="1"/>
  <c r="G817" i="4" s="1"/>
  <c r="H817" i="4" s="1"/>
  <c r="C818" i="4"/>
  <c r="F818" i="4" s="1"/>
  <c r="G818" i="4" s="1"/>
  <c r="H818" i="4" s="1"/>
  <c r="C819" i="4"/>
  <c r="F819" i="4" s="1"/>
  <c r="G819" i="4" s="1"/>
  <c r="H819" i="4" s="1"/>
  <c r="C820" i="4"/>
  <c r="F820" i="4" s="1"/>
  <c r="G820" i="4" s="1"/>
  <c r="H820" i="4" s="1"/>
  <c r="C821" i="4"/>
  <c r="F821" i="4" s="1"/>
  <c r="G821" i="4" s="1"/>
  <c r="H821" i="4" s="1"/>
  <c r="C822" i="4"/>
  <c r="F822" i="4" s="1"/>
  <c r="G822" i="4" s="1"/>
  <c r="H822" i="4" s="1"/>
  <c r="C823" i="4"/>
  <c r="F823" i="4" s="1"/>
  <c r="G823" i="4" s="1"/>
  <c r="H823" i="4" s="1"/>
  <c r="C824" i="4"/>
  <c r="F824" i="4" s="1"/>
  <c r="G824" i="4" s="1"/>
  <c r="H824" i="4" s="1"/>
  <c r="C825" i="4"/>
  <c r="F825" i="4" s="1"/>
  <c r="G825" i="4" s="1"/>
  <c r="H825" i="4" s="1"/>
  <c r="C826" i="4"/>
  <c r="F826" i="4" s="1"/>
  <c r="G826" i="4" s="1"/>
  <c r="H826" i="4" s="1"/>
  <c r="C827" i="4"/>
  <c r="F827" i="4" s="1"/>
  <c r="G827" i="4" s="1"/>
  <c r="H827" i="4" s="1"/>
  <c r="C828" i="4"/>
  <c r="F828" i="4" s="1"/>
  <c r="G828" i="4" s="1"/>
  <c r="H828" i="4" s="1"/>
  <c r="C829" i="4"/>
  <c r="F829" i="4" s="1"/>
  <c r="G829" i="4" s="1"/>
  <c r="H829" i="4" s="1"/>
  <c r="C830" i="4"/>
  <c r="F830" i="4" s="1"/>
  <c r="G830" i="4" s="1"/>
  <c r="H830" i="4" s="1"/>
  <c r="C831" i="4"/>
  <c r="F831" i="4" s="1"/>
  <c r="G831" i="4" s="1"/>
  <c r="H831" i="4" s="1"/>
  <c r="C832" i="4"/>
  <c r="F832" i="4" s="1"/>
  <c r="G832" i="4" s="1"/>
  <c r="H832" i="4" s="1"/>
  <c r="C833" i="4"/>
  <c r="F833" i="4" s="1"/>
  <c r="G833" i="4" s="1"/>
  <c r="H833" i="4" s="1"/>
  <c r="C834" i="4"/>
  <c r="F834" i="4" s="1"/>
  <c r="G834" i="4" s="1"/>
  <c r="H834" i="4" s="1"/>
  <c r="C835" i="4"/>
  <c r="F835" i="4" s="1"/>
  <c r="G835" i="4" s="1"/>
  <c r="H835" i="4" s="1"/>
  <c r="C836" i="4"/>
  <c r="F836" i="4" s="1"/>
  <c r="G836" i="4" s="1"/>
  <c r="H836" i="4" s="1"/>
  <c r="C837" i="4"/>
  <c r="F837" i="4" s="1"/>
  <c r="G837" i="4" s="1"/>
  <c r="H837" i="4" s="1"/>
  <c r="C838" i="4"/>
  <c r="F838" i="4" s="1"/>
  <c r="G838" i="4" s="1"/>
  <c r="H838" i="4" s="1"/>
  <c r="C839" i="4"/>
  <c r="F839" i="4" s="1"/>
  <c r="G839" i="4" s="1"/>
  <c r="H839" i="4" s="1"/>
  <c r="C840" i="4"/>
  <c r="F840" i="4" s="1"/>
  <c r="G840" i="4" s="1"/>
  <c r="H840" i="4" s="1"/>
  <c r="C841" i="4"/>
  <c r="F841" i="4" s="1"/>
  <c r="G841" i="4" s="1"/>
  <c r="H841" i="4" s="1"/>
  <c r="C842" i="4"/>
  <c r="F842" i="4" s="1"/>
  <c r="G842" i="4" s="1"/>
  <c r="H842" i="4" s="1"/>
  <c r="C843" i="4"/>
  <c r="F843" i="4" s="1"/>
  <c r="G843" i="4" s="1"/>
  <c r="H843" i="4" s="1"/>
  <c r="C844" i="4"/>
  <c r="F844" i="4" s="1"/>
  <c r="G844" i="4" s="1"/>
  <c r="H844" i="4" s="1"/>
  <c r="C845" i="4"/>
  <c r="F845" i="4" s="1"/>
  <c r="G845" i="4" s="1"/>
  <c r="H845" i="4" s="1"/>
  <c r="C846" i="4"/>
  <c r="F846" i="4" s="1"/>
  <c r="G846" i="4" s="1"/>
  <c r="H846" i="4" s="1"/>
  <c r="C847" i="4"/>
  <c r="F847" i="4" s="1"/>
  <c r="G847" i="4" s="1"/>
  <c r="H847" i="4" s="1"/>
  <c r="C848" i="4"/>
  <c r="F848" i="4" s="1"/>
  <c r="G848" i="4" s="1"/>
  <c r="H848" i="4" s="1"/>
  <c r="C849" i="4"/>
  <c r="F849" i="4" s="1"/>
  <c r="G849" i="4" s="1"/>
  <c r="H849" i="4" s="1"/>
  <c r="C850" i="4"/>
  <c r="F850" i="4" s="1"/>
  <c r="G850" i="4" s="1"/>
  <c r="H850" i="4" s="1"/>
  <c r="C851" i="4"/>
  <c r="F851" i="4" s="1"/>
  <c r="G851" i="4" s="1"/>
  <c r="H851" i="4" s="1"/>
  <c r="C852" i="4"/>
  <c r="F852" i="4" s="1"/>
  <c r="G852" i="4" s="1"/>
  <c r="H852" i="4" s="1"/>
  <c r="C853" i="4"/>
  <c r="F853" i="4" s="1"/>
  <c r="G853" i="4" s="1"/>
  <c r="H853" i="4" s="1"/>
  <c r="C854" i="4"/>
  <c r="F854" i="4" s="1"/>
  <c r="G854" i="4" s="1"/>
  <c r="H854" i="4" s="1"/>
  <c r="C855" i="4"/>
  <c r="F855" i="4" s="1"/>
  <c r="G855" i="4" s="1"/>
  <c r="H855" i="4" s="1"/>
  <c r="C856" i="4"/>
  <c r="F856" i="4" s="1"/>
  <c r="G856" i="4" s="1"/>
  <c r="H856" i="4" s="1"/>
  <c r="C857" i="4"/>
  <c r="F857" i="4" s="1"/>
  <c r="G857" i="4" s="1"/>
  <c r="H857" i="4" s="1"/>
  <c r="C858" i="4"/>
  <c r="F858" i="4" s="1"/>
  <c r="G858" i="4" s="1"/>
  <c r="H858" i="4" s="1"/>
  <c r="C859" i="4"/>
  <c r="F859" i="4" s="1"/>
  <c r="G859" i="4" s="1"/>
  <c r="H859" i="4" s="1"/>
  <c r="C860" i="4"/>
  <c r="F860" i="4" s="1"/>
  <c r="G860" i="4" s="1"/>
  <c r="H860" i="4" s="1"/>
  <c r="C861" i="4"/>
  <c r="F861" i="4" s="1"/>
  <c r="G861" i="4" s="1"/>
  <c r="H861" i="4" s="1"/>
  <c r="C862" i="4"/>
  <c r="F862" i="4" s="1"/>
  <c r="G862" i="4" s="1"/>
  <c r="H862" i="4" s="1"/>
  <c r="C863" i="4"/>
  <c r="F863" i="4" s="1"/>
  <c r="G863" i="4" s="1"/>
  <c r="H863" i="4" s="1"/>
  <c r="C864" i="4"/>
  <c r="F864" i="4" s="1"/>
  <c r="G864" i="4" s="1"/>
  <c r="H864" i="4" s="1"/>
  <c r="C865" i="4"/>
  <c r="F865" i="4" s="1"/>
  <c r="G865" i="4" s="1"/>
  <c r="H865" i="4" s="1"/>
  <c r="C866" i="4"/>
  <c r="F866" i="4" s="1"/>
  <c r="G866" i="4" s="1"/>
  <c r="H866" i="4" s="1"/>
  <c r="C867" i="4"/>
  <c r="F867" i="4" s="1"/>
  <c r="G867" i="4" s="1"/>
  <c r="H867" i="4" s="1"/>
  <c r="C868" i="4"/>
  <c r="F868" i="4" s="1"/>
  <c r="G868" i="4" s="1"/>
  <c r="H868" i="4" s="1"/>
  <c r="C869" i="4"/>
  <c r="F869" i="4" s="1"/>
  <c r="G869" i="4" s="1"/>
  <c r="H869" i="4" s="1"/>
  <c r="C870" i="4"/>
  <c r="F870" i="4" s="1"/>
  <c r="G870" i="4" s="1"/>
  <c r="H870" i="4" s="1"/>
  <c r="C871" i="4"/>
  <c r="F871" i="4" s="1"/>
  <c r="G871" i="4" s="1"/>
  <c r="H871" i="4" s="1"/>
  <c r="C872" i="4"/>
  <c r="F872" i="4" s="1"/>
  <c r="G872" i="4" s="1"/>
  <c r="H872" i="4" s="1"/>
  <c r="C873" i="4"/>
  <c r="F873" i="4" s="1"/>
  <c r="G873" i="4" s="1"/>
  <c r="H873" i="4" s="1"/>
  <c r="C874" i="4"/>
  <c r="F874" i="4" s="1"/>
  <c r="G874" i="4" s="1"/>
  <c r="H874" i="4" s="1"/>
  <c r="C875" i="4"/>
  <c r="F875" i="4" s="1"/>
  <c r="G875" i="4" s="1"/>
  <c r="H875" i="4" s="1"/>
  <c r="C876" i="4"/>
  <c r="F876" i="4" s="1"/>
  <c r="G876" i="4" s="1"/>
  <c r="H876" i="4" s="1"/>
  <c r="C877" i="4"/>
  <c r="F877" i="4" s="1"/>
  <c r="G877" i="4" s="1"/>
  <c r="H877" i="4" s="1"/>
  <c r="C878" i="4"/>
  <c r="F878" i="4" s="1"/>
  <c r="G878" i="4" s="1"/>
  <c r="H878" i="4" s="1"/>
  <c r="C879" i="4"/>
  <c r="F879" i="4" s="1"/>
  <c r="G879" i="4" s="1"/>
  <c r="H879" i="4" s="1"/>
  <c r="C880" i="4"/>
  <c r="F880" i="4" s="1"/>
  <c r="G880" i="4" s="1"/>
  <c r="H880" i="4" s="1"/>
  <c r="C881" i="4"/>
  <c r="F881" i="4" s="1"/>
  <c r="G881" i="4" s="1"/>
  <c r="H881" i="4" s="1"/>
  <c r="C882" i="4"/>
  <c r="F882" i="4" s="1"/>
  <c r="G882" i="4" s="1"/>
  <c r="H882" i="4" s="1"/>
  <c r="C883" i="4"/>
  <c r="F883" i="4" s="1"/>
  <c r="G883" i="4" s="1"/>
  <c r="H883" i="4" s="1"/>
  <c r="C884" i="4"/>
  <c r="F884" i="4" s="1"/>
  <c r="G884" i="4" s="1"/>
  <c r="H884" i="4" s="1"/>
  <c r="C885" i="4"/>
  <c r="F885" i="4" s="1"/>
  <c r="G885" i="4" s="1"/>
  <c r="H885" i="4" s="1"/>
  <c r="C886" i="4"/>
  <c r="F886" i="4" s="1"/>
  <c r="G886" i="4" s="1"/>
  <c r="H886" i="4" s="1"/>
  <c r="C887" i="4"/>
  <c r="F887" i="4" s="1"/>
  <c r="G887" i="4" s="1"/>
  <c r="H887" i="4" s="1"/>
  <c r="C888" i="4"/>
  <c r="F888" i="4" s="1"/>
  <c r="G888" i="4" s="1"/>
  <c r="H888" i="4" s="1"/>
  <c r="C889" i="4"/>
  <c r="F889" i="4" s="1"/>
  <c r="G889" i="4" s="1"/>
  <c r="H889" i="4" s="1"/>
  <c r="C890" i="4"/>
  <c r="F890" i="4" s="1"/>
  <c r="G890" i="4" s="1"/>
  <c r="H890" i="4" s="1"/>
  <c r="C891" i="4"/>
  <c r="F891" i="4" s="1"/>
  <c r="G891" i="4" s="1"/>
  <c r="H891" i="4" s="1"/>
  <c r="C892" i="4"/>
  <c r="F892" i="4" s="1"/>
  <c r="G892" i="4" s="1"/>
  <c r="H892" i="4" s="1"/>
  <c r="C893" i="4"/>
  <c r="F893" i="4" s="1"/>
  <c r="G893" i="4" s="1"/>
  <c r="H893" i="4" s="1"/>
  <c r="C894" i="4"/>
  <c r="F894" i="4" s="1"/>
  <c r="G894" i="4" s="1"/>
  <c r="H894" i="4" s="1"/>
  <c r="C895" i="4"/>
  <c r="F895" i="4" s="1"/>
  <c r="G895" i="4" s="1"/>
  <c r="H895" i="4" s="1"/>
  <c r="C896" i="4"/>
  <c r="F896" i="4" s="1"/>
  <c r="G896" i="4" s="1"/>
  <c r="H896" i="4" s="1"/>
  <c r="C897" i="4"/>
  <c r="F897" i="4" s="1"/>
  <c r="G897" i="4" s="1"/>
  <c r="H897" i="4" s="1"/>
  <c r="C898" i="4"/>
  <c r="F898" i="4" s="1"/>
  <c r="G898" i="4" s="1"/>
  <c r="H898" i="4" s="1"/>
  <c r="C899" i="4"/>
  <c r="F899" i="4" s="1"/>
  <c r="G899" i="4" s="1"/>
  <c r="H899" i="4" s="1"/>
  <c r="C900" i="4"/>
  <c r="F900" i="4" s="1"/>
  <c r="G900" i="4" s="1"/>
  <c r="H900" i="4" s="1"/>
  <c r="C901" i="4"/>
  <c r="F901" i="4" s="1"/>
  <c r="G901" i="4" s="1"/>
  <c r="H901" i="4" s="1"/>
  <c r="C902" i="4"/>
  <c r="F902" i="4" s="1"/>
  <c r="G902" i="4" s="1"/>
  <c r="H902" i="4" s="1"/>
  <c r="C903" i="4"/>
  <c r="F903" i="4" s="1"/>
  <c r="G903" i="4" s="1"/>
  <c r="H903" i="4" s="1"/>
  <c r="C904" i="4"/>
  <c r="F904" i="4" s="1"/>
  <c r="G904" i="4" s="1"/>
  <c r="H904" i="4" s="1"/>
  <c r="C905" i="4"/>
  <c r="F905" i="4" s="1"/>
  <c r="G905" i="4" s="1"/>
  <c r="H905" i="4" s="1"/>
  <c r="C906" i="4"/>
  <c r="F906" i="4" s="1"/>
  <c r="G906" i="4" s="1"/>
  <c r="H906" i="4" s="1"/>
  <c r="C907" i="4"/>
  <c r="F907" i="4" s="1"/>
  <c r="G907" i="4" s="1"/>
  <c r="H907" i="4" s="1"/>
  <c r="C908" i="4"/>
  <c r="F908" i="4" s="1"/>
  <c r="G908" i="4" s="1"/>
  <c r="H908" i="4" s="1"/>
  <c r="C909" i="4"/>
  <c r="F909" i="4" s="1"/>
  <c r="G909" i="4" s="1"/>
  <c r="H909" i="4" s="1"/>
  <c r="C910" i="4"/>
  <c r="F910" i="4" s="1"/>
  <c r="G910" i="4" s="1"/>
  <c r="H910" i="4" s="1"/>
  <c r="C911" i="4"/>
  <c r="F911" i="4" s="1"/>
  <c r="G911" i="4" s="1"/>
  <c r="H911" i="4" s="1"/>
  <c r="C912" i="4"/>
  <c r="F912" i="4" s="1"/>
  <c r="G912" i="4" s="1"/>
  <c r="H912" i="4" s="1"/>
  <c r="C913" i="4"/>
  <c r="F913" i="4" s="1"/>
  <c r="G913" i="4" s="1"/>
  <c r="H913" i="4" s="1"/>
  <c r="C914" i="4"/>
  <c r="F914" i="4" s="1"/>
  <c r="G914" i="4" s="1"/>
  <c r="H914" i="4" s="1"/>
  <c r="C915" i="4"/>
  <c r="F915" i="4" s="1"/>
  <c r="G915" i="4" s="1"/>
  <c r="H915" i="4" s="1"/>
  <c r="C916" i="4"/>
  <c r="F916" i="4" s="1"/>
  <c r="G916" i="4" s="1"/>
  <c r="H916" i="4" s="1"/>
  <c r="C917" i="4"/>
  <c r="F917" i="4" s="1"/>
  <c r="G917" i="4" s="1"/>
  <c r="H917" i="4" s="1"/>
  <c r="C918" i="4"/>
  <c r="F918" i="4" s="1"/>
  <c r="G918" i="4" s="1"/>
  <c r="H918" i="4" s="1"/>
  <c r="C919" i="4"/>
  <c r="F919" i="4" s="1"/>
  <c r="G919" i="4" s="1"/>
  <c r="H919" i="4" s="1"/>
  <c r="C920" i="4"/>
  <c r="F920" i="4" s="1"/>
  <c r="G920" i="4" s="1"/>
  <c r="H920" i="4" s="1"/>
  <c r="C921" i="4"/>
  <c r="F921" i="4" s="1"/>
  <c r="G921" i="4" s="1"/>
  <c r="H921" i="4" s="1"/>
  <c r="C922" i="4"/>
  <c r="F922" i="4" s="1"/>
  <c r="G922" i="4" s="1"/>
  <c r="H922" i="4" s="1"/>
  <c r="C923" i="4"/>
  <c r="F923" i="4" s="1"/>
  <c r="G923" i="4" s="1"/>
  <c r="H923" i="4" s="1"/>
  <c r="C924" i="4"/>
  <c r="F924" i="4" s="1"/>
  <c r="G924" i="4" s="1"/>
  <c r="H924" i="4" s="1"/>
  <c r="C925" i="4"/>
  <c r="F925" i="4" s="1"/>
  <c r="G925" i="4" s="1"/>
  <c r="H925" i="4" s="1"/>
  <c r="C926" i="4"/>
  <c r="F926" i="4" s="1"/>
  <c r="G926" i="4" s="1"/>
  <c r="H926" i="4" s="1"/>
  <c r="C927" i="4"/>
  <c r="F927" i="4" s="1"/>
  <c r="G927" i="4" s="1"/>
  <c r="H927" i="4" s="1"/>
  <c r="C928" i="4"/>
  <c r="F928" i="4" s="1"/>
  <c r="G928" i="4" s="1"/>
  <c r="H928" i="4" s="1"/>
  <c r="C929" i="4"/>
  <c r="F929" i="4" s="1"/>
  <c r="G929" i="4" s="1"/>
  <c r="H929" i="4" s="1"/>
  <c r="C930" i="4"/>
  <c r="F930" i="4" s="1"/>
  <c r="G930" i="4" s="1"/>
  <c r="H930" i="4" s="1"/>
  <c r="C931" i="4"/>
  <c r="F931" i="4" s="1"/>
  <c r="G931" i="4" s="1"/>
  <c r="H931" i="4" s="1"/>
  <c r="C932" i="4"/>
  <c r="F932" i="4" s="1"/>
  <c r="G932" i="4" s="1"/>
  <c r="H932" i="4" s="1"/>
  <c r="C933" i="4"/>
  <c r="F933" i="4" s="1"/>
  <c r="G933" i="4" s="1"/>
  <c r="H933" i="4" s="1"/>
  <c r="C934" i="4"/>
  <c r="F934" i="4" s="1"/>
  <c r="G934" i="4" s="1"/>
  <c r="H934" i="4" s="1"/>
  <c r="C935" i="4"/>
  <c r="F935" i="4" s="1"/>
  <c r="G935" i="4" s="1"/>
  <c r="H935" i="4" s="1"/>
  <c r="C936" i="4"/>
  <c r="F936" i="4" s="1"/>
  <c r="G936" i="4" s="1"/>
  <c r="H936" i="4" s="1"/>
  <c r="C937" i="4"/>
  <c r="F937" i="4" s="1"/>
  <c r="G937" i="4" s="1"/>
  <c r="H937" i="4" s="1"/>
  <c r="C938" i="4"/>
  <c r="F938" i="4" s="1"/>
  <c r="G938" i="4" s="1"/>
  <c r="H938" i="4" s="1"/>
  <c r="C939" i="4"/>
  <c r="F939" i="4" s="1"/>
  <c r="G939" i="4" s="1"/>
  <c r="H939" i="4" s="1"/>
  <c r="C940" i="4"/>
  <c r="F940" i="4" s="1"/>
  <c r="G940" i="4" s="1"/>
  <c r="H940" i="4" s="1"/>
  <c r="C941" i="4"/>
  <c r="F941" i="4" s="1"/>
  <c r="G941" i="4" s="1"/>
  <c r="H941" i="4" s="1"/>
  <c r="C942" i="4"/>
  <c r="F942" i="4" s="1"/>
  <c r="G942" i="4" s="1"/>
  <c r="H942" i="4" s="1"/>
  <c r="C943" i="4"/>
  <c r="F943" i="4" s="1"/>
  <c r="G943" i="4" s="1"/>
  <c r="H943" i="4" s="1"/>
  <c r="C944" i="4"/>
  <c r="F944" i="4" s="1"/>
  <c r="G944" i="4" s="1"/>
  <c r="H944" i="4" s="1"/>
  <c r="C945" i="4"/>
  <c r="F945" i="4" s="1"/>
  <c r="G945" i="4" s="1"/>
  <c r="H945" i="4" s="1"/>
  <c r="C946" i="4"/>
  <c r="F946" i="4" s="1"/>
  <c r="G946" i="4" s="1"/>
  <c r="H946" i="4" s="1"/>
  <c r="C947" i="4"/>
  <c r="F947" i="4" s="1"/>
  <c r="G947" i="4" s="1"/>
  <c r="H947" i="4" s="1"/>
  <c r="C948" i="4"/>
  <c r="F948" i="4" s="1"/>
  <c r="G948" i="4" s="1"/>
  <c r="H948" i="4" s="1"/>
  <c r="C949" i="4"/>
  <c r="F949" i="4" s="1"/>
  <c r="G949" i="4" s="1"/>
  <c r="H949" i="4" s="1"/>
  <c r="C950" i="4"/>
  <c r="F950" i="4" s="1"/>
  <c r="G950" i="4" s="1"/>
  <c r="H950" i="4" s="1"/>
  <c r="C951" i="4"/>
  <c r="F951" i="4" s="1"/>
  <c r="G951" i="4" s="1"/>
  <c r="H951" i="4" s="1"/>
  <c r="C952" i="4"/>
  <c r="F952" i="4" s="1"/>
  <c r="G952" i="4" s="1"/>
  <c r="H952" i="4" s="1"/>
  <c r="C953" i="4"/>
  <c r="F953" i="4" s="1"/>
  <c r="G953" i="4" s="1"/>
  <c r="H953" i="4" s="1"/>
  <c r="C954" i="4"/>
  <c r="F954" i="4" s="1"/>
  <c r="G954" i="4" s="1"/>
  <c r="H954" i="4" s="1"/>
  <c r="C955" i="4"/>
  <c r="F955" i="4" s="1"/>
  <c r="G955" i="4" s="1"/>
  <c r="H955" i="4" s="1"/>
  <c r="C956" i="4"/>
  <c r="F956" i="4" s="1"/>
  <c r="G956" i="4" s="1"/>
  <c r="H956" i="4" s="1"/>
  <c r="C957" i="4"/>
  <c r="F957" i="4" s="1"/>
  <c r="G957" i="4" s="1"/>
  <c r="H957" i="4" s="1"/>
  <c r="C958" i="4"/>
  <c r="F958" i="4" s="1"/>
  <c r="G958" i="4" s="1"/>
  <c r="H958" i="4" s="1"/>
  <c r="C959" i="4"/>
  <c r="F959" i="4" s="1"/>
  <c r="G959" i="4" s="1"/>
  <c r="H959" i="4" s="1"/>
  <c r="C960" i="4"/>
  <c r="F960" i="4" s="1"/>
  <c r="G960" i="4" s="1"/>
  <c r="H960" i="4" s="1"/>
  <c r="C961" i="4"/>
  <c r="F961" i="4" s="1"/>
  <c r="G961" i="4" s="1"/>
  <c r="H961" i="4" s="1"/>
  <c r="C962" i="4"/>
  <c r="F962" i="4" s="1"/>
  <c r="G962" i="4" s="1"/>
  <c r="H962" i="4" s="1"/>
  <c r="C963" i="4"/>
  <c r="F963" i="4" s="1"/>
  <c r="G963" i="4" s="1"/>
  <c r="H963" i="4" s="1"/>
  <c r="C964" i="4"/>
  <c r="F964" i="4" s="1"/>
  <c r="G964" i="4" s="1"/>
  <c r="H964" i="4" s="1"/>
  <c r="C965" i="4"/>
  <c r="F965" i="4" s="1"/>
  <c r="G965" i="4" s="1"/>
  <c r="H965" i="4" s="1"/>
  <c r="C966" i="4"/>
  <c r="F966" i="4" s="1"/>
  <c r="G966" i="4" s="1"/>
  <c r="H966" i="4" s="1"/>
  <c r="C967" i="4"/>
  <c r="F967" i="4" s="1"/>
  <c r="G967" i="4" s="1"/>
  <c r="H967" i="4" s="1"/>
  <c r="C968" i="4"/>
  <c r="F968" i="4" s="1"/>
  <c r="G968" i="4" s="1"/>
  <c r="H968" i="4" s="1"/>
  <c r="C969" i="4"/>
  <c r="F969" i="4" s="1"/>
  <c r="G969" i="4" s="1"/>
  <c r="H969" i="4" s="1"/>
  <c r="C970" i="4"/>
  <c r="F970" i="4" s="1"/>
  <c r="G970" i="4" s="1"/>
  <c r="H970" i="4" s="1"/>
  <c r="C971" i="4"/>
  <c r="F971" i="4" s="1"/>
  <c r="G971" i="4" s="1"/>
  <c r="H971" i="4" s="1"/>
  <c r="C972" i="4"/>
  <c r="F972" i="4" s="1"/>
  <c r="G972" i="4" s="1"/>
  <c r="H972" i="4" s="1"/>
  <c r="C973" i="4"/>
  <c r="F973" i="4" s="1"/>
  <c r="G973" i="4" s="1"/>
  <c r="H973" i="4" s="1"/>
  <c r="C974" i="4"/>
  <c r="F974" i="4" s="1"/>
  <c r="G974" i="4" s="1"/>
  <c r="H974" i="4" s="1"/>
  <c r="C975" i="4"/>
  <c r="F975" i="4" s="1"/>
  <c r="G975" i="4" s="1"/>
  <c r="H975" i="4" s="1"/>
  <c r="C976" i="4"/>
  <c r="F976" i="4" s="1"/>
  <c r="G976" i="4" s="1"/>
  <c r="H976" i="4" s="1"/>
  <c r="C977" i="4"/>
  <c r="F977" i="4" s="1"/>
  <c r="G977" i="4" s="1"/>
  <c r="H977" i="4" s="1"/>
  <c r="C978" i="4"/>
  <c r="F978" i="4" s="1"/>
  <c r="G978" i="4" s="1"/>
  <c r="H978" i="4" s="1"/>
  <c r="C979" i="4"/>
  <c r="F979" i="4" s="1"/>
  <c r="G979" i="4" s="1"/>
  <c r="H979" i="4" s="1"/>
  <c r="C980" i="4"/>
  <c r="F980" i="4" s="1"/>
  <c r="G980" i="4" s="1"/>
  <c r="H980" i="4" s="1"/>
  <c r="C981" i="4"/>
  <c r="F981" i="4" s="1"/>
  <c r="G981" i="4" s="1"/>
  <c r="H981" i="4" s="1"/>
  <c r="C982" i="4"/>
  <c r="F982" i="4" s="1"/>
  <c r="G982" i="4" s="1"/>
  <c r="H982" i="4" s="1"/>
  <c r="C983" i="4"/>
  <c r="F983" i="4" s="1"/>
  <c r="G983" i="4" s="1"/>
  <c r="H983" i="4" s="1"/>
  <c r="C984" i="4"/>
  <c r="F984" i="4" s="1"/>
  <c r="G984" i="4" s="1"/>
  <c r="H984" i="4" s="1"/>
  <c r="C985" i="4"/>
  <c r="F985" i="4" s="1"/>
  <c r="G985" i="4" s="1"/>
  <c r="H985" i="4" s="1"/>
  <c r="C986" i="4"/>
  <c r="F986" i="4" s="1"/>
  <c r="G986" i="4" s="1"/>
  <c r="H986" i="4" s="1"/>
  <c r="C987" i="4"/>
  <c r="F987" i="4" s="1"/>
  <c r="G987" i="4" s="1"/>
  <c r="H987" i="4" s="1"/>
  <c r="C988" i="4"/>
  <c r="F988" i="4" s="1"/>
  <c r="G988" i="4" s="1"/>
  <c r="H988" i="4" s="1"/>
  <c r="C989" i="4"/>
  <c r="F989" i="4" s="1"/>
  <c r="G989" i="4" s="1"/>
  <c r="H989" i="4" s="1"/>
  <c r="C990" i="4"/>
  <c r="F990" i="4" s="1"/>
  <c r="G990" i="4" s="1"/>
  <c r="H990" i="4" s="1"/>
  <c r="C991" i="4"/>
  <c r="F991" i="4" s="1"/>
  <c r="G991" i="4" s="1"/>
  <c r="H991" i="4" s="1"/>
  <c r="C992" i="4"/>
  <c r="F992" i="4" s="1"/>
  <c r="G992" i="4" s="1"/>
  <c r="H992" i="4" s="1"/>
  <c r="C993" i="4"/>
  <c r="F993" i="4" s="1"/>
  <c r="G993" i="4" s="1"/>
  <c r="H993" i="4" s="1"/>
  <c r="C994" i="4"/>
  <c r="F994" i="4" s="1"/>
  <c r="G994" i="4" s="1"/>
  <c r="H994" i="4" s="1"/>
  <c r="C995" i="4"/>
  <c r="F995" i="4" s="1"/>
  <c r="G995" i="4" s="1"/>
  <c r="H995" i="4" s="1"/>
  <c r="C996" i="4"/>
  <c r="F996" i="4" s="1"/>
  <c r="G996" i="4" s="1"/>
  <c r="H996" i="4" s="1"/>
  <c r="C997" i="4"/>
  <c r="F997" i="4" s="1"/>
  <c r="G997" i="4" s="1"/>
  <c r="H997" i="4" s="1"/>
  <c r="C998" i="4"/>
  <c r="F998" i="4" s="1"/>
  <c r="G998" i="4" s="1"/>
  <c r="H998" i="4" s="1"/>
  <c r="C999" i="4"/>
  <c r="F999" i="4" s="1"/>
  <c r="G999" i="4" s="1"/>
  <c r="H999" i="4" s="1"/>
  <c r="C1000" i="4"/>
  <c r="F1000" i="4" s="1"/>
  <c r="G1000" i="4" s="1"/>
  <c r="H1000" i="4" s="1"/>
  <c r="C1001" i="4"/>
  <c r="F1001" i="4" s="1"/>
  <c r="G1001" i="4" s="1"/>
  <c r="H1001" i="4" s="1"/>
  <c r="C1002" i="4"/>
  <c r="F1002" i="4" s="1"/>
  <c r="G1002" i="4" s="1"/>
  <c r="H1002" i="4" s="1"/>
  <c r="C1003" i="4"/>
  <c r="F1003" i="4" s="1"/>
  <c r="G1003" i="4" s="1"/>
  <c r="H1003" i="4" s="1"/>
  <c r="C1004" i="4"/>
  <c r="F1004" i="4" s="1"/>
  <c r="G1004" i="4" s="1"/>
  <c r="H1004" i="4" s="1"/>
  <c r="C1005" i="4"/>
  <c r="F1005" i="4" s="1"/>
  <c r="G1005" i="4" s="1"/>
  <c r="H1005" i="4" s="1"/>
  <c r="C1006" i="4"/>
  <c r="F1006" i="4" s="1"/>
  <c r="G1006" i="4" s="1"/>
  <c r="H1006" i="4" s="1"/>
  <c r="C1007" i="4"/>
  <c r="F1007" i="4" s="1"/>
  <c r="G1007" i="4" s="1"/>
  <c r="H1007" i="4" s="1"/>
  <c r="C1008" i="4"/>
  <c r="F1008" i="4" s="1"/>
  <c r="C1009" i="4"/>
  <c r="F1009" i="4" s="1"/>
  <c r="G1009" i="4" s="1"/>
  <c r="H1009" i="4" s="1"/>
  <c r="C1010" i="4"/>
  <c r="F1010" i="4" s="1"/>
  <c r="G1010" i="4" s="1"/>
  <c r="H1010" i="4" s="1"/>
  <c r="C1011" i="4"/>
  <c r="F1011" i="4" s="1"/>
  <c r="G1011" i="4" s="1"/>
  <c r="H1011" i="4" s="1"/>
  <c r="C1012" i="4"/>
  <c r="F1012" i="4" s="1"/>
  <c r="G1012" i="4" s="1"/>
  <c r="H1012" i="4" s="1"/>
  <c r="C1013" i="4"/>
  <c r="F1013" i="4" s="1"/>
  <c r="G1013" i="4" s="1"/>
  <c r="H1013" i="4" s="1"/>
  <c r="C1014" i="4"/>
  <c r="F1014" i="4" s="1"/>
  <c r="G1014" i="4" s="1"/>
  <c r="H1014" i="4" s="1"/>
  <c r="C1015" i="4"/>
  <c r="F1015" i="4" s="1"/>
  <c r="G1015" i="4" s="1"/>
  <c r="H1015" i="4" s="1"/>
  <c r="C1016" i="4"/>
  <c r="F1016" i="4" s="1"/>
  <c r="G1016" i="4" s="1"/>
  <c r="H1016" i="4" s="1"/>
  <c r="C1017" i="4"/>
  <c r="F1017" i="4" s="1"/>
  <c r="G1017" i="4" s="1"/>
  <c r="H1017" i="4" s="1"/>
  <c r="C1018" i="4"/>
  <c r="F1018" i="4" s="1"/>
  <c r="G1018" i="4" s="1"/>
  <c r="H1018" i="4" s="1"/>
  <c r="C1019" i="4"/>
  <c r="F1019" i="4" s="1"/>
  <c r="G1019" i="4" s="1"/>
  <c r="H1019" i="4" s="1"/>
  <c r="C1020" i="4"/>
  <c r="F1020" i="4" s="1"/>
  <c r="G1020" i="4" s="1"/>
  <c r="H1020" i="4" s="1"/>
  <c r="C1021" i="4"/>
  <c r="F1021" i="4" s="1"/>
  <c r="G1021" i="4" s="1"/>
  <c r="H1021" i="4" s="1"/>
  <c r="C1022" i="4"/>
  <c r="F1022" i="4" s="1"/>
  <c r="G1022" i="4" s="1"/>
  <c r="H1022" i="4" s="1"/>
  <c r="C1023" i="4"/>
  <c r="F1023" i="4" s="1"/>
  <c r="G1023" i="4" s="1"/>
  <c r="H1023" i="4" s="1"/>
  <c r="C1024" i="4"/>
  <c r="F1024" i="4" s="1"/>
  <c r="G1024" i="4" s="1"/>
  <c r="H1024" i="4" s="1"/>
  <c r="C1025" i="4"/>
  <c r="F1025" i="4" s="1"/>
  <c r="G1025" i="4" s="1"/>
  <c r="H1025" i="4" s="1"/>
  <c r="C1026" i="4"/>
  <c r="F1026" i="4" s="1"/>
  <c r="G1026" i="4" s="1"/>
  <c r="H1026" i="4" s="1"/>
  <c r="C1027" i="4"/>
  <c r="F1027" i="4" s="1"/>
  <c r="G1027" i="4" s="1"/>
  <c r="H1027" i="4" s="1"/>
  <c r="C1028" i="4"/>
  <c r="F1028" i="4" s="1"/>
  <c r="G1028" i="4" s="1"/>
  <c r="H1028" i="4" s="1"/>
  <c r="C1029" i="4"/>
  <c r="F1029" i="4" s="1"/>
  <c r="G1029" i="4" s="1"/>
  <c r="H1029" i="4" s="1"/>
  <c r="C1030" i="4"/>
  <c r="F1030" i="4" s="1"/>
  <c r="G1030" i="4" s="1"/>
  <c r="H1030" i="4" s="1"/>
  <c r="C1031" i="4"/>
  <c r="F1031" i="4" s="1"/>
  <c r="G1031" i="4" s="1"/>
  <c r="H1031" i="4" s="1"/>
  <c r="C1032" i="4"/>
  <c r="F1032" i="4" s="1"/>
  <c r="G1032" i="4" s="1"/>
  <c r="H1032" i="4" s="1"/>
  <c r="C1033" i="4"/>
  <c r="F1033" i="4" s="1"/>
  <c r="G1033" i="4" s="1"/>
  <c r="H1033" i="4" s="1"/>
  <c r="C1034" i="4"/>
  <c r="F1034" i="4" s="1"/>
  <c r="G1034" i="4" s="1"/>
  <c r="H1034" i="4" s="1"/>
  <c r="C1035" i="4"/>
  <c r="F1035" i="4" s="1"/>
  <c r="G1035" i="4" s="1"/>
  <c r="H1035" i="4" s="1"/>
  <c r="C1036" i="4"/>
  <c r="F1036" i="4" s="1"/>
  <c r="G1036" i="4" s="1"/>
  <c r="H1036" i="4" s="1"/>
  <c r="C1037" i="4"/>
  <c r="F1037" i="4" s="1"/>
  <c r="G1037" i="4" s="1"/>
  <c r="H1037" i="4" s="1"/>
  <c r="C1038" i="4"/>
  <c r="F1038" i="4" s="1"/>
  <c r="G1038" i="4" s="1"/>
  <c r="H1038" i="4" s="1"/>
  <c r="C1039" i="4"/>
  <c r="F1039" i="4" s="1"/>
  <c r="G1039" i="4" s="1"/>
  <c r="H1039" i="4" s="1"/>
  <c r="C1040" i="4"/>
  <c r="F1040" i="4" s="1"/>
  <c r="G1040" i="4" s="1"/>
  <c r="H1040" i="4" s="1"/>
  <c r="C1041" i="4"/>
  <c r="F1041" i="4" s="1"/>
  <c r="G1041" i="4" s="1"/>
  <c r="H1041" i="4" s="1"/>
  <c r="C1042" i="4"/>
  <c r="F1042" i="4" s="1"/>
  <c r="G1042" i="4" s="1"/>
  <c r="H1042" i="4" s="1"/>
  <c r="C1043" i="4"/>
  <c r="F1043" i="4" s="1"/>
  <c r="G1043" i="4" s="1"/>
  <c r="H1043" i="4" s="1"/>
  <c r="C1044" i="4"/>
  <c r="F1044" i="4" s="1"/>
  <c r="G1044" i="4" s="1"/>
  <c r="H1044" i="4" s="1"/>
  <c r="C1045" i="4"/>
  <c r="F1045" i="4" s="1"/>
  <c r="G1045" i="4" s="1"/>
  <c r="H1045" i="4" s="1"/>
  <c r="C1046" i="4"/>
  <c r="F1046" i="4" s="1"/>
  <c r="G1046" i="4" s="1"/>
  <c r="H1046" i="4" s="1"/>
  <c r="C1047" i="4"/>
  <c r="F1047" i="4" s="1"/>
  <c r="G1047" i="4" s="1"/>
  <c r="H1047" i="4" s="1"/>
  <c r="C1048" i="4"/>
  <c r="F1048" i="4" s="1"/>
  <c r="G1048" i="4" s="1"/>
  <c r="H1048" i="4" s="1"/>
  <c r="C1049" i="4"/>
  <c r="F1049" i="4" s="1"/>
  <c r="G1049" i="4" s="1"/>
  <c r="H1049" i="4" s="1"/>
  <c r="C1050" i="4"/>
  <c r="F1050" i="4" s="1"/>
  <c r="G1050" i="4" s="1"/>
  <c r="H1050" i="4" s="1"/>
  <c r="C1051" i="4"/>
  <c r="F1051" i="4" s="1"/>
  <c r="G1051" i="4" s="1"/>
  <c r="H1051" i="4" s="1"/>
  <c r="C1052" i="4"/>
  <c r="F1052" i="4" s="1"/>
  <c r="G1052" i="4" s="1"/>
  <c r="H1052" i="4" s="1"/>
  <c r="C1053" i="4"/>
  <c r="F1053" i="4" s="1"/>
  <c r="G1053" i="4" s="1"/>
  <c r="H1053" i="4" s="1"/>
  <c r="C1054" i="4"/>
  <c r="F1054" i="4" s="1"/>
  <c r="G1054" i="4" s="1"/>
  <c r="H1054" i="4" s="1"/>
  <c r="C1055" i="4"/>
  <c r="F1055" i="4" s="1"/>
  <c r="G1055" i="4" s="1"/>
  <c r="H1055" i="4" s="1"/>
  <c r="C1056" i="4"/>
  <c r="F1056" i="4" s="1"/>
  <c r="G1056" i="4" s="1"/>
  <c r="H1056" i="4" s="1"/>
  <c r="C1057" i="4"/>
  <c r="F1057" i="4" s="1"/>
  <c r="G1057" i="4" s="1"/>
  <c r="H1057" i="4" s="1"/>
  <c r="C1058" i="4"/>
  <c r="F1058" i="4" s="1"/>
  <c r="G1058" i="4" s="1"/>
  <c r="H1058" i="4" s="1"/>
  <c r="C1059" i="4"/>
  <c r="F1059" i="4" s="1"/>
  <c r="G1059" i="4" s="1"/>
  <c r="H1059" i="4" s="1"/>
  <c r="C1060" i="4"/>
  <c r="F1060" i="4" s="1"/>
  <c r="G1060" i="4" s="1"/>
  <c r="H1060" i="4" s="1"/>
  <c r="C1061" i="4"/>
  <c r="F1061" i="4" s="1"/>
  <c r="G1061" i="4" s="1"/>
  <c r="H1061" i="4" s="1"/>
  <c r="C1062" i="4"/>
  <c r="F1062" i="4" s="1"/>
  <c r="G1062" i="4" s="1"/>
  <c r="H1062" i="4" s="1"/>
  <c r="C1063" i="4"/>
  <c r="F1063" i="4" s="1"/>
  <c r="G1063" i="4" s="1"/>
  <c r="H1063" i="4" s="1"/>
  <c r="C1064" i="4"/>
  <c r="F1064" i="4" s="1"/>
  <c r="G1064" i="4" s="1"/>
  <c r="H1064" i="4" s="1"/>
  <c r="C1065" i="4"/>
  <c r="F1065" i="4" s="1"/>
  <c r="G1065" i="4" s="1"/>
  <c r="H1065" i="4" s="1"/>
  <c r="C1066" i="4"/>
  <c r="F1066" i="4" s="1"/>
  <c r="G1066" i="4" s="1"/>
  <c r="H1066" i="4" s="1"/>
  <c r="C1067" i="4"/>
  <c r="F1067" i="4" s="1"/>
  <c r="G1067" i="4" s="1"/>
  <c r="H1067" i="4" s="1"/>
  <c r="C1068" i="4"/>
  <c r="F1068" i="4" s="1"/>
  <c r="G1068" i="4" s="1"/>
  <c r="H1068" i="4" s="1"/>
  <c r="C1069" i="4"/>
  <c r="F1069" i="4" s="1"/>
  <c r="G1069" i="4" s="1"/>
  <c r="H1069" i="4" s="1"/>
  <c r="C1070" i="4"/>
  <c r="F1070" i="4" s="1"/>
  <c r="G1070" i="4" s="1"/>
  <c r="H1070" i="4" s="1"/>
  <c r="C1071" i="4"/>
  <c r="F1071" i="4" s="1"/>
  <c r="G1071" i="4" s="1"/>
  <c r="H1071" i="4" s="1"/>
  <c r="C1072" i="4"/>
  <c r="F1072" i="4" s="1"/>
  <c r="G1072" i="4" s="1"/>
  <c r="H1072" i="4" s="1"/>
  <c r="C1073" i="4"/>
  <c r="F1073" i="4" s="1"/>
  <c r="G1073" i="4" s="1"/>
  <c r="H1073" i="4" s="1"/>
  <c r="C1074" i="4"/>
  <c r="F1074" i="4" s="1"/>
  <c r="G1074" i="4" s="1"/>
  <c r="H1074" i="4" s="1"/>
  <c r="C1075" i="4"/>
  <c r="F1075" i="4" s="1"/>
  <c r="G1075" i="4" s="1"/>
  <c r="H1075" i="4" s="1"/>
  <c r="C1076" i="4"/>
  <c r="F1076" i="4" s="1"/>
  <c r="G1076" i="4" s="1"/>
  <c r="H1076" i="4" s="1"/>
  <c r="C1077" i="4"/>
  <c r="F1077" i="4" s="1"/>
  <c r="G1077" i="4" s="1"/>
  <c r="H1077" i="4" s="1"/>
  <c r="C1078" i="4"/>
  <c r="F1078" i="4" s="1"/>
  <c r="G1078" i="4" s="1"/>
  <c r="H1078" i="4" s="1"/>
  <c r="C1079" i="4"/>
  <c r="F1079" i="4" s="1"/>
  <c r="G1079" i="4" s="1"/>
  <c r="H1079" i="4" s="1"/>
  <c r="C1080" i="4"/>
  <c r="F1080" i="4" s="1"/>
  <c r="G1080" i="4" s="1"/>
  <c r="H1080" i="4" s="1"/>
  <c r="C1081" i="4"/>
  <c r="F1081" i="4" s="1"/>
  <c r="G1081" i="4" s="1"/>
  <c r="H1081" i="4" s="1"/>
  <c r="C1082" i="4"/>
  <c r="F1082" i="4" s="1"/>
  <c r="G1082" i="4" s="1"/>
  <c r="H1082" i="4" s="1"/>
  <c r="C1083" i="4"/>
  <c r="F1083" i="4" s="1"/>
  <c r="G1083" i="4" s="1"/>
  <c r="H1083" i="4" s="1"/>
  <c r="C1084" i="4"/>
  <c r="F1084" i="4" s="1"/>
  <c r="G1084" i="4" s="1"/>
  <c r="H1084" i="4" s="1"/>
  <c r="C1085" i="4"/>
  <c r="F1085" i="4" s="1"/>
  <c r="G1085" i="4" s="1"/>
  <c r="H1085" i="4" s="1"/>
  <c r="C1086" i="4"/>
  <c r="F1086" i="4" s="1"/>
  <c r="G1086" i="4" s="1"/>
  <c r="H1086" i="4" s="1"/>
  <c r="C1087" i="4"/>
  <c r="F1087" i="4" s="1"/>
  <c r="G1087" i="4" s="1"/>
  <c r="H1087" i="4" s="1"/>
  <c r="C1088" i="4"/>
  <c r="F1088" i="4" s="1"/>
  <c r="G1088" i="4" s="1"/>
  <c r="H1088" i="4" s="1"/>
  <c r="C1089" i="4"/>
  <c r="F1089" i="4" s="1"/>
  <c r="G1089" i="4" s="1"/>
  <c r="H1089" i="4" s="1"/>
  <c r="C1090" i="4"/>
  <c r="F1090" i="4" s="1"/>
  <c r="G1090" i="4" s="1"/>
  <c r="H1090" i="4" s="1"/>
  <c r="C1091" i="4"/>
  <c r="F1091" i="4" s="1"/>
  <c r="G1091" i="4" s="1"/>
  <c r="H1091" i="4" s="1"/>
  <c r="C1092" i="4"/>
  <c r="F1092" i="4" s="1"/>
  <c r="G1092" i="4" s="1"/>
  <c r="H1092" i="4" s="1"/>
  <c r="C1093" i="4"/>
  <c r="F1093" i="4" s="1"/>
  <c r="G1093" i="4" s="1"/>
  <c r="H1093" i="4" s="1"/>
  <c r="C1094" i="4"/>
  <c r="F1094" i="4" s="1"/>
  <c r="G1094" i="4" s="1"/>
  <c r="H1094" i="4" s="1"/>
  <c r="C1095" i="4"/>
  <c r="F1095" i="4" s="1"/>
  <c r="G1095" i="4" s="1"/>
  <c r="H1095" i="4" s="1"/>
  <c r="C1096" i="4"/>
  <c r="F1096" i="4" s="1"/>
  <c r="G1096" i="4" s="1"/>
  <c r="H1096" i="4" s="1"/>
  <c r="C1097" i="4"/>
  <c r="F1097" i="4" s="1"/>
  <c r="G1097" i="4" s="1"/>
  <c r="H1097" i="4" s="1"/>
  <c r="C1098" i="4"/>
  <c r="F1098" i="4" s="1"/>
  <c r="G1098" i="4" s="1"/>
  <c r="H1098" i="4" s="1"/>
  <c r="C1099" i="4"/>
  <c r="F1099" i="4" s="1"/>
  <c r="G1099" i="4" s="1"/>
  <c r="H1099" i="4" s="1"/>
  <c r="C1100" i="4"/>
  <c r="F1100" i="4" s="1"/>
  <c r="G1100" i="4" s="1"/>
  <c r="H1100" i="4" s="1"/>
  <c r="C1101" i="4"/>
  <c r="F1101" i="4" s="1"/>
  <c r="G1101" i="4" s="1"/>
  <c r="H1101" i="4" s="1"/>
  <c r="C1102" i="4"/>
  <c r="F1102" i="4" s="1"/>
  <c r="G1102" i="4" s="1"/>
  <c r="H1102" i="4" s="1"/>
  <c r="C1103" i="4"/>
  <c r="F1103" i="4" s="1"/>
  <c r="G1103" i="4" s="1"/>
  <c r="H1103" i="4" s="1"/>
  <c r="C1104" i="4"/>
  <c r="F1104" i="4" s="1"/>
  <c r="G1104" i="4" s="1"/>
  <c r="H1104" i="4" s="1"/>
  <c r="C1105" i="4"/>
  <c r="F1105" i="4" s="1"/>
  <c r="G1105" i="4" s="1"/>
  <c r="H1105" i="4" s="1"/>
  <c r="C1106" i="4"/>
  <c r="F1106" i="4" s="1"/>
  <c r="G1106" i="4" s="1"/>
  <c r="H1106" i="4" s="1"/>
  <c r="C1107" i="4"/>
  <c r="F1107" i="4" s="1"/>
  <c r="G1107" i="4" s="1"/>
  <c r="H1107" i="4" s="1"/>
  <c r="C1108" i="4"/>
  <c r="F1108" i="4" s="1"/>
  <c r="G1108" i="4" s="1"/>
  <c r="H1108" i="4" s="1"/>
  <c r="C1109" i="4"/>
  <c r="F1109" i="4" s="1"/>
  <c r="G1109" i="4" s="1"/>
  <c r="H1109" i="4" s="1"/>
  <c r="C1110" i="4"/>
  <c r="F1110" i="4" s="1"/>
  <c r="G1110" i="4" s="1"/>
  <c r="H1110" i="4" s="1"/>
  <c r="C1111" i="4"/>
  <c r="F1111" i="4" s="1"/>
  <c r="G1111" i="4" s="1"/>
  <c r="H1111" i="4" s="1"/>
  <c r="C1112" i="4"/>
  <c r="F1112" i="4" s="1"/>
  <c r="G1112" i="4" s="1"/>
  <c r="H1112" i="4" s="1"/>
  <c r="C1113" i="4"/>
  <c r="F1113" i="4" s="1"/>
  <c r="G1113" i="4" s="1"/>
  <c r="H1113" i="4" s="1"/>
  <c r="C1114" i="4"/>
  <c r="F1114" i="4" s="1"/>
  <c r="G1114" i="4" s="1"/>
  <c r="H1114" i="4" s="1"/>
  <c r="C1115" i="4"/>
  <c r="F1115" i="4" s="1"/>
  <c r="G1115" i="4" s="1"/>
  <c r="H1115" i="4" s="1"/>
  <c r="C1116" i="4"/>
  <c r="F1116" i="4" s="1"/>
  <c r="G1116" i="4" s="1"/>
  <c r="H1116" i="4" s="1"/>
  <c r="C1117" i="4"/>
  <c r="F1117" i="4" s="1"/>
  <c r="G1117" i="4" s="1"/>
  <c r="H1117" i="4" s="1"/>
  <c r="C1118" i="4"/>
  <c r="F1118" i="4" s="1"/>
  <c r="G1118" i="4" s="1"/>
  <c r="H1118" i="4" s="1"/>
  <c r="C1119" i="4"/>
  <c r="F1119" i="4" s="1"/>
  <c r="G1119" i="4" s="1"/>
  <c r="H1119" i="4" s="1"/>
  <c r="C1120" i="4"/>
  <c r="F1120" i="4" s="1"/>
  <c r="G1120" i="4" s="1"/>
  <c r="H1120" i="4" s="1"/>
  <c r="C1121" i="4"/>
  <c r="F1121" i="4" s="1"/>
  <c r="G1121" i="4" s="1"/>
  <c r="H1121" i="4" s="1"/>
  <c r="C1122" i="4"/>
  <c r="F1122" i="4" s="1"/>
  <c r="G1122" i="4" s="1"/>
  <c r="H1122" i="4" s="1"/>
  <c r="C1123" i="4"/>
  <c r="F1123" i="4" s="1"/>
  <c r="G1123" i="4" s="1"/>
  <c r="H1123" i="4" s="1"/>
  <c r="C1124" i="4"/>
  <c r="F1124" i="4" s="1"/>
  <c r="G1124" i="4" s="1"/>
  <c r="H1124" i="4" s="1"/>
  <c r="C1125" i="4"/>
  <c r="F1125" i="4" s="1"/>
  <c r="G1125" i="4" s="1"/>
  <c r="H1125" i="4" s="1"/>
  <c r="C1126" i="4"/>
  <c r="F1126" i="4" s="1"/>
  <c r="G1126" i="4" s="1"/>
  <c r="H1126" i="4" s="1"/>
  <c r="C1127" i="4"/>
  <c r="F1127" i="4" s="1"/>
  <c r="G1127" i="4" s="1"/>
  <c r="H1127" i="4" s="1"/>
  <c r="C1128" i="4"/>
  <c r="F1128" i="4" s="1"/>
  <c r="G1128" i="4" s="1"/>
  <c r="H1128" i="4" s="1"/>
  <c r="C1129" i="4"/>
  <c r="F1129" i="4" s="1"/>
  <c r="G1129" i="4" s="1"/>
  <c r="H1129" i="4" s="1"/>
  <c r="C1130" i="4"/>
  <c r="F1130" i="4" s="1"/>
  <c r="G1130" i="4" s="1"/>
  <c r="H1130" i="4" s="1"/>
  <c r="C1131" i="4"/>
  <c r="F1131" i="4" s="1"/>
  <c r="G1131" i="4" s="1"/>
  <c r="H1131" i="4" s="1"/>
  <c r="C1132" i="4"/>
  <c r="F1132" i="4" s="1"/>
  <c r="G1132" i="4" s="1"/>
  <c r="H1132" i="4" s="1"/>
  <c r="C1133" i="4"/>
  <c r="F1133" i="4" s="1"/>
  <c r="G1133" i="4" s="1"/>
  <c r="H1133" i="4" s="1"/>
  <c r="C1134" i="4"/>
  <c r="F1134" i="4" s="1"/>
  <c r="G1134" i="4" s="1"/>
  <c r="H1134" i="4" s="1"/>
  <c r="C1135" i="4"/>
  <c r="F1135" i="4" s="1"/>
  <c r="G1135" i="4" s="1"/>
  <c r="H1135" i="4" s="1"/>
  <c r="C1136" i="4"/>
  <c r="F1136" i="4" s="1"/>
  <c r="G1136" i="4" s="1"/>
  <c r="H1136" i="4" s="1"/>
  <c r="C1137" i="4"/>
  <c r="F1137" i="4" s="1"/>
  <c r="G1137" i="4" s="1"/>
  <c r="H1137" i="4" s="1"/>
  <c r="C1138" i="4"/>
  <c r="F1138" i="4" s="1"/>
  <c r="G1138" i="4" s="1"/>
  <c r="H1138" i="4" s="1"/>
  <c r="C1139" i="4"/>
  <c r="F1139" i="4" s="1"/>
  <c r="G1139" i="4" s="1"/>
  <c r="H1139" i="4" s="1"/>
  <c r="C1140" i="4"/>
  <c r="F1140" i="4" s="1"/>
  <c r="G1140" i="4" s="1"/>
  <c r="H1140" i="4" s="1"/>
  <c r="C1141" i="4"/>
  <c r="F1141" i="4" s="1"/>
  <c r="G1141" i="4" s="1"/>
  <c r="H1141" i="4" s="1"/>
  <c r="C1142" i="4"/>
  <c r="F1142" i="4" s="1"/>
  <c r="G1142" i="4" s="1"/>
  <c r="H1142" i="4" s="1"/>
  <c r="C1143" i="4"/>
  <c r="F1143" i="4" s="1"/>
  <c r="G1143" i="4" s="1"/>
  <c r="H1143" i="4" s="1"/>
  <c r="C1144" i="4"/>
  <c r="F1144" i="4" s="1"/>
  <c r="G1144" i="4" s="1"/>
  <c r="H1144" i="4" s="1"/>
  <c r="C1145" i="4"/>
  <c r="F1145" i="4" s="1"/>
  <c r="G1145" i="4" s="1"/>
  <c r="H1145" i="4" s="1"/>
  <c r="C1146" i="4"/>
  <c r="F1146" i="4" s="1"/>
  <c r="G1146" i="4" s="1"/>
  <c r="H1146" i="4" s="1"/>
  <c r="C1147" i="4"/>
  <c r="F1147" i="4" s="1"/>
  <c r="G1147" i="4" s="1"/>
  <c r="H1147" i="4" s="1"/>
  <c r="C1148" i="4"/>
  <c r="F1148" i="4" s="1"/>
  <c r="G1148" i="4" s="1"/>
  <c r="H1148" i="4" s="1"/>
  <c r="C1149" i="4"/>
  <c r="F1149" i="4" s="1"/>
  <c r="G1149" i="4" s="1"/>
  <c r="H1149" i="4" s="1"/>
  <c r="C1150" i="4"/>
  <c r="F1150" i="4" s="1"/>
  <c r="G1150" i="4" s="1"/>
  <c r="H1150" i="4" s="1"/>
  <c r="C1151" i="4"/>
  <c r="F1151" i="4" s="1"/>
  <c r="G1151" i="4" s="1"/>
  <c r="H1151" i="4" s="1"/>
  <c r="C1152" i="4"/>
  <c r="F1152" i="4" s="1"/>
  <c r="G1152" i="4" s="1"/>
  <c r="H1152" i="4" s="1"/>
  <c r="C1153" i="4"/>
  <c r="F1153" i="4" s="1"/>
  <c r="G1153" i="4" s="1"/>
  <c r="H1153" i="4" s="1"/>
  <c r="C1154" i="4"/>
  <c r="F1154" i="4" s="1"/>
  <c r="G1154" i="4" s="1"/>
  <c r="H1154" i="4" s="1"/>
  <c r="C1155" i="4"/>
  <c r="F1155" i="4" s="1"/>
  <c r="G1155" i="4" s="1"/>
  <c r="H1155" i="4" s="1"/>
  <c r="C1156" i="4"/>
  <c r="F1156" i="4" s="1"/>
  <c r="G1156" i="4" s="1"/>
  <c r="H1156" i="4" s="1"/>
  <c r="C1157" i="4"/>
  <c r="F1157" i="4" s="1"/>
  <c r="G1157" i="4" s="1"/>
  <c r="H1157" i="4" s="1"/>
  <c r="C1158" i="4"/>
  <c r="F1158" i="4" s="1"/>
  <c r="G1158" i="4" s="1"/>
  <c r="H1158" i="4" s="1"/>
  <c r="C1159" i="4"/>
  <c r="F1159" i="4" s="1"/>
  <c r="G1159" i="4" s="1"/>
  <c r="H1159" i="4" s="1"/>
  <c r="C1160" i="4"/>
  <c r="F1160" i="4" s="1"/>
  <c r="G1160" i="4" s="1"/>
  <c r="H1160" i="4" s="1"/>
  <c r="C1161" i="4"/>
  <c r="F1161" i="4" s="1"/>
  <c r="G1161" i="4" s="1"/>
  <c r="H1161" i="4" s="1"/>
  <c r="C1162" i="4"/>
  <c r="F1162" i="4" s="1"/>
  <c r="G1162" i="4" s="1"/>
  <c r="H1162" i="4" s="1"/>
  <c r="C1163" i="4"/>
  <c r="F1163" i="4" s="1"/>
  <c r="G1163" i="4" s="1"/>
  <c r="H1163" i="4" s="1"/>
  <c r="C1164" i="4"/>
  <c r="F1164" i="4" s="1"/>
  <c r="G1164" i="4" s="1"/>
  <c r="H1164" i="4" s="1"/>
  <c r="C1165" i="4"/>
  <c r="F1165" i="4" s="1"/>
  <c r="G1165" i="4" s="1"/>
  <c r="H1165" i="4" s="1"/>
  <c r="C1166" i="4"/>
  <c r="F1166" i="4" s="1"/>
  <c r="G1166" i="4" s="1"/>
  <c r="H1166" i="4" s="1"/>
  <c r="C1167" i="4"/>
  <c r="F1167" i="4" s="1"/>
  <c r="G1167" i="4" s="1"/>
  <c r="H1167" i="4" s="1"/>
  <c r="C1168" i="4"/>
  <c r="F1168" i="4" s="1"/>
  <c r="G1168" i="4" s="1"/>
  <c r="H1168" i="4" s="1"/>
  <c r="C1169" i="4"/>
  <c r="F1169" i="4" s="1"/>
  <c r="G1169" i="4" s="1"/>
  <c r="H1169" i="4" s="1"/>
  <c r="C1170" i="4"/>
  <c r="F1170" i="4" s="1"/>
  <c r="G1170" i="4" s="1"/>
  <c r="H1170" i="4" s="1"/>
  <c r="C1171" i="4"/>
  <c r="F1171" i="4" s="1"/>
  <c r="G1171" i="4" s="1"/>
  <c r="H1171" i="4" s="1"/>
  <c r="C1172" i="4"/>
  <c r="F1172" i="4" s="1"/>
  <c r="G1172" i="4" s="1"/>
  <c r="H1172" i="4" s="1"/>
  <c r="C1173" i="4"/>
  <c r="F1173" i="4" s="1"/>
  <c r="G1173" i="4" s="1"/>
  <c r="H1173" i="4" s="1"/>
  <c r="C1174" i="4"/>
  <c r="F1174" i="4" s="1"/>
  <c r="G1174" i="4" s="1"/>
  <c r="H1174" i="4" s="1"/>
  <c r="C1175" i="4"/>
  <c r="F1175" i="4" s="1"/>
  <c r="G1175" i="4" s="1"/>
  <c r="H1175" i="4" s="1"/>
  <c r="C1176" i="4"/>
  <c r="F1176" i="4" s="1"/>
  <c r="G1176" i="4" s="1"/>
  <c r="H1176" i="4" s="1"/>
  <c r="C1177" i="4"/>
  <c r="F1177" i="4" s="1"/>
  <c r="G1177" i="4" s="1"/>
  <c r="H1177" i="4" s="1"/>
  <c r="C1178" i="4"/>
  <c r="F1178" i="4" s="1"/>
  <c r="G1178" i="4" s="1"/>
  <c r="H1178" i="4" s="1"/>
  <c r="C1179" i="4"/>
  <c r="F1179" i="4" s="1"/>
  <c r="G1179" i="4" s="1"/>
  <c r="H1179" i="4" s="1"/>
  <c r="C1180" i="4"/>
  <c r="F1180" i="4" s="1"/>
  <c r="G1180" i="4" s="1"/>
  <c r="H1180" i="4" s="1"/>
  <c r="C1181" i="4"/>
  <c r="F1181" i="4" s="1"/>
  <c r="G1181" i="4" s="1"/>
  <c r="H1181" i="4" s="1"/>
  <c r="C1182" i="4"/>
  <c r="F1182" i="4" s="1"/>
  <c r="G1182" i="4" s="1"/>
  <c r="H1182" i="4" s="1"/>
  <c r="C1183" i="4"/>
  <c r="F1183" i="4" s="1"/>
  <c r="G1183" i="4" s="1"/>
  <c r="H1183" i="4" s="1"/>
  <c r="C1184" i="4"/>
  <c r="F1184" i="4" s="1"/>
  <c r="G1184" i="4" s="1"/>
  <c r="H1184" i="4" s="1"/>
  <c r="C1185" i="4"/>
  <c r="F1185" i="4" s="1"/>
  <c r="G1185" i="4" s="1"/>
  <c r="H1185" i="4" s="1"/>
  <c r="C1186" i="4"/>
  <c r="F1186" i="4" s="1"/>
  <c r="G1186" i="4" s="1"/>
  <c r="H1186" i="4" s="1"/>
  <c r="C1187" i="4"/>
  <c r="F1187" i="4" s="1"/>
  <c r="G1187" i="4" s="1"/>
  <c r="H1187" i="4" s="1"/>
  <c r="C1188" i="4"/>
  <c r="F1188" i="4" s="1"/>
  <c r="G1188" i="4" s="1"/>
  <c r="H1188" i="4" s="1"/>
  <c r="C1189" i="4"/>
  <c r="F1189" i="4" s="1"/>
  <c r="G1189" i="4" s="1"/>
  <c r="H1189" i="4" s="1"/>
  <c r="C1190" i="4"/>
  <c r="F1190" i="4" s="1"/>
  <c r="G1190" i="4" s="1"/>
  <c r="H1190" i="4" s="1"/>
  <c r="C1191" i="4"/>
  <c r="F1191" i="4" s="1"/>
  <c r="G1191" i="4" s="1"/>
  <c r="H1191" i="4" s="1"/>
  <c r="C1192" i="4"/>
  <c r="F1192" i="4" s="1"/>
  <c r="G1192" i="4" s="1"/>
  <c r="H1192" i="4" s="1"/>
  <c r="C1193" i="4"/>
  <c r="F1193" i="4" s="1"/>
  <c r="G1193" i="4" s="1"/>
  <c r="H1193" i="4" s="1"/>
  <c r="C1194" i="4"/>
  <c r="F1194" i="4" s="1"/>
  <c r="G1194" i="4" s="1"/>
  <c r="H1194" i="4" s="1"/>
  <c r="C1195" i="4"/>
  <c r="F1195" i="4" s="1"/>
  <c r="G1195" i="4" s="1"/>
  <c r="H1195" i="4" s="1"/>
  <c r="C1196" i="4"/>
  <c r="F1196" i="4" s="1"/>
  <c r="G1196" i="4" s="1"/>
  <c r="H1196" i="4" s="1"/>
  <c r="C1197" i="4"/>
  <c r="F1197" i="4" s="1"/>
  <c r="G1197" i="4" s="1"/>
  <c r="H1197" i="4" s="1"/>
  <c r="C1198" i="4"/>
  <c r="F1198" i="4" s="1"/>
  <c r="G1198" i="4" s="1"/>
  <c r="H1198" i="4" s="1"/>
  <c r="C1199" i="4"/>
  <c r="F1199" i="4" s="1"/>
  <c r="G1199" i="4" s="1"/>
  <c r="H1199" i="4" s="1"/>
  <c r="C1200" i="4"/>
  <c r="F1200" i="4" s="1"/>
  <c r="G1200" i="4" s="1"/>
  <c r="H1200" i="4" s="1"/>
  <c r="C1201" i="4"/>
  <c r="F1201" i="4" s="1"/>
  <c r="G1201" i="4" s="1"/>
  <c r="H1201" i="4" s="1"/>
  <c r="C1202" i="4"/>
  <c r="F1202" i="4" s="1"/>
  <c r="G1202" i="4" s="1"/>
  <c r="H1202" i="4" s="1"/>
  <c r="C1203" i="4"/>
  <c r="F1203" i="4" s="1"/>
  <c r="G1203" i="4" s="1"/>
  <c r="H1203" i="4" s="1"/>
  <c r="C1204" i="4"/>
  <c r="F1204" i="4" s="1"/>
  <c r="G1204" i="4" s="1"/>
  <c r="H1204" i="4" s="1"/>
  <c r="C1205" i="4"/>
  <c r="F1205" i="4" s="1"/>
  <c r="G1205" i="4" s="1"/>
  <c r="H1205" i="4" s="1"/>
  <c r="C1206" i="4"/>
  <c r="F1206" i="4" s="1"/>
  <c r="G1206" i="4" s="1"/>
  <c r="H1206" i="4" s="1"/>
  <c r="C1207" i="4"/>
  <c r="F1207" i="4" s="1"/>
  <c r="G1207" i="4" s="1"/>
  <c r="H1207" i="4" s="1"/>
  <c r="C1208" i="4"/>
  <c r="F1208" i="4" s="1"/>
  <c r="G1208" i="4" s="1"/>
  <c r="H1208" i="4" s="1"/>
  <c r="C1209" i="4"/>
  <c r="F1209" i="4" s="1"/>
  <c r="G1209" i="4" s="1"/>
  <c r="H1209" i="4" s="1"/>
  <c r="C1210" i="4"/>
  <c r="F1210" i="4" s="1"/>
  <c r="G1210" i="4" s="1"/>
  <c r="H1210" i="4" s="1"/>
  <c r="C1211" i="4"/>
  <c r="F1211" i="4" s="1"/>
  <c r="G1211" i="4" s="1"/>
  <c r="H1211" i="4" s="1"/>
  <c r="C1212" i="4"/>
  <c r="F1212" i="4" s="1"/>
  <c r="G1212" i="4" s="1"/>
  <c r="H1212" i="4" s="1"/>
  <c r="C1213" i="4"/>
  <c r="F1213" i="4" s="1"/>
  <c r="G1213" i="4" s="1"/>
  <c r="H1213" i="4" s="1"/>
  <c r="C1214" i="4"/>
  <c r="F1214" i="4" s="1"/>
  <c r="G1214" i="4" s="1"/>
  <c r="H1214" i="4" s="1"/>
  <c r="C1215" i="4"/>
  <c r="F1215" i="4" s="1"/>
  <c r="G1215" i="4" s="1"/>
  <c r="H1215" i="4" s="1"/>
  <c r="C1216" i="4"/>
  <c r="F1216" i="4" s="1"/>
  <c r="G1216" i="4" s="1"/>
  <c r="H1216" i="4" s="1"/>
  <c r="C1217" i="4"/>
  <c r="F1217" i="4" s="1"/>
  <c r="G1217" i="4" s="1"/>
  <c r="H1217" i="4" s="1"/>
  <c r="C1218" i="4"/>
  <c r="F1218" i="4" s="1"/>
  <c r="G1218" i="4" s="1"/>
  <c r="H1218" i="4" s="1"/>
  <c r="C1219" i="4"/>
  <c r="F1219" i="4" s="1"/>
  <c r="G1219" i="4" s="1"/>
  <c r="H1219" i="4" s="1"/>
  <c r="C1220" i="4"/>
  <c r="F1220" i="4" s="1"/>
  <c r="G1220" i="4" s="1"/>
  <c r="H1220" i="4" s="1"/>
  <c r="C1221" i="4"/>
  <c r="F1221" i="4" s="1"/>
  <c r="G1221" i="4" s="1"/>
  <c r="H1221" i="4" s="1"/>
  <c r="C1222" i="4"/>
  <c r="F1222" i="4" s="1"/>
  <c r="G1222" i="4" s="1"/>
  <c r="H1222" i="4" s="1"/>
  <c r="C1223" i="4"/>
  <c r="F1223" i="4" s="1"/>
  <c r="G1223" i="4" s="1"/>
  <c r="H1223" i="4" s="1"/>
  <c r="C1224" i="4"/>
  <c r="F1224" i="4" s="1"/>
  <c r="G1224" i="4" s="1"/>
  <c r="H1224" i="4" s="1"/>
  <c r="C1225" i="4"/>
  <c r="F1225" i="4" s="1"/>
  <c r="G1225" i="4" s="1"/>
  <c r="H1225" i="4" s="1"/>
  <c r="C1226" i="4"/>
  <c r="F1226" i="4" s="1"/>
  <c r="G1226" i="4" s="1"/>
  <c r="H1226" i="4" s="1"/>
  <c r="C1227" i="4"/>
  <c r="F1227" i="4" s="1"/>
  <c r="G1227" i="4" s="1"/>
  <c r="H1227" i="4" s="1"/>
  <c r="C1228" i="4"/>
  <c r="F1228" i="4" s="1"/>
  <c r="G1228" i="4" s="1"/>
  <c r="H1228" i="4" s="1"/>
  <c r="C1229" i="4"/>
  <c r="F1229" i="4" s="1"/>
  <c r="G1229" i="4" s="1"/>
  <c r="H1229" i="4" s="1"/>
  <c r="C1230" i="4"/>
  <c r="F1230" i="4" s="1"/>
  <c r="G1230" i="4" s="1"/>
  <c r="H1230" i="4" s="1"/>
  <c r="C1231" i="4"/>
  <c r="F1231" i="4" s="1"/>
  <c r="G1231" i="4" s="1"/>
  <c r="H1231" i="4" s="1"/>
  <c r="C1232" i="4"/>
  <c r="F1232" i="4" s="1"/>
  <c r="G1232" i="4" s="1"/>
  <c r="H1232" i="4" s="1"/>
  <c r="C1233" i="4"/>
  <c r="F1233" i="4" s="1"/>
  <c r="G1233" i="4" s="1"/>
  <c r="H1233" i="4" s="1"/>
  <c r="C1234" i="4"/>
  <c r="F1234" i="4" s="1"/>
  <c r="G1234" i="4" s="1"/>
  <c r="H1234" i="4" s="1"/>
  <c r="C1235" i="4"/>
  <c r="F1235" i="4" s="1"/>
  <c r="G1235" i="4" s="1"/>
  <c r="H1235" i="4" s="1"/>
  <c r="C1236" i="4"/>
  <c r="F1236" i="4" s="1"/>
  <c r="G1236" i="4" s="1"/>
  <c r="H1236" i="4" s="1"/>
  <c r="C1237" i="4"/>
  <c r="F1237" i="4" s="1"/>
  <c r="G1237" i="4" s="1"/>
  <c r="H1237" i="4" s="1"/>
  <c r="C1238" i="4"/>
  <c r="F1238" i="4" s="1"/>
  <c r="G1238" i="4" s="1"/>
  <c r="H1238" i="4" s="1"/>
  <c r="C1239" i="4"/>
  <c r="F1239" i="4" s="1"/>
  <c r="G1239" i="4" s="1"/>
  <c r="H1239" i="4" s="1"/>
  <c r="C1240" i="4"/>
  <c r="F1240" i="4" s="1"/>
  <c r="G1240" i="4" s="1"/>
  <c r="H1240" i="4" s="1"/>
  <c r="C1241" i="4"/>
  <c r="F1241" i="4" s="1"/>
  <c r="G1241" i="4" s="1"/>
  <c r="H1241" i="4" s="1"/>
  <c r="C1242" i="4"/>
  <c r="F1242" i="4" s="1"/>
  <c r="G1242" i="4" s="1"/>
  <c r="H1242" i="4" s="1"/>
  <c r="C1243" i="4"/>
  <c r="F1243" i="4" s="1"/>
  <c r="G1243" i="4" s="1"/>
  <c r="H1243" i="4" s="1"/>
  <c r="C1244" i="4"/>
  <c r="F1244" i="4" s="1"/>
  <c r="G1244" i="4" s="1"/>
  <c r="H1244" i="4" s="1"/>
  <c r="C1245" i="4"/>
  <c r="F1245" i="4" s="1"/>
  <c r="G1245" i="4" s="1"/>
  <c r="H1245" i="4" s="1"/>
  <c r="C1246" i="4"/>
  <c r="F1246" i="4" s="1"/>
  <c r="G1246" i="4" s="1"/>
  <c r="H1246" i="4" s="1"/>
  <c r="C1247" i="4"/>
  <c r="F1247" i="4" s="1"/>
  <c r="G1247" i="4" s="1"/>
  <c r="H1247" i="4" s="1"/>
  <c r="C1248" i="4"/>
  <c r="F1248" i="4" s="1"/>
  <c r="G1248" i="4" s="1"/>
  <c r="H1248" i="4" s="1"/>
  <c r="C1249" i="4"/>
  <c r="F1249" i="4" s="1"/>
  <c r="G1249" i="4" s="1"/>
  <c r="H1249" i="4" s="1"/>
  <c r="C1250" i="4"/>
  <c r="F1250" i="4" s="1"/>
  <c r="G1250" i="4" s="1"/>
  <c r="H1250" i="4" s="1"/>
  <c r="C1251" i="4"/>
  <c r="F1251" i="4" s="1"/>
  <c r="G1251" i="4" s="1"/>
  <c r="H1251" i="4" s="1"/>
  <c r="C1252" i="4"/>
  <c r="F1252" i="4" s="1"/>
  <c r="G1252" i="4" s="1"/>
  <c r="H1252" i="4" s="1"/>
  <c r="C1253" i="4"/>
  <c r="F1253" i="4" s="1"/>
  <c r="G1253" i="4" s="1"/>
  <c r="H1253" i="4" s="1"/>
  <c r="C1254" i="4"/>
  <c r="F1254" i="4" s="1"/>
  <c r="G1254" i="4" s="1"/>
  <c r="H1254" i="4" s="1"/>
  <c r="C1255" i="4"/>
  <c r="F1255" i="4" s="1"/>
  <c r="G1255" i="4" s="1"/>
  <c r="H1255" i="4" s="1"/>
  <c r="C1256" i="4"/>
  <c r="F1256" i="4" s="1"/>
  <c r="G1256" i="4" s="1"/>
  <c r="H1256" i="4" s="1"/>
  <c r="C1257" i="4"/>
  <c r="F1257" i="4" s="1"/>
  <c r="G1257" i="4" s="1"/>
  <c r="H1257" i="4" s="1"/>
  <c r="C1258" i="4"/>
  <c r="F1258" i="4" s="1"/>
  <c r="G1258" i="4" s="1"/>
  <c r="H1258" i="4" s="1"/>
  <c r="C1259" i="4"/>
  <c r="F1259" i="4" s="1"/>
  <c r="C1260" i="4"/>
  <c r="F1260" i="4" s="1"/>
  <c r="G1260" i="4" s="1"/>
  <c r="H1260" i="4" s="1"/>
  <c r="C1261" i="4"/>
  <c r="F1261" i="4" s="1"/>
  <c r="G1261" i="4" s="1"/>
  <c r="H1261" i="4" s="1"/>
  <c r="C1262" i="4"/>
  <c r="F1262" i="4" s="1"/>
  <c r="G1262" i="4" s="1"/>
  <c r="H1262" i="4" s="1"/>
  <c r="C1263" i="4"/>
  <c r="F1263" i="4" s="1"/>
  <c r="G1263" i="4" s="1"/>
  <c r="H1263" i="4" s="1"/>
  <c r="C1264" i="4"/>
  <c r="F1264" i="4" s="1"/>
  <c r="G1264" i="4" s="1"/>
  <c r="H1264" i="4" s="1"/>
  <c r="C1265" i="4"/>
  <c r="F1265" i="4" s="1"/>
  <c r="G1265" i="4" s="1"/>
  <c r="H1265" i="4" s="1"/>
  <c r="C1266" i="4"/>
  <c r="F1266" i="4" s="1"/>
  <c r="G1266" i="4" s="1"/>
  <c r="H1266" i="4" s="1"/>
  <c r="C1267" i="4"/>
  <c r="F1267" i="4" s="1"/>
  <c r="G1267" i="4" s="1"/>
  <c r="H1267" i="4" s="1"/>
  <c r="C1268" i="4"/>
  <c r="F1268" i="4" s="1"/>
  <c r="G1268" i="4" s="1"/>
  <c r="H1268" i="4" s="1"/>
  <c r="C1269" i="4"/>
  <c r="F1269" i="4" s="1"/>
  <c r="G1269" i="4" s="1"/>
  <c r="H1269" i="4" s="1"/>
  <c r="C1270" i="4"/>
  <c r="F1270" i="4" s="1"/>
  <c r="G1270" i="4" s="1"/>
  <c r="H1270" i="4" s="1"/>
  <c r="C1271" i="4"/>
  <c r="F1271" i="4" s="1"/>
  <c r="G1271" i="4" s="1"/>
  <c r="H1271" i="4" s="1"/>
  <c r="C1272" i="4"/>
  <c r="F1272" i="4" s="1"/>
  <c r="G1272" i="4" s="1"/>
  <c r="H1272" i="4" s="1"/>
  <c r="C1273" i="4"/>
  <c r="F1273" i="4" s="1"/>
  <c r="G1273" i="4" s="1"/>
  <c r="H1273" i="4" s="1"/>
  <c r="C1274" i="4"/>
  <c r="F1274" i="4" s="1"/>
  <c r="G1274" i="4" s="1"/>
  <c r="H1274" i="4" s="1"/>
  <c r="C1275" i="4"/>
  <c r="F1275" i="4" s="1"/>
  <c r="G1275" i="4" s="1"/>
  <c r="H1275" i="4" s="1"/>
  <c r="C1276" i="4"/>
  <c r="F1276" i="4" s="1"/>
  <c r="G1276" i="4" s="1"/>
  <c r="H1276" i="4" s="1"/>
  <c r="C1277" i="4"/>
  <c r="F1277" i="4" s="1"/>
  <c r="G1277" i="4" s="1"/>
  <c r="H1277" i="4" s="1"/>
  <c r="C1278" i="4"/>
  <c r="F1278" i="4" s="1"/>
  <c r="G1278" i="4" s="1"/>
  <c r="H1278" i="4" s="1"/>
  <c r="C1279" i="4"/>
  <c r="F1279" i="4" s="1"/>
  <c r="G1279" i="4" s="1"/>
  <c r="H1279" i="4" s="1"/>
  <c r="C1280" i="4"/>
  <c r="F1280" i="4" s="1"/>
  <c r="G1280" i="4" s="1"/>
  <c r="H1280" i="4" s="1"/>
  <c r="C1281" i="4"/>
  <c r="F1281" i="4" s="1"/>
  <c r="G1281" i="4" s="1"/>
  <c r="H1281" i="4" s="1"/>
  <c r="C1282" i="4"/>
  <c r="F1282" i="4" s="1"/>
  <c r="G1282" i="4" s="1"/>
  <c r="H1282" i="4" s="1"/>
  <c r="C1283" i="4"/>
  <c r="F1283" i="4" s="1"/>
  <c r="G1283" i="4" s="1"/>
  <c r="H1283" i="4" s="1"/>
  <c r="C1284" i="4"/>
  <c r="F1284" i="4" s="1"/>
  <c r="G1284" i="4" s="1"/>
  <c r="H1284" i="4" s="1"/>
  <c r="C1285" i="4"/>
  <c r="F1285" i="4" s="1"/>
  <c r="G1285" i="4" s="1"/>
  <c r="H1285" i="4" s="1"/>
  <c r="C1286" i="4"/>
  <c r="F1286" i="4" s="1"/>
  <c r="G1286" i="4" s="1"/>
  <c r="H1286" i="4" s="1"/>
  <c r="C1287" i="4"/>
  <c r="F1287" i="4" s="1"/>
  <c r="G1287" i="4" s="1"/>
  <c r="H1287" i="4" s="1"/>
  <c r="C1288" i="4"/>
  <c r="F1288" i="4" s="1"/>
  <c r="G1288" i="4" s="1"/>
  <c r="H1288" i="4" s="1"/>
  <c r="C1289" i="4"/>
  <c r="F1289" i="4" s="1"/>
  <c r="G1289" i="4" s="1"/>
  <c r="H1289" i="4" s="1"/>
  <c r="C1290" i="4"/>
  <c r="F1290" i="4" s="1"/>
  <c r="G1290" i="4" s="1"/>
  <c r="H1290" i="4" s="1"/>
  <c r="C1291" i="4"/>
  <c r="F1291" i="4" s="1"/>
  <c r="G1291" i="4" s="1"/>
  <c r="H1291" i="4" s="1"/>
  <c r="C1292" i="4"/>
  <c r="F1292" i="4" s="1"/>
  <c r="G1292" i="4" s="1"/>
  <c r="H1292" i="4" s="1"/>
  <c r="C1293" i="4"/>
  <c r="F1293" i="4" s="1"/>
  <c r="G1293" i="4" s="1"/>
  <c r="H1293" i="4" s="1"/>
  <c r="C1294" i="4"/>
  <c r="F1294" i="4" s="1"/>
  <c r="G1294" i="4" s="1"/>
  <c r="H1294" i="4" s="1"/>
  <c r="C1295" i="4"/>
  <c r="F1295" i="4" s="1"/>
  <c r="G1295" i="4" s="1"/>
  <c r="H1295" i="4" s="1"/>
  <c r="C1296" i="4"/>
  <c r="F1296" i="4" s="1"/>
  <c r="G1296" i="4" s="1"/>
  <c r="H1296" i="4" s="1"/>
  <c r="C1297" i="4"/>
  <c r="F1297" i="4" s="1"/>
  <c r="G1297" i="4" s="1"/>
  <c r="H1297" i="4" s="1"/>
  <c r="C1298" i="4"/>
  <c r="F1298" i="4" s="1"/>
  <c r="G1298" i="4" s="1"/>
  <c r="H1298" i="4" s="1"/>
  <c r="C1299" i="4"/>
  <c r="F1299" i="4" s="1"/>
  <c r="G1299" i="4" s="1"/>
  <c r="H1299" i="4" s="1"/>
  <c r="C1300" i="4"/>
  <c r="F1300" i="4" s="1"/>
  <c r="G1300" i="4" s="1"/>
  <c r="H1300" i="4" s="1"/>
  <c r="C1301" i="4"/>
  <c r="F1301" i="4" s="1"/>
  <c r="G1301" i="4" s="1"/>
  <c r="H1301" i="4" s="1"/>
  <c r="C1302" i="4"/>
  <c r="F1302" i="4" s="1"/>
  <c r="G1302" i="4" s="1"/>
  <c r="H1302" i="4" s="1"/>
  <c r="C1303" i="4"/>
  <c r="F1303" i="4" s="1"/>
  <c r="G1303" i="4" s="1"/>
  <c r="H1303" i="4" s="1"/>
  <c r="C1304" i="4"/>
  <c r="F1304" i="4" s="1"/>
  <c r="G1304" i="4" s="1"/>
  <c r="H1304" i="4" s="1"/>
  <c r="C1305" i="4"/>
  <c r="F1305" i="4" s="1"/>
  <c r="G1305" i="4" s="1"/>
  <c r="H1305" i="4" s="1"/>
  <c r="C1306" i="4"/>
  <c r="F1306" i="4" s="1"/>
  <c r="G1306" i="4" s="1"/>
  <c r="H1306" i="4" s="1"/>
  <c r="C1307" i="4"/>
  <c r="F1307" i="4" s="1"/>
  <c r="G1307" i="4" s="1"/>
  <c r="H1307" i="4" s="1"/>
  <c r="C1308" i="4"/>
  <c r="F1308" i="4" s="1"/>
  <c r="G1308" i="4" s="1"/>
  <c r="H1308" i="4" s="1"/>
  <c r="C1309" i="4"/>
  <c r="F1309" i="4" s="1"/>
  <c r="G1309" i="4" s="1"/>
  <c r="H1309" i="4" s="1"/>
  <c r="C1310" i="4"/>
  <c r="F1310" i="4" s="1"/>
  <c r="G1310" i="4" s="1"/>
  <c r="H1310" i="4" s="1"/>
  <c r="C1311" i="4"/>
  <c r="F1311" i="4" s="1"/>
  <c r="G1311" i="4" s="1"/>
  <c r="H1311" i="4" s="1"/>
  <c r="C1312" i="4"/>
  <c r="F1312" i="4" s="1"/>
  <c r="G1312" i="4" s="1"/>
  <c r="H1312" i="4" s="1"/>
  <c r="C1313" i="4"/>
  <c r="F1313" i="4" s="1"/>
  <c r="G1313" i="4" s="1"/>
  <c r="H1313" i="4" s="1"/>
  <c r="C1314" i="4"/>
  <c r="F1314" i="4" s="1"/>
  <c r="G1314" i="4" s="1"/>
  <c r="H1314" i="4" s="1"/>
  <c r="C1315" i="4"/>
  <c r="F1315" i="4" s="1"/>
  <c r="G1315" i="4" s="1"/>
  <c r="H1315" i="4" s="1"/>
  <c r="C1316" i="4"/>
  <c r="F1316" i="4" s="1"/>
  <c r="G1316" i="4" s="1"/>
  <c r="H1316" i="4" s="1"/>
  <c r="C1317" i="4"/>
  <c r="F1317" i="4" s="1"/>
  <c r="G1317" i="4" s="1"/>
  <c r="H1317" i="4" s="1"/>
  <c r="C1318" i="4"/>
  <c r="F1318" i="4" s="1"/>
  <c r="G1318" i="4" s="1"/>
  <c r="H1318" i="4" s="1"/>
  <c r="C1319" i="4"/>
  <c r="F1319" i="4" s="1"/>
  <c r="G1319" i="4" s="1"/>
  <c r="H1319" i="4" s="1"/>
  <c r="C1320" i="4"/>
  <c r="F1320" i="4" s="1"/>
  <c r="G1320" i="4" s="1"/>
  <c r="H1320" i="4" s="1"/>
  <c r="C1321" i="4"/>
  <c r="F1321" i="4" s="1"/>
  <c r="G1321" i="4" s="1"/>
  <c r="H1321" i="4" s="1"/>
  <c r="C1322" i="4"/>
  <c r="F1322" i="4" s="1"/>
  <c r="G1322" i="4" s="1"/>
  <c r="H1322" i="4" s="1"/>
  <c r="C1323" i="4"/>
  <c r="F1323" i="4" s="1"/>
  <c r="G1323" i="4" s="1"/>
  <c r="H1323" i="4" s="1"/>
  <c r="C1324" i="4"/>
  <c r="F1324" i="4" s="1"/>
  <c r="G1324" i="4" s="1"/>
  <c r="H1324" i="4" s="1"/>
  <c r="C1325" i="4"/>
  <c r="F1325" i="4" s="1"/>
  <c r="G1325" i="4" s="1"/>
  <c r="H1325" i="4" s="1"/>
  <c r="C1326" i="4"/>
  <c r="F1326" i="4" s="1"/>
  <c r="G1326" i="4" s="1"/>
  <c r="H1326" i="4" s="1"/>
  <c r="C1327" i="4"/>
  <c r="F1327" i="4" s="1"/>
  <c r="G1327" i="4" s="1"/>
  <c r="H1327" i="4" s="1"/>
  <c r="C1328" i="4"/>
  <c r="F1328" i="4" s="1"/>
  <c r="G1328" i="4" s="1"/>
  <c r="H1328" i="4" s="1"/>
  <c r="C1329" i="4"/>
  <c r="F1329" i="4" s="1"/>
  <c r="G1329" i="4" s="1"/>
  <c r="H1329" i="4" s="1"/>
  <c r="C1330" i="4"/>
  <c r="F1330" i="4" s="1"/>
  <c r="G1330" i="4" s="1"/>
  <c r="H1330" i="4" s="1"/>
  <c r="C1331" i="4"/>
  <c r="F1331" i="4" s="1"/>
  <c r="G1331" i="4" s="1"/>
  <c r="H1331" i="4" s="1"/>
  <c r="C1332" i="4"/>
  <c r="F1332" i="4" s="1"/>
  <c r="G1332" i="4" s="1"/>
  <c r="H1332" i="4" s="1"/>
  <c r="C1333" i="4"/>
  <c r="F1333" i="4" s="1"/>
  <c r="G1333" i="4" s="1"/>
  <c r="H1333" i="4" s="1"/>
  <c r="C1334" i="4"/>
  <c r="F1334" i="4" s="1"/>
  <c r="G1334" i="4" s="1"/>
  <c r="H1334" i="4" s="1"/>
  <c r="C1335" i="4"/>
  <c r="F1335" i="4" s="1"/>
  <c r="G1335" i="4" s="1"/>
  <c r="H1335" i="4" s="1"/>
  <c r="C1336" i="4"/>
  <c r="F1336" i="4" s="1"/>
  <c r="G1336" i="4" s="1"/>
  <c r="H1336" i="4" s="1"/>
  <c r="C1337" i="4"/>
  <c r="F1337" i="4" s="1"/>
  <c r="G1337" i="4" s="1"/>
  <c r="H1337" i="4" s="1"/>
  <c r="C1338" i="4"/>
  <c r="F1338" i="4" s="1"/>
  <c r="G1338" i="4" s="1"/>
  <c r="H1338" i="4" s="1"/>
  <c r="C1339" i="4"/>
  <c r="F1339" i="4" s="1"/>
  <c r="G1339" i="4" s="1"/>
  <c r="H1339" i="4" s="1"/>
  <c r="C1340" i="4"/>
  <c r="F1340" i="4" s="1"/>
  <c r="G1340" i="4" s="1"/>
  <c r="H1340" i="4" s="1"/>
  <c r="C1341" i="4"/>
  <c r="F1341" i="4" s="1"/>
  <c r="G1341" i="4" s="1"/>
  <c r="H1341" i="4" s="1"/>
  <c r="C1342" i="4"/>
  <c r="F1342" i="4" s="1"/>
  <c r="G1342" i="4" s="1"/>
  <c r="H1342" i="4" s="1"/>
  <c r="C1343" i="4"/>
  <c r="F1343" i="4" s="1"/>
  <c r="G1343" i="4" s="1"/>
  <c r="H1343" i="4" s="1"/>
  <c r="C1344" i="4"/>
  <c r="F1344" i="4" s="1"/>
  <c r="G1344" i="4" s="1"/>
  <c r="H1344" i="4" s="1"/>
  <c r="C1345" i="4"/>
  <c r="F1345" i="4" s="1"/>
  <c r="G1345" i="4" s="1"/>
  <c r="H1345" i="4" s="1"/>
  <c r="C1346" i="4"/>
  <c r="F1346" i="4" s="1"/>
  <c r="G1346" i="4" s="1"/>
  <c r="H1346" i="4" s="1"/>
  <c r="C1347" i="4"/>
  <c r="F1347" i="4" s="1"/>
  <c r="G1347" i="4" s="1"/>
  <c r="H1347" i="4" s="1"/>
  <c r="C1348" i="4"/>
  <c r="F1348" i="4" s="1"/>
  <c r="G1348" i="4" s="1"/>
  <c r="H1348" i="4" s="1"/>
  <c r="C1349" i="4"/>
  <c r="F1349" i="4" s="1"/>
  <c r="G1349" i="4" s="1"/>
  <c r="H1349" i="4" s="1"/>
  <c r="C1350" i="4"/>
  <c r="F1350" i="4" s="1"/>
  <c r="G1350" i="4" s="1"/>
  <c r="H1350" i="4" s="1"/>
  <c r="C1351" i="4"/>
  <c r="F1351" i="4" s="1"/>
  <c r="G1351" i="4" s="1"/>
  <c r="H1351" i="4" s="1"/>
  <c r="C1352" i="4"/>
  <c r="F1352" i="4" s="1"/>
  <c r="G1352" i="4" s="1"/>
  <c r="H1352" i="4" s="1"/>
  <c r="C1353" i="4"/>
  <c r="F1353" i="4" s="1"/>
  <c r="G1353" i="4" s="1"/>
  <c r="H1353" i="4" s="1"/>
  <c r="C1354" i="4"/>
  <c r="F1354" i="4" s="1"/>
  <c r="G1354" i="4" s="1"/>
  <c r="H1354" i="4" s="1"/>
  <c r="C1355" i="4"/>
  <c r="F1355" i="4" s="1"/>
  <c r="G1355" i="4" s="1"/>
  <c r="H1355" i="4" s="1"/>
  <c r="C1356" i="4"/>
  <c r="F1356" i="4" s="1"/>
  <c r="G1356" i="4" s="1"/>
  <c r="H1356" i="4" s="1"/>
  <c r="C1357" i="4"/>
  <c r="F1357" i="4" s="1"/>
  <c r="G1357" i="4" s="1"/>
  <c r="H1357" i="4" s="1"/>
  <c r="C1358" i="4"/>
  <c r="F1358" i="4" s="1"/>
  <c r="G1358" i="4" s="1"/>
  <c r="H1358" i="4" s="1"/>
  <c r="C1359" i="4"/>
  <c r="F1359" i="4" s="1"/>
  <c r="G1359" i="4" s="1"/>
  <c r="H1359" i="4" s="1"/>
  <c r="C1360" i="4"/>
  <c r="F1360" i="4" s="1"/>
  <c r="G1360" i="4" s="1"/>
  <c r="H1360" i="4" s="1"/>
  <c r="C1361" i="4"/>
  <c r="F1361" i="4" s="1"/>
  <c r="G1361" i="4" s="1"/>
  <c r="H1361" i="4" s="1"/>
  <c r="C1362" i="4"/>
  <c r="F1362" i="4" s="1"/>
  <c r="G1362" i="4" s="1"/>
  <c r="H1362" i="4" s="1"/>
  <c r="C1363" i="4"/>
  <c r="F1363" i="4" s="1"/>
  <c r="G1363" i="4" s="1"/>
  <c r="H1363" i="4" s="1"/>
  <c r="C1364" i="4"/>
  <c r="F1364" i="4" s="1"/>
  <c r="G1364" i="4" s="1"/>
  <c r="H1364" i="4" s="1"/>
  <c r="C1365" i="4"/>
  <c r="F1365" i="4" s="1"/>
  <c r="G1365" i="4" s="1"/>
  <c r="H1365" i="4" s="1"/>
  <c r="C1366" i="4"/>
  <c r="F1366" i="4" s="1"/>
  <c r="G1366" i="4" s="1"/>
  <c r="H1366" i="4" s="1"/>
  <c r="C1367" i="4"/>
  <c r="F1367" i="4" s="1"/>
  <c r="G1367" i="4" s="1"/>
  <c r="H1367" i="4" s="1"/>
  <c r="C1368" i="4"/>
  <c r="F1368" i="4" s="1"/>
  <c r="G1368" i="4" s="1"/>
  <c r="H1368" i="4" s="1"/>
  <c r="C1369" i="4"/>
  <c r="F1369" i="4" s="1"/>
  <c r="G1369" i="4" s="1"/>
  <c r="H1369" i="4" s="1"/>
  <c r="C1370" i="4"/>
  <c r="F1370" i="4" s="1"/>
  <c r="G1370" i="4" s="1"/>
  <c r="H1370" i="4" s="1"/>
  <c r="C1371" i="4"/>
  <c r="F1371" i="4" s="1"/>
  <c r="G1371" i="4" s="1"/>
  <c r="H1371" i="4" s="1"/>
  <c r="C1372" i="4"/>
  <c r="F1372" i="4" s="1"/>
  <c r="G1372" i="4" s="1"/>
  <c r="H1372" i="4" s="1"/>
  <c r="C1373" i="4"/>
  <c r="F1373" i="4" s="1"/>
  <c r="G1373" i="4" s="1"/>
  <c r="H1373" i="4" s="1"/>
  <c r="C1374" i="4"/>
  <c r="F1374" i="4" s="1"/>
  <c r="G1374" i="4" s="1"/>
  <c r="H1374" i="4" s="1"/>
  <c r="C1375" i="4"/>
  <c r="F1375" i="4" s="1"/>
  <c r="G1375" i="4" s="1"/>
  <c r="H1375" i="4" s="1"/>
  <c r="C1376" i="4"/>
  <c r="F1376" i="4" s="1"/>
  <c r="G1376" i="4" s="1"/>
  <c r="H1376" i="4" s="1"/>
  <c r="C1377" i="4"/>
  <c r="F1377" i="4" s="1"/>
  <c r="G1377" i="4" s="1"/>
  <c r="H1377" i="4" s="1"/>
  <c r="C1378" i="4"/>
  <c r="F1378" i="4" s="1"/>
  <c r="G1378" i="4" s="1"/>
  <c r="H1378" i="4" s="1"/>
  <c r="C1379" i="4"/>
  <c r="F1379" i="4" s="1"/>
  <c r="G1379" i="4" s="1"/>
  <c r="H1379" i="4" s="1"/>
  <c r="C1380" i="4"/>
  <c r="F1380" i="4" s="1"/>
  <c r="G1380" i="4" s="1"/>
  <c r="H1380" i="4" s="1"/>
  <c r="C1381" i="4"/>
  <c r="F1381" i="4" s="1"/>
  <c r="G1381" i="4" s="1"/>
  <c r="H1381" i="4" s="1"/>
  <c r="C1382" i="4"/>
  <c r="F1382" i="4" s="1"/>
  <c r="G1382" i="4" s="1"/>
  <c r="H1382" i="4" s="1"/>
  <c r="C1383" i="4"/>
  <c r="F1383" i="4" s="1"/>
  <c r="G1383" i="4" s="1"/>
  <c r="H1383" i="4" s="1"/>
  <c r="C1384" i="4"/>
  <c r="F1384" i="4" s="1"/>
  <c r="G1384" i="4" s="1"/>
  <c r="H1384" i="4" s="1"/>
  <c r="C1385" i="4"/>
  <c r="F1385" i="4" s="1"/>
  <c r="G1385" i="4" s="1"/>
  <c r="H1385" i="4" s="1"/>
  <c r="C1386" i="4"/>
  <c r="F1386" i="4" s="1"/>
  <c r="G1386" i="4" s="1"/>
  <c r="H1386" i="4" s="1"/>
  <c r="C1387" i="4"/>
  <c r="F1387" i="4" s="1"/>
  <c r="G1387" i="4" s="1"/>
  <c r="H1387" i="4" s="1"/>
  <c r="C1388" i="4"/>
  <c r="F1388" i="4" s="1"/>
  <c r="G1388" i="4" s="1"/>
  <c r="H1388" i="4" s="1"/>
  <c r="C1389" i="4"/>
  <c r="F1389" i="4" s="1"/>
  <c r="G1389" i="4" s="1"/>
  <c r="H1389" i="4" s="1"/>
  <c r="C1390" i="4"/>
  <c r="F1390" i="4" s="1"/>
  <c r="G1390" i="4" s="1"/>
  <c r="H1390" i="4" s="1"/>
  <c r="C1391" i="4"/>
  <c r="F1391" i="4" s="1"/>
  <c r="G1391" i="4" s="1"/>
  <c r="H1391" i="4" s="1"/>
  <c r="C1392" i="4"/>
  <c r="F1392" i="4" s="1"/>
  <c r="G1392" i="4" s="1"/>
  <c r="H1392" i="4" s="1"/>
  <c r="C1393" i="4"/>
  <c r="F1393" i="4" s="1"/>
  <c r="G1393" i="4" s="1"/>
  <c r="H1393" i="4" s="1"/>
  <c r="C1394" i="4"/>
  <c r="F1394" i="4" s="1"/>
  <c r="G1394" i="4" s="1"/>
  <c r="H1394" i="4" s="1"/>
  <c r="C1395" i="4"/>
  <c r="F1395" i="4" s="1"/>
  <c r="G1395" i="4" s="1"/>
  <c r="H1395" i="4" s="1"/>
  <c r="C1396" i="4"/>
  <c r="F1396" i="4" s="1"/>
  <c r="G1396" i="4" s="1"/>
  <c r="H1396" i="4" s="1"/>
  <c r="C1397" i="4"/>
  <c r="F1397" i="4" s="1"/>
  <c r="G1397" i="4" s="1"/>
  <c r="H1397" i="4" s="1"/>
  <c r="C1398" i="4"/>
  <c r="F1398" i="4" s="1"/>
  <c r="G1398" i="4" s="1"/>
  <c r="H1398" i="4" s="1"/>
  <c r="C1399" i="4"/>
  <c r="F1399" i="4" s="1"/>
  <c r="G1399" i="4" s="1"/>
  <c r="H1399" i="4" s="1"/>
  <c r="C1400" i="4"/>
  <c r="F1400" i="4" s="1"/>
  <c r="G1400" i="4" s="1"/>
  <c r="H1400" i="4" s="1"/>
  <c r="C1401" i="4"/>
  <c r="F1401" i="4" s="1"/>
  <c r="G1401" i="4" s="1"/>
  <c r="H1401" i="4" s="1"/>
  <c r="C1402" i="4"/>
  <c r="F1402" i="4" s="1"/>
  <c r="G1402" i="4" s="1"/>
  <c r="H1402" i="4" s="1"/>
  <c r="C1403" i="4"/>
  <c r="F1403" i="4" s="1"/>
  <c r="G1403" i="4" s="1"/>
  <c r="H1403" i="4" s="1"/>
  <c r="C1404" i="4"/>
  <c r="F1404" i="4" s="1"/>
  <c r="G1404" i="4" s="1"/>
  <c r="H1404" i="4" s="1"/>
  <c r="C1405" i="4"/>
  <c r="F1405" i="4" s="1"/>
  <c r="G1405" i="4" s="1"/>
  <c r="H1405" i="4" s="1"/>
  <c r="C1406" i="4"/>
  <c r="F1406" i="4" s="1"/>
  <c r="G1406" i="4" s="1"/>
  <c r="H1406" i="4" s="1"/>
  <c r="C1407" i="4"/>
  <c r="F1407" i="4" s="1"/>
  <c r="G1407" i="4" s="1"/>
  <c r="H1407" i="4" s="1"/>
  <c r="C1408" i="4"/>
  <c r="F1408" i="4" s="1"/>
  <c r="G1408" i="4" s="1"/>
  <c r="H1408" i="4" s="1"/>
  <c r="C1409" i="4"/>
  <c r="F1409" i="4" s="1"/>
  <c r="G1409" i="4" s="1"/>
  <c r="H1409" i="4" s="1"/>
  <c r="C1410" i="4"/>
  <c r="F1410" i="4" s="1"/>
  <c r="G1410" i="4" s="1"/>
  <c r="H1410" i="4" s="1"/>
  <c r="C1411" i="4"/>
  <c r="F1411" i="4" s="1"/>
  <c r="G1411" i="4" s="1"/>
  <c r="H1411" i="4" s="1"/>
  <c r="C1412" i="4"/>
  <c r="F1412" i="4" s="1"/>
  <c r="G1412" i="4" s="1"/>
  <c r="H1412" i="4" s="1"/>
  <c r="C1413" i="4"/>
  <c r="F1413" i="4" s="1"/>
  <c r="G1413" i="4" s="1"/>
  <c r="H1413" i="4" s="1"/>
  <c r="C1414" i="4"/>
  <c r="F1414" i="4" s="1"/>
  <c r="G1414" i="4" s="1"/>
  <c r="H1414" i="4" s="1"/>
  <c r="C1415" i="4"/>
  <c r="F1415" i="4" s="1"/>
  <c r="G1415" i="4" s="1"/>
  <c r="H1415" i="4" s="1"/>
  <c r="C1416" i="4"/>
  <c r="F1416" i="4" s="1"/>
  <c r="G1416" i="4" s="1"/>
  <c r="H1416" i="4" s="1"/>
  <c r="C1417" i="4"/>
  <c r="F1417" i="4" s="1"/>
  <c r="G1417" i="4" s="1"/>
  <c r="H1417" i="4" s="1"/>
  <c r="C1418" i="4"/>
  <c r="F1418" i="4" s="1"/>
  <c r="G1418" i="4" s="1"/>
  <c r="H1418" i="4" s="1"/>
  <c r="C1419" i="4"/>
  <c r="F1419" i="4" s="1"/>
  <c r="G1419" i="4" s="1"/>
  <c r="H1419" i="4" s="1"/>
  <c r="C1420" i="4"/>
  <c r="F1420" i="4" s="1"/>
  <c r="G1420" i="4" s="1"/>
  <c r="H1420" i="4" s="1"/>
  <c r="C1421" i="4"/>
  <c r="F1421" i="4" s="1"/>
  <c r="G1421" i="4" s="1"/>
  <c r="H1421" i="4" s="1"/>
  <c r="C1422" i="4"/>
  <c r="F1422" i="4" s="1"/>
  <c r="G1422" i="4" s="1"/>
  <c r="H1422" i="4" s="1"/>
  <c r="C1423" i="4"/>
  <c r="F1423" i="4" s="1"/>
  <c r="G1423" i="4" s="1"/>
  <c r="H1423" i="4" s="1"/>
  <c r="C1424" i="4"/>
  <c r="F1424" i="4" s="1"/>
  <c r="G1424" i="4" s="1"/>
  <c r="H1424" i="4" s="1"/>
  <c r="C1425" i="4"/>
  <c r="F1425" i="4" s="1"/>
  <c r="G1425" i="4" s="1"/>
  <c r="H1425" i="4" s="1"/>
  <c r="C1426" i="4"/>
  <c r="F1426" i="4" s="1"/>
  <c r="G1426" i="4" s="1"/>
  <c r="H1426" i="4" s="1"/>
  <c r="C1427" i="4"/>
  <c r="F1427" i="4" s="1"/>
  <c r="G1427" i="4" s="1"/>
  <c r="H1427" i="4" s="1"/>
  <c r="C1428" i="4"/>
  <c r="F1428" i="4" s="1"/>
  <c r="G1428" i="4" s="1"/>
  <c r="H1428" i="4" s="1"/>
  <c r="C1429" i="4"/>
  <c r="F1429" i="4" s="1"/>
  <c r="G1429" i="4" s="1"/>
  <c r="H1429" i="4" s="1"/>
  <c r="C1430" i="4"/>
  <c r="F1430" i="4" s="1"/>
  <c r="G1430" i="4" s="1"/>
  <c r="H1430" i="4" s="1"/>
  <c r="C1431" i="4"/>
  <c r="F1431" i="4" s="1"/>
  <c r="G1431" i="4" s="1"/>
  <c r="H1431" i="4" s="1"/>
  <c r="C1432" i="4"/>
  <c r="F1432" i="4" s="1"/>
  <c r="G1432" i="4" s="1"/>
  <c r="H1432" i="4" s="1"/>
  <c r="C1433" i="4"/>
  <c r="F1433" i="4" s="1"/>
  <c r="G1433" i="4" s="1"/>
  <c r="H1433" i="4" s="1"/>
  <c r="C1434" i="4"/>
  <c r="F1434" i="4" s="1"/>
  <c r="G1434" i="4" s="1"/>
  <c r="H1434" i="4" s="1"/>
  <c r="C1435" i="4"/>
  <c r="F1435" i="4" s="1"/>
  <c r="G1435" i="4" s="1"/>
  <c r="H1435" i="4" s="1"/>
  <c r="C1436" i="4"/>
  <c r="F1436" i="4" s="1"/>
  <c r="G1436" i="4" s="1"/>
  <c r="H1436" i="4" s="1"/>
  <c r="C1437" i="4"/>
  <c r="F1437" i="4" s="1"/>
  <c r="G1437" i="4" s="1"/>
  <c r="H1437" i="4" s="1"/>
  <c r="C1438" i="4"/>
  <c r="F1438" i="4" s="1"/>
  <c r="G1438" i="4" s="1"/>
  <c r="H1438" i="4" s="1"/>
  <c r="C1439" i="4"/>
  <c r="F1439" i="4" s="1"/>
  <c r="G1439" i="4" s="1"/>
  <c r="H1439" i="4" s="1"/>
  <c r="C1440" i="4"/>
  <c r="F1440" i="4" s="1"/>
  <c r="G1440" i="4" s="1"/>
  <c r="H1440" i="4" s="1"/>
  <c r="C1441" i="4"/>
  <c r="F1441" i="4" s="1"/>
  <c r="G1441" i="4" s="1"/>
  <c r="H1441" i="4" s="1"/>
  <c r="C1442" i="4"/>
  <c r="F1442" i="4" s="1"/>
  <c r="G1442" i="4" s="1"/>
  <c r="H1442" i="4" s="1"/>
  <c r="C1443" i="4"/>
  <c r="F1443" i="4" s="1"/>
  <c r="G1443" i="4" s="1"/>
  <c r="H1443" i="4" s="1"/>
  <c r="C1444" i="4"/>
  <c r="F1444" i="4" s="1"/>
  <c r="G1444" i="4" s="1"/>
  <c r="H1444" i="4" s="1"/>
  <c r="C1445" i="4"/>
  <c r="F1445" i="4" s="1"/>
  <c r="G1445" i="4" s="1"/>
  <c r="H1445" i="4" s="1"/>
  <c r="C1446" i="4"/>
  <c r="F1446" i="4" s="1"/>
  <c r="G1446" i="4" s="1"/>
  <c r="H1446" i="4" s="1"/>
  <c r="C1447" i="4"/>
  <c r="F1447" i="4" s="1"/>
  <c r="G1447" i="4" s="1"/>
  <c r="H1447" i="4" s="1"/>
  <c r="C1448" i="4"/>
  <c r="F1448" i="4" s="1"/>
  <c r="G1448" i="4" s="1"/>
  <c r="H1448" i="4" s="1"/>
  <c r="C1449" i="4"/>
  <c r="F1449" i="4" s="1"/>
  <c r="G1449" i="4" s="1"/>
  <c r="H1449" i="4" s="1"/>
  <c r="C1450" i="4"/>
  <c r="F1450" i="4" s="1"/>
  <c r="G1450" i="4" s="1"/>
  <c r="H1450" i="4" s="1"/>
  <c r="C1451" i="4"/>
  <c r="F1451" i="4" s="1"/>
  <c r="G1451" i="4" s="1"/>
  <c r="H1451" i="4" s="1"/>
  <c r="C1452" i="4"/>
  <c r="F1452" i="4" s="1"/>
  <c r="G1452" i="4" s="1"/>
  <c r="H1452" i="4" s="1"/>
  <c r="C1453" i="4"/>
  <c r="F1453" i="4" s="1"/>
  <c r="G1453" i="4" s="1"/>
  <c r="H1453" i="4" s="1"/>
  <c r="C1454" i="4"/>
  <c r="F1454" i="4" s="1"/>
  <c r="G1454" i="4" s="1"/>
  <c r="H1454" i="4" s="1"/>
  <c r="C1455" i="4"/>
  <c r="F1455" i="4" s="1"/>
  <c r="G1455" i="4" s="1"/>
  <c r="H1455" i="4" s="1"/>
  <c r="C1456" i="4"/>
  <c r="F1456" i="4" s="1"/>
  <c r="G1456" i="4" s="1"/>
  <c r="H1456" i="4" s="1"/>
  <c r="C1457" i="4"/>
  <c r="F1457" i="4" s="1"/>
  <c r="G1457" i="4" s="1"/>
  <c r="H1457" i="4" s="1"/>
  <c r="C1458" i="4"/>
  <c r="F1458" i="4" s="1"/>
  <c r="G1458" i="4" s="1"/>
  <c r="H1458" i="4" s="1"/>
  <c r="C1459" i="4"/>
  <c r="F1459" i="4" s="1"/>
  <c r="G1459" i="4" s="1"/>
  <c r="H1459" i="4" s="1"/>
  <c r="C1460" i="4"/>
  <c r="F1460" i="4" s="1"/>
  <c r="G1460" i="4" s="1"/>
  <c r="H1460" i="4" s="1"/>
  <c r="C1461" i="4"/>
  <c r="F1461" i="4" s="1"/>
  <c r="G1461" i="4" s="1"/>
  <c r="H1461" i="4" s="1"/>
  <c r="C1462" i="4"/>
  <c r="F1462" i="4" s="1"/>
  <c r="G1462" i="4" s="1"/>
  <c r="H1462" i="4" s="1"/>
  <c r="C1463" i="4"/>
  <c r="F1463" i="4" s="1"/>
  <c r="G1463" i="4" s="1"/>
  <c r="H1463" i="4" s="1"/>
  <c r="C1464" i="4"/>
  <c r="F1464" i="4" s="1"/>
  <c r="G1464" i="4" s="1"/>
  <c r="H1464" i="4" s="1"/>
  <c r="C1465" i="4"/>
  <c r="F1465" i="4" s="1"/>
  <c r="G1465" i="4" s="1"/>
  <c r="H1465" i="4" s="1"/>
  <c r="C1466" i="4"/>
  <c r="F1466" i="4" s="1"/>
  <c r="G1466" i="4" s="1"/>
  <c r="H1466" i="4" s="1"/>
  <c r="C1467" i="4"/>
  <c r="F1467" i="4" s="1"/>
  <c r="G1467" i="4" s="1"/>
  <c r="H1467" i="4" s="1"/>
  <c r="C1468" i="4"/>
  <c r="F1468" i="4" s="1"/>
  <c r="G1468" i="4" s="1"/>
  <c r="H1468" i="4" s="1"/>
  <c r="C1469" i="4"/>
  <c r="F1469" i="4" s="1"/>
  <c r="G1469" i="4" s="1"/>
  <c r="H1469" i="4" s="1"/>
  <c r="C1470" i="4"/>
  <c r="F1470" i="4" s="1"/>
  <c r="G1470" i="4" s="1"/>
  <c r="H1470" i="4" s="1"/>
  <c r="C1471" i="4"/>
  <c r="F1471" i="4" s="1"/>
  <c r="G1471" i="4" s="1"/>
  <c r="H1471" i="4" s="1"/>
  <c r="C1472" i="4"/>
  <c r="F1472" i="4" s="1"/>
  <c r="G1472" i="4" s="1"/>
  <c r="H1472" i="4" s="1"/>
  <c r="C1473" i="4"/>
  <c r="F1473" i="4" s="1"/>
  <c r="G1473" i="4" s="1"/>
  <c r="H1473" i="4" s="1"/>
  <c r="C1474" i="4"/>
  <c r="F1474" i="4" s="1"/>
  <c r="G1474" i="4" s="1"/>
  <c r="H1474" i="4" s="1"/>
  <c r="C1475" i="4"/>
  <c r="F1475" i="4" s="1"/>
  <c r="G1475" i="4" s="1"/>
  <c r="H1475" i="4" s="1"/>
  <c r="C1476" i="4"/>
  <c r="F1476" i="4" s="1"/>
  <c r="G1476" i="4" s="1"/>
  <c r="H1476" i="4" s="1"/>
  <c r="C1477" i="4"/>
  <c r="F1477" i="4" s="1"/>
  <c r="G1477" i="4" s="1"/>
  <c r="H1477" i="4" s="1"/>
  <c r="C1478" i="4"/>
  <c r="F1478" i="4" s="1"/>
  <c r="G1478" i="4" s="1"/>
  <c r="H1478" i="4" s="1"/>
  <c r="C1479" i="4"/>
  <c r="F1479" i="4" s="1"/>
  <c r="G1479" i="4" s="1"/>
  <c r="H1479" i="4" s="1"/>
  <c r="C1480" i="4"/>
  <c r="F1480" i="4" s="1"/>
  <c r="G1480" i="4" s="1"/>
  <c r="H1480" i="4" s="1"/>
  <c r="C1481" i="4"/>
  <c r="F1481" i="4" s="1"/>
  <c r="G1481" i="4" s="1"/>
  <c r="H1481" i="4" s="1"/>
  <c r="C1482" i="4"/>
  <c r="F1482" i="4" s="1"/>
  <c r="G1482" i="4" s="1"/>
  <c r="H1482" i="4" s="1"/>
  <c r="C1483" i="4"/>
  <c r="F1483" i="4" s="1"/>
  <c r="G1483" i="4" s="1"/>
  <c r="H1483" i="4" s="1"/>
  <c r="C1484" i="4"/>
  <c r="F1484" i="4" s="1"/>
  <c r="G1484" i="4" s="1"/>
  <c r="H1484" i="4" s="1"/>
  <c r="C1485" i="4"/>
  <c r="F1485" i="4" s="1"/>
  <c r="G1485" i="4" s="1"/>
  <c r="H1485" i="4" s="1"/>
  <c r="C1486" i="4"/>
  <c r="F1486" i="4" s="1"/>
  <c r="G1486" i="4" s="1"/>
  <c r="H1486" i="4" s="1"/>
  <c r="C1487" i="4"/>
  <c r="F1487" i="4" s="1"/>
  <c r="G1487" i="4" s="1"/>
  <c r="H1487" i="4" s="1"/>
  <c r="C1488" i="4"/>
  <c r="F1488" i="4" s="1"/>
  <c r="G1488" i="4" s="1"/>
  <c r="H1488" i="4" s="1"/>
  <c r="C1489" i="4"/>
  <c r="F1489" i="4" s="1"/>
  <c r="G1489" i="4" s="1"/>
  <c r="H1489" i="4" s="1"/>
  <c r="C1490" i="4"/>
  <c r="F1490" i="4" s="1"/>
  <c r="G1490" i="4" s="1"/>
  <c r="H1490" i="4" s="1"/>
  <c r="C1491" i="4"/>
  <c r="F1491" i="4" s="1"/>
  <c r="G1491" i="4" s="1"/>
  <c r="H1491" i="4" s="1"/>
  <c r="C1492" i="4"/>
  <c r="F1492" i="4" s="1"/>
  <c r="G1492" i="4" s="1"/>
  <c r="H1492" i="4" s="1"/>
  <c r="C1493" i="4"/>
  <c r="F1493" i="4" s="1"/>
  <c r="G1493" i="4" s="1"/>
  <c r="H1493" i="4" s="1"/>
  <c r="C1494" i="4"/>
  <c r="F1494" i="4" s="1"/>
  <c r="G1494" i="4" s="1"/>
  <c r="H1494" i="4" s="1"/>
  <c r="C1495" i="4"/>
  <c r="F1495" i="4" s="1"/>
  <c r="G1495" i="4" s="1"/>
  <c r="H1495" i="4" s="1"/>
  <c r="C1496" i="4"/>
  <c r="F1496" i="4" s="1"/>
  <c r="G1496" i="4" s="1"/>
  <c r="H1496" i="4" s="1"/>
  <c r="C1497" i="4"/>
  <c r="F1497" i="4" s="1"/>
  <c r="G1497" i="4" s="1"/>
  <c r="H1497" i="4" s="1"/>
  <c r="C1498" i="4"/>
  <c r="F1498" i="4" s="1"/>
  <c r="G1498" i="4" s="1"/>
  <c r="H1498" i="4" s="1"/>
  <c r="C1499" i="4"/>
  <c r="F1499" i="4" s="1"/>
  <c r="G1499" i="4" s="1"/>
  <c r="H1499" i="4" s="1"/>
  <c r="C1500" i="4"/>
  <c r="F1500" i="4" s="1"/>
  <c r="G1500" i="4" s="1"/>
  <c r="H1500" i="4" s="1"/>
  <c r="C1501" i="4"/>
  <c r="F1501" i="4" s="1"/>
  <c r="G1501" i="4" s="1"/>
  <c r="H1501" i="4" s="1"/>
  <c r="C1502" i="4"/>
  <c r="F1502" i="4" s="1"/>
  <c r="G1502" i="4" s="1"/>
  <c r="H1502" i="4" s="1"/>
  <c r="C1503" i="4"/>
  <c r="F1503" i="4" s="1"/>
  <c r="G1503" i="4" s="1"/>
  <c r="H1503" i="4" s="1"/>
  <c r="C1504" i="4"/>
  <c r="F1504" i="4" s="1"/>
  <c r="G1504" i="4" s="1"/>
  <c r="H1504" i="4" s="1"/>
  <c r="C1505" i="4"/>
  <c r="F1505" i="4" s="1"/>
  <c r="G1505" i="4" s="1"/>
  <c r="H1505" i="4" s="1"/>
  <c r="C1506" i="4"/>
  <c r="F1506" i="4" s="1"/>
  <c r="G1506" i="4" s="1"/>
  <c r="H1506" i="4" s="1"/>
  <c r="C1507" i="4"/>
  <c r="F1507" i="4" s="1"/>
  <c r="G1507" i="4" s="1"/>
  <c r="H1507" i="4" s="1"/>
  <c r="C1508" i="4"/>
  <c r="F1508" i="4" s="1"/>
  <c r="C3" i="4"/>
  <c r="F3" i="4" s="1"/>
  <c r="G3" i="4" s="1"/>
  <c r="H3" i="4" s="1"/>
  <c r="B7" i="6"/>
  <c r="B6" i="6"/>
  <c r="B5" i="6"/>
  <c r="B4" i="6"/>
  <c r="G2" i="4" l="1"/>
  <c r="H2" i="4" s="1"/>
  <c r="E1508" i="4"/>
  <c r="G1508" i="4" s="1"/>
  <c r="H1508" i="4" s="1"/>
  <c r="D1508" i="4"/>
  <c r="F253" i="4"/>
  <c r="G253" i="4" s="1"/>
  <c r="H253" i="4" s="1"/>
  <c r="E503" i="4"/>
  <c r="G503" i="4" s="1"/>
  <c r="H503" i="4" s="1"/>
  <c r="E252" i="4"/>
  <c r="G252" i="4" s="1"/>
  <c r="H252" i="4" s="1"/>
  <c r="E1259" i="4"/>
  <c r="G1259" i="4" s="1"/>
  <c r="H1259" i="4" s="1"/>
  <c r="E1008" i="4"/>
  <c r="G1008" i="4" s="1"/>
  <c r="H1008" i="4" s="1"/>
  <c r="E756" i="4"/>
  <c r="G756" i="4" s="1"/>
  <c r="H756" i="4" s="1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FCF1D2-42F9-024F-AE1B-E2874210767A}" keepAlive="1" name="Consulta - NVIDIA_STOCK" description="Ligação à consulta 'NVIDIA_STOCK' no livro." type="5" refreshedVersion="8" background="1" saveData="1">
    <dbPr connection="Provider=Microsoft.Mashup.OleDb.1;Data Source=$Workbook$;Location=NVIDIA_STOCK;Extended Properties=&quot;&quot;" command="SELECT * FROM [NVIDIA_STOCK]"/>
  </connection>
</connections>
</file>

<file path=xl/sharedStrings.xml><?xml version="1.0" encoding="utf-8"?>
<sst xmlns="http://schemas.openxmlformats.org/spreadsheetml/2006/main" count="14956" uniqueCount="11459">
  <si>
    <t>Column1</t>
  </si>
  <si>
    <t>Column2</t>
  </si>
  <si>
    <t>Column3</t>
  </si>
  <si>
    <t>Column4</t>
  </si>
  <si>
    <t>Column5</t>
  </si>
  <si>
    <t>Column6</t>
  </si>
  <si>
    <t>Column7</t>
  </si>
  <si>
    <t>Price</t>
  </si>
  <si>
    <t>Adj Close</t>
  </si>
  <si>
    <t>Close</t>
  </si>
  <si>
    <t>High</t>
  </si>
  <si>
    <t>Low</t>
  </si>
  <si>
    <t>Open</t>
  </si>
  <si>
    <t>Volume</t>
  </si>
  <si>
    <t>Ticker</t>
  </si>
  <si>
    <t>NVDA</t>
  </si>
  <si>
    <t>Date</t>
  </si>
  <si>
    <t/>
  </si>
  <si>
    <t>2018-01-02</t>
  </si>
  <si>
    <t>4.929879665374756</t>
  </si>
  <si>
    <t>4.983749866485596</t>
  </si>
  <si>
    <t>4.987500190734863</t>
  </si>
  <si>
    <t>4.862500190734863</t>
  </si>
  <si>
    <t>4.894499778747559</t>
  </si>
  <si>
    <t>355616000</t>
  </si>
  <si>
    <t>2018-01-03</t>
  </si>
  <si>
    <t>5.254334926605225</t>
  </si>
  <si>
    <t>5.3117499351501465</t>
  </si>
  <si>
    <t>5.34250020980835</t>
  </si>
  <si>
    <t>5.09375</t>
  </si>
  <si>
    <t>5.102499961853027</t>
  </si>
  <si>
    <t>914704000</t>
  </si>
  <si>
    <t>2018-01-04</t>
  </si>
  <si>
    <t>5.2820329666137695</t>
  </si>
  <si>
    <t>5.339749813079834</t>
  </si>
  <si>
    <t>5.451250076293945</t>
  </si>
  <si>
    <t>5.317249774932861</t>
  </si>
  <si>
    <t>5.394000053405762</t>
  </si>
  <si>
    <t>583268000</t>
  </si>
  <si>
    <t>2018-01-05</t>
  </si>
  <si>
    <t>5.326793670654297</t>
  </si>
  <si>
    <t>5.385000228881836</t>
  </si>
  <si>
    <t>5.422749996185303</t>
  </si>
  <si>
    <t>5.2769999504089355</t>
  </si>
  <si>
    <t>5.354750156402588</t>
  </si>
  <si>
    <t>580124000</t>
  </si>
  <si>
    <t>2018-01-08</t>
  </si>
  <si>
    <t>5.490012168884277</t>
  </si>
  <si>
    <t>5.550000190734863</t>
  </si>
  <si>
    <t>5.625</t>
  </si>
  <si>
    <t>5.4644999504089355</t>
  </si>
  <si>
    <t>5.510000228881836</t>
  </si>
  <si>
    <t>881216000</t>
  </si>
  <si>
    <t>2018-01-09</t>
  </si>
  <si>
    <t>5.488528251647949</t>
  </si>
  <si>
    <t>5.548500061035156</t>
  </si>
  <si>
    <t>5.5954999923706055</t>
  </si>
  <si>
    <t>5.466000080108643</t>
  </si>
  <si>
    <t>5.555500030517578</t>
  </si>
  <si>
    <t>497000000</t>
  </si>
  <si>
    <t>2018-01-10</t>
  </si>
  <si>
    <t>5.531556606292725</t>
  </si>
  <si>
    <t>5.5920000076293945</t>
  </si>
  <si>
    <t>5.400000095367432</t>
  </si>
  <si>
    <t>5.454999923706055</t>
  </si>
  <si>
    <t>582664000</t>
  </si>
  <si>
    <t>2018-01-11</t>
  </si>
  <si>
    <t>5.54144811630249</t>
  </si>
  <si>
    <t>5.6020002365112305</t>
  </si>
  <si>
    <t>5.656750202178955</t>
  </si>
  <si>
    <t>5.580249786376953</t>
  </si>
  <si>
    <t>406032000</t>
  </si>
  <si>
    <t>2018-01-12</t>
  </si>
  <si>
    <t>5.514246940612793</t>
  </si>
  <si>
    <t>5.57450008392334</t>
  </si>
  <si>
    <t>5.624750137329102</t>
  </si>
  <si>
    <t>5.5335001945495605</t>
  </si>
  <si>
    <t>5.590000152587891</t>
  </si>
  <si>
    <t>359916000</t>
  </si>
  <si>
    <t>2018-01-16</t>
  </si>
  <si>
    <t>5.443270683288574</t>
  </si>
  <si>
    <t>5.502749919891357</t>
  </si>
  <si>
    <t>5.687749862670898</t>
  </si>
  <si>
    <t>5.417250156402588</t>
  </si>
  <si>
    <t>5.601250171661377</t>
  </si>
  <si>
    <t>702348000</t>
  </si>
  <si>
    <t>2018-01-17</t>
  </si>
  <si>
    <t>5.557276725769043</t>
  </si>
  <si>
    <t>5.618000030517578</t>
  </si>
  <si>
    <t>5.627999782562256</t>
  </si>
  <si>
    <t>5.422500133514404</t>
  </si>
  <si>
    <t>5.517499923706055</t>
  </si>
  <si>
    <t>538408000</t>
  </si>
  <si>
    <t>2018-01-18</t>
  </si>
  <si>
    <t>5.550351619720459</t>
  </si>
  <si>
    <t>5.611000061035156</t>
  </si>
  <si>
    <t>5.665999889373779</t>
  </si>
  <si>
    <t>5.566999912261963</t>
  </si>
  <si>
    <t>5.598499774932861</t>
  </si>
  <si>
    <t>408632000</t>
  </si>
  <si>
    <t>2018-01-19</t>
  </si>
  <si>
    <t>5.6905694007873535</t>
  </si>
  <si>
    <t>5.752749919891357</t>
  </si>
  <si>
    <t>5.777249813079834</t>
  </si>
  <si>
    <t>5.675000190734863</t>
  </si>
  <si>
    <t>5.702250003814697</t>
  </si>
  <si>
    <t>609380000</t>
  </si>
  <si>
    <t>2018-01-22</t>
  </si>
  <si>
    <t>5.779101848602295</t>
  </si>
  <si>
    <t>5.842249870300293</t>
  </si>
  <si>
    <t>5.843999862670898</t>
  </si>
  <si>
    <t>5.702499866485596</t>
  </si>
  <si>
    <t>5.760749816894531</t>
  </si>
  <si>
    <t>550944000</t>
  </si>
  <si>
    <t>2018-01-23</t>
  </si>
  <si>
    <t>5.908191204071045</t>
  </si>
  <si>
    <t>5.972750186920166</t>
  </si>
  <si>
    <t>5.9957499504089355</t>
  </si>
  <si>
    <t>5.877500057220459</t>
  </si>
  <si>
    <t>5.896249771118164</t>
  </si>
  <si>
    <t>475228000</t>
  </si>
  <si>
    <t>2018-01-24</t>
  </si>
  <si>
    <t>5.831282138824463</t>
  </si>
  <si>
    <t>5.894999980926514</t>
  </si>
  <si>
    <t>6.012249946594238</t>
  </si>
  <si>
    <t>5.838749885559082</t>
  </si>
  <si>
    <t>5.97599983215332</t>
  </si>
  <si>
    <t>579972000</t>
  </si>
  <si>
    <t>2018-01-25</t>
  </si>
  <si>
    <t>5.844883441925049</t>
  </si>
  <si>
    <t>5.908750057220459</t>
  </si>
  <si>
    <t>5.993750095367432</t>
  </si>
  <si>
    <t>5.893750190734863</t>
  </si>
  <si>
    <t>5.949999809265137</t>
  </si>
  <si>
    <t>409884000</t>
  </si>
  <si>
    <t>2018-01-26</t>
  </si>
  <si>
    <t>6.0174970626831055</t>
  </si>
  <si>
    <t>6.083250045776367</t>
  </si>
  <si>
    <t>6.083499908447266</t>
  </si>
  <si>
    <t>5.940000057220459</t>
  </si>
  <si>
    <t>5.953000068664551</t>
  </si>
  <si>
    <t>516356000</t>
  </si>
  <si>
    <t>2018-01-29</t>
  </si>
  <si>
    <t>6.1045451164245605</t>
  </si>
  <si>
    <t>6.171249866485596</t>
  </si>
  <si>
    <t>6.202750205993652</t>
  </si>
  <si>
    <t>6.015250205993652</t>
  </si>
  <si>
    <t>6.06850004196167</t>
  </si>
  <si>
    <t>455116000</t>
  </si>
  <si>
    <t>2018-01-30</t>
  </si>
  <si>
    <t>6.002411842346191</t>
  </si>
  <si>
    <t>6.067999839782715</t>
  </si>
  <si>
    <t>6.1605000495910645</t>
  </si>
  <si>
    <t>5.960249900817871</t>
  </si>
  <si>
    <t>6.027750015258789</t>
  </si>
  <si>
    <t>570832000</t>
  </si>
  <si>
    <t>2018-01-31</t>
  </si>
  <si>
    <t>6.078579902648926</t>
  </si>
  <si>
    <t>6.144999980926514</t>
  </si>
  <si>
    <t>6.231750011444092</t>
  </si>
  <si>
    <t>6.111249923706055</t>
  </si>
  <si>
    <t>6.14424991607666</t>
  </si>
  <si>
    <t>478576000</t>
  </si>
  <si>
    <t>2018-02-01</t>
  </si>
  <si>
    <t>5.947511672973633</t>
  </si>
  <si>
    <t>6.012499809265137</t>
  </si>
  <si>
    <t>6.172500133514404</t>
  </si>
  <si>
    <t>5.951499938964844</t>
  </si>
  <si>
    <t>5.9629998207092285</t>
  </si>
  <si>
    <t>519224000</t>
  </si>
  <si>
    <t>2018-02-02</t>
  </si>
  <si>
    <t>5.774897575378418</t>
  </si>
  <si>
    <t>5.8379998207092285</t>
  </si>
  <si>
    <t>5.949250221252441</t>
  </si>
  <si>
    <t>5.779250144958496</t>
  </si>
  <si>
    <t>5.925000190734863</t>
  </si>
  <si>
    <t>718464000</t>
  </si>
  <si>
    <t>2018-02-05</t>
  </si>
  <si>
    <t>5.284754276275635</t>
  </si>
  <si>
    <t>5.830749988555908</t>
  </si>
  <si>
    <t>5.125</t>
  </si>
  <si>
    <t>1165204000</t>
  </si>
  <si>
    <t>2018-02-06</t>
  </si>
  <si>
    <t>5.578543186187744</t>
  </si>
  <si>
    <t>5.639500141143799</t>
  </si>
  <si>
    <t>5.642499923706055</t>
  </si>
  <si>
    <t>5.099999904632568</t>
  </si>
  <si>
    <t>5.110000133514404</t>
  </si>
  <si>
    <t>1114800000</t>
  </si>
  <si>
    <t>2018-02-07</t>
  </si>
  <si>
    <t>5.658172607421875</t>
  </si>
  <si>
    <t>5.71999979019165</t>
  </si>
  <si>
    <t>5.8742499351501465</t>
  </si>
  <si>
    <t>5.667500019073486</t>
  </si>
  <si>
    <t>5.739500045776367</t>
  </si>
  <si>
    <t>802932000</t>
  </si>
  <si>
    <t>2018-02-08</t>
  </si>
  <si>
    <t>5.379221439361572</t>
  </si>
  <si>
    <t>5.438000202178955</t>
  </si>
  <si>
    <t>5.880499839782715</t>
  </si>
  <si>
    <t>5.437749862670898</t>
  </si>
  <si>
    <t>5.8470001220703125</t>
  </si>
  <si>
    <t>1144000000</t>
  </si>
  <si>
    <t>2018-02-09</t>
  </si>
  <si>
    <t>5.739285945892334</t>
  </si>
  <si>
    <t>5.802000045776367</t>
  </si>
  <si>
    <t>5.972249984741211</t>
  </si>
  <si>
    <t>5.956250190734863</t>
  </si>
  <si>
    <t>1674604000</t>
  </si>
  <si>
    <t>2018-02-12</t>
  </si>
  <si>
    <t>5.639132022857666</t>
  </si>
  <si>
    <t>5.70074987411499</t>
  </si>
  <si>
    <t>5.88700008392334</t>
  </si>
  <si>
    <t>5.6257500648498535</t>
  </si>
  <si>
    <t>5.883999824523926</t>
  </si>
  <si>
    <t>1093172000</t>
  </si>
  <si>
    <t>2018-02-13</t>
  </si>
  <si>
    <t>5.752888202667236</t>
  </si>
  <si>
    <t>5.8157501220703125</t>
  </si>
  <si>
    <t>5.862500190734863</t>
  </si>
  <si>
    <t>5.631249904632568</t>
  </si>
  <si>
    <t>5.664000034332275</t>
  </si>
  <si>
    <t>625524000</t>
  </si>
  <si>
    <t>2018-02-14</t>
  </si>
  <si>
    <t>5.970263481140137</t>
  </si>
  <si>
    <t>6.0355000495910645</t>
  </si>
  <si>
    <t>6.0647501945495605</t>
  </si>
  <si>
    <t>5.763750076293945</t>
  </si>
  <si>
    <t>5.775000095367432</t>
  </si>
  <si>
    <t>744988000</t>
  </si>
  <si>
    <t>2018-02-15</t>
  </si>
  <si>
    <t>6.095890998840332</t>
  </si>
  <si>
    <t>6.162499904632568</t>
  </si>
  <si>
    <t>6.209249973297119</t>
  </si>
  <si>
    <t>6.038000106811523</t>
  </si>
  <si>
    <t>6.119750022888184</t>
  </si>
  <si>
    <t>698900000</t>
  </si>
  <si>
    <t>2018-02-16</t>
  </si>
  <si>
    <t>6.03010892868042</t>
  </si>
  <si>
    <t>6.0960001945495605</t>
  </si>
  <si>
    <t>6.25</t>
  </si>
  <si>
    <t>6.086750030517578</t>
  </si>
  <si>
    <t>6.135000228881836</t>
  </si>
  <si>
    <t>637656000</t>
  </si>
  <si>
    <t>2018-02-20</t>
  </si>
  <si>
    <t>6.159693241119385</t>
  </si>
  <si>
    <t>6.2270002365112305</t>
  </si>
  <si>
    <t>6.296750068664551</t>
  </si>
  <si>
    <t>6.114999771118164</t>
  </si>
  <si>
    <t>6.118750095367432</t>
  </si>
  <si>
    <t>686240000</t>
  </si>
  <si>
    <t>2018-02-21</t>
  </si>
  <si>
    <t>5.972488880157471</t>
  </si>
  <si>
    <t>6.037749767303467</t>
  </si>
  <si>
    <t>6.29925012588501</t>
  </si>
  <si>
    <t>6.033999919891357</t>
  </si>
  <si>
    <t>6.292250156402588</t>
  </si>
  <si>
    <t>892292000</t>
  </si>
  <si>
    <t>2018-02-22</t>
  </si>
  <si>
    <t>5.992037296295166</t>
  </si>
  <si>
    <t>6.053750038146973</t>
  </si>
  <si>
    <t>6.140749931335449</t>
  </si>
  <si>
    <t>5.987500190734863</t>
  </si>
  <si>
    <t>6.0682501792907715</t>
  </si>
  <si>
    <t>534364000</t>
  </si>
  <si>
    <t>2018-02-23</t>
  </si>
  <si>
    <t>6.085572719573975</t>
  </si>
  <si>
    <t>6.148250102996826</t>
  </si>
  <si>
    <t>6.063000202178955</t>
  </si>
  <si>
    <t>6.114250183105469</t>
  </si>
  <si>
    <t>415300000</t>
  </si>
  <si>
    <t>2018-02-26</t>
  </si>
  <si>
    <t>6.101658821105957</t>
  </si>
  <si>
    <t>6.1645002365112305</t>
  </si>
  <si>
    <t>6.19950008392334</t>
  </si>
  <si>
    <t>6.101500034332275</t>
  </si>
  <si>
    <t>6.195000171661377</t>
  </si>
  <si>
    <t>469312000</t>
  </si>
  <si>
    <t>2018-02-27</t>
  </si>
  <si>
    <t>6.088789939880371</t>
  </si>
  <si>
    <t>6.151500225067139</t>
  </si>
  <si>
    <t>6.222750186920166</t>
  </si>
  <si>
    <t>6.1282501220703125</t>
  </si>
  <si>
    <t>6.137499809265137</t>
  </si>
  <si>
    <t>455436000</t>
  </si>
  <si>
    <t>2018-02-28</t>
  </si>
  <si>
    <t>5.988326072692871</t>
  </si>
  <si>
    <t>6.050000190734863</t>
  </si>
  <si>
    <t>6.202499866485596</t>
  </si>
  <si>
    <t>6.038249969482422</t>
  </si>
  <si>
    <t>523116000</t>
  </si>
  <si>
    <t>2018-03-01</t>
  </si>
  <si>
    <t>5.746070384979248</t>
  </si>
  <si>
    <t>5.80525016784668</t>
  </si>
  <si>
    <t>6.102250099182129</t>
  </si>
  <si>
    <t>5.703000068664551</t>
  </si>
  <si>
    <t>6.047749996185303</t>
  </si>
  <si>
    <t>1040120000</t>
  </si>
  <si>
    <t>2018-03-02</t>
  </si>
  <si>
    <t>5.853216648101807</t>
  </si>
  <si>
    <t>5.91349983215332</t>
  </si>
  <si>
    <t>5.920000076293945</t>
  </si>
  <si>
    <t>5.546249866485596</t>
  </si>
  <si>
    <t>5.696499824523926</t>
  </si>
  <si>
    <t>913428000</t>
  </si>
  <si>
    <t>2018-03-05</t>
  </si>
  <si>
    <t>5.831194877624512</t>
  </si>
  <si>
    <t>5.891250133514404</t>
  </si>
  <si>
    <t>5.931250095367432</t>
  </si>
  <si>
    <t>5.73799991607666</t>
  </si>
  <si>
    <t>5.862750053405762</t>
  </si>
  <si>
    <t>620776000</t>
  </si>
  <si>
    <t>2018-03-06</t>
  </si>
  <si>
    <t>5.992284297943115</t>
  </si>
  <si>
    <t>6.053999900817871</t>
  </si>
  <si>
    <t>6.073500156402588</t>
  </si>
  <si>
    <t>5.934000015258789</t>
  </si>
  <si>
    <t>5.977499961853027</t>
  </si>
  <si>
    <t>636808000</t>
  </si>
  <si>
    <t>2018-03-07</t>
  </si>
  <si>
    <t>5.9843668937683105</t>
  </si>
  <si>
    <t>6.046000003814697</t>
  </si>
  <si>
    <t>6.098750114440918</t>
  </si>
  <si>
    <t>5.948750019073486</t>
  </si>
  <si>
    <t>581208000</t>
  </si>
  <si>
    <t>2018-03-08</t>
  </si>
  <si>
    <t>5.968033790588379</t>
  </si>
  <si>
    <t>6.0295000076293945</t>
  </si>
  <si>
    <t>6.073750019073486</t>
  </si>
  <si>
    <t>5.984749794006348</t>
  </si>
  <si>
    <t>411912000</t>
  </si>
  <si>
    <t>2018-03-09</t>
  </si>
  <si>
    <t>6.070725440979004</t>
  </si>
  <si>
    <t>6.1332502365112305</t>
  </si>
  <si>
    <t>6.146249771118164</t>
  </si>
  <si>
    <t>6.06125020980835</t>
  </si>
  <si>
    <t>6.077499866485596</t>
  </si>
  <si>
    <t>505524000</t>
  </si>
  <si>
    <t>2018-03-12</t>
  </si>
  <si>
    <t>6.180347442626953</t>
  </si>
  <si>
    <t>6.24399995803833</t>
  </si>
  <si>
    <t>6.324999809265137</t>
  </si>
  <si>
    <t>6.166749954223633</t>
  </si>
  <si>
    <t>6.175000190734863</t>
  </si>
  <si>
    <t>605060000</t>
  </si>
  <si>
    <t>2018-03-13</t>
  </si>
  <si>
    <t>6.12962007522583</t>
  </si>
  <si>
    <t>6.192749977111816</t>
  </si>
  <si>
    <t>6.362500190734863</t>
  </si>
  <si>
    <t>6.151000022888184</t>
  </si>
  <si>
    <t>6.28725004196167</t>
  </si>
  <si>
    <t>619772000</t>
  </si>
  <si>
    <t>2018-03-14</t>
  </si>
  <si>
    <t>6.155107498168945</t>
  </si>
  <si>
    <t>6.218500137329102</t>
  </si>
  <si>
    <t>6.263750076293945</t>
  </si>
  <si>
    <t>6.1554999351501465</t>
  </si>
  <si>
    <t>6.236249923706055</t>
  </si>
  <si>
    <t>505496000</t>
  </si>
  <si>
    <t>2018-03-15</t>
  </si>
  <si>
    <t>6.169955253601074</t>
  </si>
  <si>
    <t>6.233500003814697</t>
  </si>
  <si>
    <t>6.315499782562256</t>
  </si>
  <si>
    <t>6.190999984741211</t>
  </si>
  <si>
    <t>6.232250213623047</t>
  </si>
  <si>
    <t>401952000</t>
  </si>
  <si>
    <t>2018-03-16</t>
  </si>
  <si>
    <t>6.198163986206055</t>
  </si>
  <si>
    <t>6.26200008392334</t>
  </si>
  <si>
    <t>6.28125</t>
  </si>
  <si>
    <t>6.211999893188477</t>
  </si>
  <si>
    <t>399456000</t>
  </si>
  <si>
    <t>2018-03-19</t>
  </si>
  <si>
    <t>5.96358060836792</t>
  </si>
  <si>
    <t>6.025000095367432</t>
  </si>
  <si>
    <t>6.233749866485596</t>
  </si>
  <si>
    <t>6.204500198364258</t>
  </si>
  <si>
    <t>713772000</t>
  </si>
  <si>
    <t>2018-03-20</t>
  </si>
  <si>
    <t>6.1758928298950195</t>
  </si>
  <si>
    <t>6.239500045776367</t>
  </si>
  <si>
    <t>6.278749942779541</t>
  </si>
  <si>
    <t>6.0279998779296875</t>
  </si>
  <si>
    <t>554696000</t>
  </si>
  <si>
    <t>2018-03-21</t>
  </si>
  <si>
    <t>6.15065336227417</t>
  </si>
  <si>
    <t>6.214000225067139</t>
  </si>
  <si>
    <t>6.300000190734863</t>
  </si>
  <si>
    <t>6.1832499504089355</t>
  </si>
  <si>
    <t>6.232999801635742</t>
  </si>
  <si>
    <t>438688000</t>
  </si>
  <si>
    <t>2018-03-22</t>
  </si>
  <si>
    <t>5.984613418579102</t>
  </si>
  <si>
    <t>6.046249866485596</t>
  </si>
  <si>
    <t>6.197000026702881</t>
  </si>
  <si>
    <t>6.008500099182129</t>
  </si>
  <si>
    <t>6.150000095367432</t>
  </si>
  <si>
    <t>551196000</t>
  </si>
  <si>
    <t>2018-03-23</t>
  </si>
  <si>
    <t>5.764878273010254</t>
  </si>
  <si>
    <t>5.824250221252441</t>
  </si>
  <si>
    <t>6.0625</t>
  </si>
  <si>
    <t>5.813000202178955</t>
  </si>
  <si>
    <t>6.059999942779541</t>
  </si>
  <si>
    <t>735620000</t>
  </si>
  <si>
    <t>2018-03-26</t>
  </si>
  <si>
    <t>6.049692630767822</t>
  </si>
  <si>
    <t>6.111999988555908</t>
  </si>
  <si>
    <t>6.113249778747559</t>
  </si>
  <si>
    <t>5.897500038146973</t>
  </si>
  <si>
    <t>611424000</t>
  </si>
  <si>
    <t>2018-03-27</t>
  </si>
  <si>
    <t>5.580524444580078</t>
  </si>
  <si>
    <t>5.638000011444092</t>
  </si>
  <si>
    <t>5.496250152587891</t>
  </si>
  <si>
    <t>6.193749904632568</t>
  </si>
  <si>
    <t>1409000000</t>
  </si>
  <si>
    <t>2018-03-28</t>
  </si>
  <si>
    <t>5.477338790893555</t>
  </si>
  <si>
    <t>5.533750057220459</t>
  </si>
  <si>
    <t>5.734749794006348</t>
  </si>
  <si>
    <t>5.425000190734863</t>
  </si>
  <si>
    <t>5.603250026702881</t>
  </si>
  <si>
    <t>945904000</t>
  </si>
  <si>
    <t>2018-03-29</t>
  </si>
  <si>
    <t>5.730728626251221</t>
  </si>
  <si>
    <t>5.789750099182129</t>
  </si>
  <si>
    <t>5.887499809265137</t>
  </si>
  <si>
    <t>5.602749824523926</t>
  </si>
  <si>
    <t>916628000</t>
  </si>
  <si>
    <t>2018-04-02</t>
  </si>
  <si>
    <t>5.469913959503174</t>
  </si>
  <si>
    <t>5.526249885559082</t>
  </si>
  <si>
    <t>5.866250038146973</t>
  </si>
  <si>
    <t>5.4375</t>
  </si>
  <si>
    <t>5.718500137329102</t>
  </si>
  <si>
    <t>922092000</t>
  </si>
  <si>
    <t>2018-04-03</t>
  </si>
  <si>
    <t>5.576318264007568</t>
  </si>
  <si>
    <t>5.633749961853027</t>
  </si>
  <si>
    <t>5.758749961853027</t>
  </si>
  <si>
    <t>5.695000171661377</t>
  </si>
  <si>
    <t>667432000</t>
  </si>
  <si>
    <t>2018-04-04</t>
  </si>
  <si>
    <t>5.598343372344971</t>
  </si>
  <si>
    <t>5.656000137329102</t>
  </si>
  <si>
    <t>5.666500091552734</t>
  </si>
  <si>
    <t>5.349999904632568</t>
  </si>
  <si>
    <t>5.375249862670898</t>
  </si>
  <si>
    <t>789168000</t>
  </si>
  <si>
    <t>2018-04-05</t>
  </si>
  <si>
    <t>5.478080749511719</t>
  </si>
  <si>
    <t>5.5345001220703125</t>
  </si>
  <si>
    <t>5.728250026702881</t>
  </si>
  <si>
    <t>5.462250232696533</t>
  </si>
  <si>
    <t>5.715000152587891</t>
  </si>
  <si>
    <t>701240000</t>
  </si>
  <si>
    <t>2018-04-06</t>
  </si>
  <si>
    <t>5.301647186279297</t>
  </si>
  <si>
    <t>5.356249809265137</t>
  </si>
  <si>
    <t>5.539999961853027</t>
  </si>
  <si>
    <t>5.326749801635742</t>
  </si>
  <si>
    <t>5.430749893188477</t>
  </si>
  <si>
    <t>662988000</t>
  </si>
  <si>
    <t>2018-04-09</t>
  </si>
  <si>
    <t>5.330352306365967</t>
  </si>
  <si>
    <t>5.385250091552734</t>
  </si>
  <si>
    <t>5.54925012588501</t>
  </si>
  <si>
    <t>5.364999771118164</t>
  </si>
  <si>
    <t>5.420000076293945</t>
  </si>
  <si>
    <t>499524000</t>
  </si>
  <si>
    <t>2018-04-10</t>
  </si>
  <si>
    <t>5.6396660804748535</t>
  </si>
  <si>
    <t>5.697750091552734</t>
  </si>
  <si>
    <t>5.724999904632568</t>
  </si>
  <si>
    <t>5.5602498054504395</t>
  </si>
  <si>
    <t>761676000</t>
  </si>
  <si>
    <t>2018-04-11</t>
  </si>
  <si>
    <t>5.7245001792907715</t>
  </si>
  <si>
    <t>5.623000144958496</t>
  </si>
  <si>
    <t>5.682750225067139</t>
  </si>
  <si>
    <t>460244000</t>
  </si>
  <si>
    <t>2018-04-12</t>
  </si>
  <si>
    <t>5.805210113525391</t>
  </si>
  <si>
    <t>5.864999771118164</t>
  </si>
  <si>
    <t>5.882999897003174</t>
  </si>
  <si>
    <t>5.705249786376953</t>
  </si>
  <si>
    <t>5.75</t>
  </si>
  <si>
    <t>593920000</t>
  </si>
  <si>
    <t>2018-04-13</t>
  </si>
  <si>
    <t>5.728500843048096</t>
  </si>
  <si>
    <t>5.787499904632568</t>
  </si>
  <si>
    <t>5.937749862670898</t>
  </si>
  <si>
    <t>5.738749980926514</t>
  </si>
  <si>
    <t>5.9292497634887695</t>
  </si>
  <si>
    <t>503036000</t>
  </si>
  <si>
    <t>2018-04-16</t>
  </si>
  <si>
    <t>5.72825288772583</t>
  </si>
  <si>
    <t>5.78725004196167</t>
  </si>
  <si>
    <t>5.821000099182129</t>
  </si>
  <si>
    <t>5.691999912261963</t>
  </si>
  <si>
    <t>5.794250011444092</t>
  </si>
  <si>
    <t>350792000</t>
  </si>
  <si>
    <t>2018-04-17</t>
  </si>
  <si>
    <t>5.8779616355896</t>
  </si>
  <si>
    <t>5.938499927520752</t>
  </si>
  <si>
    <t>5.960000038146973</t>
  </si>
  <si>
    <t>5.783750057220459</t>
  </si>
  <si>
    <t>5.840000152587891</t>
  </si>
  <si>
    <t>447224000</t>
  </si>
  <si>
    <t>2018-04-18</t>
  </si>
  <si>
    <t>5.849009990692139</t>
  </si>
  <si>
    <t>5.909249782562256</t>
  </si>
  <si>
    <t>5.981249809265137</t>
  </si>
  <si>
    <t>5.819250106811523</t>
  </si>
  <si>
    <t>391364000</t>
  </si>
  <si>
    <t>2018-04-19</t>
  </si>
  <si>
    <t>5.667628288269043</t>
  </si>
  <si>
    <t>5.72599983215332</t>
  </si>
  <si>
    <t>5.827499866485596</t>
  </si>
  <si>
    <t>5.670000076293945</t>
  </si>
  <si>
    <t>5.793749809265137</t>
  </si>
  <si>
    <t>471996000</t>
  </si>
  <si>
    <t>2018-04-20</t>
  </si>
  <si>
    <t>5.6594624519348145</t>
  </si>
  <si>
    <t>5.717750072479248</t>
  </si>
  <si>
    <t>5.802499771118164</t>
  </si>
  <si>
    <t>5.68625020980835</t>
  </si>
  <si>
    <t>5.717249870300293</t>
  </si>
  <si>
    <t>386200000</t>
  </si>
  <si>
    <t>2018-04-23</t>
  </si>
  <si>
    <t>5.539943218231201</t>
  </si>
  <si>
    <t>5.5970001220703125</t>
  </si>
  <si>
    <t>5.5707502365112305</t>
  </si>
  <si>
    <t>5.735750198364258</t>
  </si>
  <si>
    <t>427508000</t>
  </si>
  <si>
    <t>2018-04-24</t>
  </si>
  <si>
    <t>5.473625659942627</t>
  </si>
  <si>
    <t>5.53000020980835</t>
  </si>
  <si>
    <t>5.464000225067139</t>
  </si>
  <si>
    <t>414596000</t>
  </si>
  <si>
    <t>2018-04-25</t>
  </si>
  <si>
    <t>5.361283779144287</t>
  </si>
  <si>
    <t>5.416500091552734</t>
  </si>
  <si>
    <t>5.5395002365112305</t>
  </si>
  <si>
    <t>5.257500171661377</t>
  </si>
  <si>
    <t>5.5</t>
  </si>
  <si>
    <t>588492000</t>
  </si>
  <si>
    <t>2018-04-26</t>
  </si>
  <si>
    <t>5.573101043701172</t>
  </si>
  <si>
    <t>5.630499839782715</t>
  </si>
  <si>
    <t>5.638750076293945</t>
  </si>
  <si>
    <t>5.51324987411499</t>
  </si>
  <si>
    <t>5.579999923706055</t>
  </si>
  <si>
    <t>375824000</t>
  </si>
  <si>
    <t>2018-04-27</t>
  </si>
  <si>
    <t>5.600568771362305</t>
  </si>
  <si>
    <t>5.658249855041504</t>
  </si>
  <si>
    <t>5.757500171661377</t>
  </si>
  <si>
    <t>5.615499973297119</t>
  </si>
  <si>
    <t>5.737500190734863</t>
  </si>
  <si>
    <t>400848000</t>
  </si>
  <si>
    <t>2018-04-30</t>
  </si>
  <si>
    <t>5.565183162689209</t>
  </si>
  <si>
    <t>5.622499942779541</t>
  </si>
  <si>
    <t>5.603000164031982</t>
  </si>
  <si>
    <t>5.674749851226807</t>
  </si>
  <si>
    <t>327844000</t>
  </si>
  <si>
    <t>2018-05-01</t>
  </si>
  <si>
    <t>5.620611667633057</t>
  </si>
  <si>
    <t>5.678500175476074</t>
  </si>
  <si>
    <t>5.681250095367432</t>
  </si>
  <si>
    <t>5.554999828338623</t>
  </si>
  <si>
    <t>5.614250183105469</t>
  </si>
  <si>
    <t>253788000</t>
  </si>
  <si>
    <t>2018-05-02</t>
  </si>
  <si>
    <t>5.600073337554932</t>
  </si>
  <si>
    <t>5.657750129699707</t>
  </si>
  <si>
    <t>268248000</t>
  </si>
  <si>
    <t>2018-05-03</t>
  </si>
  <si>
    <t>5.765372276306152</t>
  </si>
  <si>
    <t>5.824749946594238</t>
  </si>
  <si>
    <t>5.851250171661377</t>
  </si>
  <si>
    <t>5.64424991607666</t>
  </si>
  <si>
    <t>5.690000057220459</t>
  </si>
  <si>
    <t>443144000</t>
  </si>
  <si>
    <t>2018-05-04</t>
  </si>
  <si>
    <t>5.91557502746582</t>
  </si>
  <si>
    <t>5.976500034332275</t>
  </si>
  <si>
    <t>5.979750156402588</t>
  </si>
  <si>
    <t>5.778250217437744</t>
  </si>
  <si>
    <t>5.795750141143799</t>
  </si>
  <si>
    <t>400660000</t>
  </si>
  <si>
    <t>2018-05-07</t>
  </si>
  <si>
    <t>6.153622627258301</t>
  </si>
  <si>
    <t>6.2170000076293945</t>
  </si>
  <si>
    <t>6.274750232696533</t>
  </si>
  <si>
    <t>6.072249889373779</t>
  </si>
  <si>
    <t>6.082250118255615</t>
  </si>
  <si>
    <t>687616000</t>
  </si>
  <si>
    <t>2018-05-08</t>
  </si>
  <si>
    <t>6.19618558883667</t>
  </si>
  <si>
    <t>6.260000228881836</t>
  </si>
  <si>
    <t>6.262750148773193</t>
  </si>
  <si>
    <t>6.167749881744385</t>
  </si>
  <si>
    <t>6.217249870300293</t>
  </si>
  <si>
    <t>506616000</t>
  </si>
  <si>
    <t>2018-05-09</t>
  </si>
  <si>
    <t>6.3293137550354</t>
  </si>
  <si>
    <t>6.394499778747559</t>
  </si>
  <si>
    <t>6.396749973297119</t>
  </si>
  <si>
    <t>6.252749919891357</t>
  </si>
  <si>
    <t>6.280250072479248</t>
  </si>
  <si>
    <t>596760000</t>
  </si>
  <si>
    <t>2018-05-10</t>
  </si>
  <si>
    <t>6.436955451965332</t>
  </si>
  <si>
    <t>6.5032501220703125</t>
  </si>
  <si>
    <t>6.512499809265137</t>
  </si>
  <si>
    <t>6.429999828338623</t>
  </si>
  <si>
    <t>6.447999954223633</t>
  </si>
  <si>
    <t>994080000</t>
  </si>
  <si>
    <t>2018-05-11</t>
  </si>
  <si>
    <t>6.298381805419922</t>
  </si>
  <si>
    <t>6.363249778747559</t>
  </si>
  <si>
    <t>6.494750022888184</t>
  </si>
  <si>
    <t>6.263500213623047</t>
  </si>
  <si>
    <t>6.319499969482422</t>
  </si>
  <si>
    <t>1214456000</t>
  </si>
  <si>
    <t>2018-05-14</t>
  </si>
  <si>
    <t>6.318918228149414</t>
  </si>
  <si>
    <t>6.383999824523926</t>
  </si>
  <si>
    <t>6.462250232696533</t>
  </si>
  <si>
    <t>6.360000133514404</t>
  </si>
  <si>
    <t>6.401750087738037</t>
  </si>
  <si>
    <t>523140000</t>
  </si>
  <si>
    <t>2018-05-15</t>
  </si>
  <si>
    <t>6.076419353485107</t>
  </si>
  <si>
    <t>6.138999938964844</t>
  </si>
  <si>
    <t>6.322500228881836</t>
  </si>
  <si>
    <t>6.037499904632568</t>
  </si>
  <si>
    <t>6.31974983215332</t>
  </si>
  <si>
    <t>963528000</t>
  </si>
  <si>
    <t>2018-05-16</t>
  </si>
  <si>
    <t>6.087554454803467</t>
  </si>
  <si>
    <t>6.15024995803833</t>
  </si>
  <si>
    <t>6.2129998207092285</t>
  </si>
  <si>
    <t>6.062749862670898</t>
  </si>
  <si>
    <t>6.099999904632568</t>
  </si>
  <si>
    <t>553828000</t>
  </si>
  <si>
    <t>2018-05-17</t>
  </si>
  <si>
    <t>6.287499904632568</t>
  </si>
  <si>
    <t>6.135749816894531</t>
  </si>
  <si>
    <t>6.1519999504089355</t>
  </si>
  <si>
    <t>519784000</t>
  </si>
  <si>
    <t>2018-05-18</t>
  </si>
  <si>
    <t>6.085821151733398</t>
  </si>
  <si>
    <t>6.148499965667725</t>
  </si>
  <si>
    <t>6.3092498779296875</t>
  </si>
  <si>
    <t>6.143499851226807</t>
  </si>
  <si>
    <t>6.245250225067139</t>
  </si>
  <si>
    <t>483716000</t>
  </si>
  <si>
    <t>2018-05-21</t>
  </si>
  <si>
    <t>6.043753147125244</t>
  </si>
  <si>
    <t>6.105999946594238</t>
  </si>
  <si>
    <t>6.2507500648498535</t>
  </si>
  <si>
    <t>6.247000217437744</t>
  </si>
  <si>
    <t>640624000</t>
  </si>
  <si>
    <t>2018-05-22</t>
  </si>
  <si>
    <t>6.005646705627441</t>
  </si>
  <si>
    <t>6.067500114440918</t>
  </si>
  <si>
    <t>6.006249904632568</t>
  </si>
  <si>
    <t>6.119500160217285</t>
  </si>
  <si>
    <t>518264000</t>
  </si>
  <si>
    <t>2018-05-23</t>
  </si>
  <si>
    <t>6.129201889038086</t>
  </si>
  <si>
    <t>6.188499927520752</t>
  </si>
  <si>
    <t>6.1897501945495605</t>
  </si>
  <si>
    <t>6.006999969482422</t>
  </si>
  <si>
    <t>442956000</t>
  </si>
  <si>
    <t>2018-05-24</t>
  </si>
  <si>
    <t>6.1329145431518555</t>
  </si>
  <si>
    <t>6.192249774932861</t>
  </si>
  <si>
    <t>6.235000133514404</t>
  </si>
  <si>
    <t>6.13100004196167</t>
  </si>
  <si>
    <t>6.184750080108643</t>
  </si>
  <si>
    <t>437372000</t>
  </si>
  <si>
    <t>2018-05-25</t>
  </si>
  <si>
    <t>6.172286510467529</t>
  </si>
  <si>
    <t>6.23199987411499</t>
  </si>
  <si>
    <t>6.248499870300293</t>
  </si>
  <si>
    <t>6.169000148773193</t>
  </si>
  <si>
    <t>6.204999923706055</t>
  </si>
  <si>
    <t>292112000</t>
  </si>
  <si>
    <t>2018-05-29</t>
  </si>
  <si>
    <t>6.155200004577637</t>
  </si>
  <si>
    <t>6.214749813079834</t>
  </si>
  <si>
    <t>6.2835001945495605</t>
  </si>
  <si>
    <t>6.167500019073486</t>
  </si>
  <si>
    <t>6.213749885559082</t>
  </si>
  <si>
    <t>352684000</t>
  </si>
  <si>
    <t>2018-05-30</t>
  </si>
  <si>
    <t>6.264145374298096</t>
  </si>
  <si>
    <t>6.324749946594238</t>
  </si>
  <si>
    <t>6.333499908447266</t>
  </si>
  <si>
    <t>6.223750114440918</t>
  </si>
  <si>
    <t>6.24875020980835</t>
  </si>
  <si>
    <t>390996000</t>
  </si>
  <si>
    <t>2018-05-31</t>
  </si>
  <si>
    <t>6.244338035583496</t>
  </si>
  <si>
    <t>6.304749965667725</t>
  </si>
  <si>
    <t>6.380000114440918</t>
  </si>
  <si>
    <t>6.281750202178955</t>
  </si>
  <si>
    <t>6.292500019073486</t>
  </si>
  <si>
    <t>493868000</t>
  </si>
  <si>
    <t>2018-06-01</t>
  </si>
  <si>
    <t>6.378786563873291</t>
  </si>
  <si>
    <t>6.440499782562256</t>
  </si>
  <si>
    <t>6.446750164031982</t>
  </si>
  <si>
    <t>6.341249942779541</t>
  </si>
  <si>
    <t>6.349999904632568</t>
  </si>
  <si>
    <t>421968000</t>
  </si>
  <si>
    <t>2018-06-04</t>
  </si>
  <si>
    <t>6.557804107666016</t>
  </si>
  <si>
    <t>6.621250152587891</t>
  </si>
  <si>
    <t>6.643499851226807</t>
  </si>
  <si>
    <t>6.442500114440918</t>
  </si>
  <si>
    <t>6.474999904632568</t>
  </si>
  <si>
    <t>642024000</t>
  </si>
  <si>
    <t>2018-06-05</t>
  </si>
  <si>
    <t>6.563251972198486</t>
  </si>
  <si>
    <t>6.6267499923706055</t>
  </si>
  <si>
    <t>6.664750099182129</t>
  </si>
  <si>
    <t>6.579249858856201</t>
  </si>
  <si>
    <t>6.624499797821045</t>
  </si>
  <si>
    <t>391712000</t>
  </si>
  <si>
    <t>2018-06-06</t>
  </si>
  <si>
    <t>6.56523323059082</t>
  </si>
  <si>
    <t>6.628749847412109</t>
  </si>
  <si>
    <t>6.631999969482422</t>
  </si>
  <si>
    <t>6.51924991607666</t>
  </si>
  <si>
    <t>6.535749912261963</t>
  </si>
  <si>
    <t>371356000</t>
  </si>
  <si>
    <t>2018-06-07</t>
  </si>
  <si>
    <t>6.509520530700684</t>
  </si>
  <si>
    <t>6.572500228881836</t>
  </si>
  <si>
    <t>6.63700008392334</t>
  </si>
  <si>
    <t>6.481249809265137</t>
  </si>
  <si>
    <t>6.625</t>
  </si>
  <si>
    <t>369448000</t>
  </si>
  <si>
    <t>2018-06-08</t>
  </si>
  <si>
    <t>6.494171142578125</t>
  </si>
  <si>
    <t>6.557000160217285</t>
  </si>
  <si>
    <t>6.599999904632568</t>
  </si>
  <si>
    <t>6.480000019073486</t>
  </si>
  <si>
    <t>6.499000072479248</t>
  </si>
  <si>
    <t>360456000</t>
  </si>
  <si>
    <t>2018-06-11</t>
  </si>
  <si>
    <t>6.453068256378174</t>
  </si>
  <si>
    <t>6.515500068664551</t>
  </si>
  <si>
    <t>6.586249828338623</t>
  </si>
  <si>
    <t>6.502500057220459</t>
  </si>
  <si>
    <t>6.544250011444092</t>
  </si>
  <si>
    <t>265372000</t>
  </si>
  <si>
    <t>2018-06-12</t>
  </si>
  <si>
    <t>6.5015974044799805</t>
  </si>
  <si>
    <t>6.564499855041504</t>
  </si>
  <si>
    <t>6.576749801635742</t>
  </si>
  <si>
    <t>6.491499900817871</t>
  </si>
  <si>
    <t>6.542250156402588</t>
  </si>
  <si>
    <t>319160000</t>
  </si>
  <si>
    <t>2018-06-13</t>
  </si>
  <si>
    <t>6.497142791748047</t>
  </si>
  <si>
    <t>6.559999942779541</t>
  </si>
  <si>
    <t>6.641749858856201</t>
  </si>
  <si>
    <t>6.550749778747559</t>
  </si>
  <si>
    <t>6.565999984741211</t>
  </si>
  <si>
    <t>338208000</t>
  </si>
  <si>
    <t>2018-06-14</t>
  </si>
  <si>
    <t>6.608811378479004</t>
  </si>
  <si>
    <t>6.672749996185303</t>
  </si>
  <si>
    <t>6.730000019073486</t>
  </si>
  <si>
    <t>6.5904998779296875</t>
  </si>
  <si>
    <t>6.605500221252441</t>
  </si>
  <si>
    <t>430016000</t>
  </si>
  <si>
    <t>2018-06-15</t>
  </si>
  <si>
    <t>6.567956447601318</t>
  </si>
  <si>
    <t>6.631499767303467</t>
  </si>
  <si>
    <t>6.686999797821045</t>
  </si>
  <si>
    <t>6.583749771118164</t>
  </si>
  <si>
    <t>6.614999771118164</t>
  </si>
  <si>
    <t>432260000</t>
  </si>
  <si>
    <t>2018-06-18</t>
  </si>
  <si>
    <t>6.563748359680176</t>
  </si>
  <si>
    <t>6.6272501945495605</t>
  </si>
  <si>
    <t>6.644999980926514</t>
  </si>
  <si>
    <t>6.559500217437744</t>
  </si>
  <si>
    <t>6.586999893188477</t>
  </si>
  <si>
    <t>356268000</t>
  </si>
  <si>
    <t>2018-06-19</t>
  </si>
  <si>
    <t>6.441926956176758</t>
  </si>
  <si>
    <t>6.5042500495910645</t>
  </si>
  <si>
    <t>6.591000080108643</t>
  </si>
  <si>
    <t>6.375500202178955</t>
  </si>
  <si>
    <t>6.5229997634887695</t>
  </si>
  <si>
    <t>594932000</t>
  </si>
  <si>
    <t>2018-06-20</t>
  </si>
  <si>
    <t>6.494914531707764</t>
  </si>
  <si>
    <t>6.557750225067139</t>
  </si>
  <si>
    <t>6.611249923706055</t>
  </si>
  <si>
    <t>6.506999969482422</t>
  </si>
  <si>
    <t>6.545750141143799</t>
  </si>
  <si>
    <t>369780000</t>
  </si>
  <si>
    <t>2018-06-21</t>
  </si>
  <si>
    <t>6.366159915924072</t>
  </si>
  <si>
    <t>6.427750110626221</t>
  </si>
  <si>
    <t>6.608500003814697</t>
  </si>
  <si>
    <t>6.420000076293945</t>
  </si>
  <si>
    <t>6.590000152587891</t>
  </si>
  <si>
    <t>359516000</t>
  </si>
  <si>
    <t>2018-06-22</t>
  </si>
  <si>
    <t>6.213634490966797</t>
  </si>
  <si>
    <t>6.273749828338623</t>
  </si>
  <si>
    <t>6.2582502365112305</t>
  </si>
  <si>
    <t>6.448750019073486</t>
  </si>
  <si>
    <t>434160000</t>
  </si>
  <si>
    <t>2018-06-25</t>
  </si>
  <si>
    <t>5.920719146728516</t>
  </si>
  <si>
    <t>5.978000164031982</t>
  </si>
  <si>
    <t>6.170000076293945</t>
  </si>
  <si>
    <t>5.888500213623047</t>
  </si>
  <si>
    <t>6.166250228881836</t>
  </si>
  <si>
    <t>665816000</t>
  </si>
  <si>
    <t>2018-06-26</t>
  </si>
  <si>
    <t>5.991781711578369</t>
  </si>
  <si>
    <t>6.049749851226807</t>
  </si>
  <si>
    <t>6.141250133514404</t>
  </si>
  <si>
    <t>5.9977498054504395</t>
  </si>
  <si>
    <t>6.09250020980835</t>
  </si>
  <si>
    <t>478884000</t>
  </si>
  <si>
    <t>2018-06-27</t>
  </si>
  <si>
    <t>5.836532115936279</t>
  </si>
  <si>
    <t>5.89300012588501</t>
  </si>
  <si>
    <t>6.160749912261963</t>
  </si>
  <si>
    <t>6.09375</t>
  </si>
  <si>
    <t>453892000</t>
  </si>
  <si>
    <t>2018-06-28</t>
  </si>
  <si>
    <t>5.963802337646484</t>
  </si>
  <si>
    <t>6.021500110626221</t>
  </si>
  <si>
    <t>6.0335001945495605</t>
  </si>
  <si>
    <t>5.875249862670898</t>
  </si>
  <si>
    <t>338012000</t>
  </si>
  <si>
    <t>2018-06-29</t>
  </si>
  <si>
    <t>5.865751266479492</t>
  </si>
  <si>
    <t>5.922500133514404</t>
  </si>
  <si>
    <t>5.921249866485596</t>
  </si>
  <si>
    <t>6.087250232696533</t>
  </si>
  <si>
    <t>392300000</t>
  </si>
  <si>
    <t>2018-07-02</t>
  </si>
  <si>
    <t>5.997971534729004</t>
  </si>
  <si>
    <t>6.056000232696533</t>
  </si>
  <si>
    <t>6.059750080108643</t>
  </si>
  <si>
    <t>5.831500053405762</t>
  </si>
  <si>
    <t>5.852250099182129</t>
  </si>
  <si>
    <t>357572000</t>
  </si>
  <si>
    <t>2018-07-03</t>
  </si>
  <si>
    <t>5.864264488220215</t>
  </si>
  <si>
    <t>5.921000003814697</t>
  </si>
  <si>
    <t>6.0970001220703125</t>
  </si>
  <si>
    <t>5.912499904632568</t>
  </si>
  <si>
    <t>6.091000080108643</t>
  </si>
  <si>
    <t>222732000</t>
  </si>
  <si>
    <t>2018-07-05</t>
  </si>
  <si>
    <t>6.010103702545166</t>
  </si>
  <si>
    <t>6.073249816894531</t>
  </si>
  <si>
    <t>5.9375</t>
  </si>
  <si>
    <t>5.976749897003174</t>
  </si>
  <si>
    <t>306216000</t>
  </si>
  <si>
    <t>2018-07-06</t>
  </si>
  <si>
    <t>6.124001502990723</t>
  </si>
  <si>
    <t>6.1917500495910645</t>
  </si>
  <si>
    <t>6.021999835968018</t>
  </si>
  <si>
    <t>6.043499946594238</t>
  </si>
  <si>
    <t>296352000</t>
  </si>
  <si>
    <t>2018-07-09</t>
  </si>
  <si>
    <t>6.171542167663574</t>
  </si>
  <si>
    <t>6.231249809265137</t>
  </si>
  <si>
    <t>6.26800012588501</t>
  </si>
  <si>
    <t>6.151750087738037</t>
  </si>
  <si>
    <t>303880000</t>
  </si>
  <si>
    <t>2018-07-10</t>
  </si>
  <si>
    <t>6.2705841064453125</t>
  </si>
  <si>
    <t>6.331250190734863</t>
  </si>
  <si>
    <t>6.353499889373779</t>
  </si>
  <si>
    <t>6.203000068664551</t>
  </si>
  <si>
    <t>6.243750095367432</t>
  </si>
  <si>
    <t>360016000</t>
  </si>
  <si>
    <t>2018-07-11</t>
  </si>
  <si>
    <t>6.12895393371582</t>
  </si>
  <si>
    <t>6.1882500648498535</t>
  </si>
  <si>
    <t>6.272500038146973</t>
  </si>
  <si>
    <t>6.177499771118164</t>
  </si>
  <si>
    <t>6.237500190734863</t>
  </si>
  <si>
    <t>367508000</t>
  </si>
  <si>
    <t>2018-07-12</t>
  </si>
  <si>
    <t>6.2205681800842285</t>
  </si>
  <si>
    <t>6.280749797821045</t>
  </si>
  <si>
    <t>6.329249858856201</t>
  </si>
  <si>
    <t>6.223999977111816</t>
  </si>
  <si>
    <t>6.234000205993652</t>
  </si>
  <si>
    <t>345508000</t>
  </si>
  <si>
    <t>2018-07-13</t>
  </si>
  <si>
    <t>6.173274517059326</t>
  </si>
  <si>
    <t>6.299499988555908</t>
  </si>
  <si>
    <t>6.190499782562256</t>
  </si>
  <si>
    <t>246988000</t>
  </si>
  <si>
    <t>2018-07-16</t>
  </si>
  <si>
    <t>6.145543575286865</t>
  </si>
  <si>
    <t>6.258500099182129</t>
  </si>
  <si>
    <t>6.192500114440918</t>
  </si>
  <si>
    <t>197036000</t>
  </si>
  <si>
    <t>2018-07-17</t>
  </si>
  <si>
    <t>6.2814788818359375</t>
  </si>
  <si>
    <t>6.342249870300293</t>
  </si>
  <si>
    <t>6.357500076293945</t>
  </si>
  <si>
    <t>6.129499912261963</t>
  </si>
  <si>
    <t>6.155250072479248</t>
  </si>
  <si>
    <t>362136000</t>
  </si>
  <si>
    <t>2018-07-18</t>
  </si>
  <si>
    <t>6.232204914093018</t>
  </si>
  <si>
    <t>6.348750114440918</t>
  </si>
  <si>
    <t>6.241000175476074</t>
  </si>
  <si>
    <t>6.334750175476074</t>
  </si>
  <si>
    <t>277640000</t>
  </si>
  <si>
    <t>2018-07-19</t>
  </si>
  <si>
    <t>6.240375518798828</t>
  </si>
  <si>
    <t>6.300749778747559</t>
  </si>
  <si>
    <t>6.273499965667725</t>
  </si>
  <si>
    <t>235752000</t>
  </si>
  <si>
    <t>2018-07-20</t>
  </si>
  <si>
    <t>6.2121500968933105</t>
  </si>
  <si>
    <t>6.272250175476074</t>
  </si>
  <si>
    <t>6.337500095367432</t>
  </si>
  <si>
    <t>6.261250019073486</t>
  </si>
  <si>
    <t>6.298250198364258</t>
  </si>
  <si>
    <t>222352000</t>
  </si>
  <si>
    <t>2018-07-23</t>
  </si>
  <si>
    <t>6.175502300262451</t>
  </si>
  <si>
    <t>6.235249996185303</t>
  </si>
  <si>
    <t>6.247250080108643</t>
  </si>
  <si>
    <t>6.081999778747559</t>
  </si>
  <si>
    <t>6.245500087738037</t>
  </si>
  <si>
    <t>301584000</t>
  </si>
  <si>
    <t>2018-07-24</t>
  </si>
  <si>
    <t>6.1581711769104</t>
  </si>
  <si>
    <t>6.217750072479248</t>
  </si>
  <si>
    <t>6.371250152587891</t>
  </si>
  <si>
    <t>6.199999809265137</t>
  </si>
  <si>
    <t>6.283750057220459</t>
  </si>
  <si>
    <t>354620000</t>
  </si>
  <si>
    <t>2018-07-25</t>
  </si>
  <si>
    <t>6.236413955688477</t>
  </si>
  <si>
    <t>6.309500217437744</t>
  </si>
  <si>
    <t>6.168749809265137</t>
  </si>
  <si>
    <t>6.227250099182129</t>
  </si>
  <si>
    <t>319112000</t>
  </si>
  <si>
    <t>2018-07-26</t>
  </si>
  <si>
    <t>6.309952735900879</t>
  </si>
  <si>
    <t>6.370999813079834</t>
  </si>
  <si>
    <t>6.408249855041504</t>
  </si>
  <si>
    <t>6.259500026702881</t>
  </si>
  <si>
    <t>6.276500225067139</t>
  </si>
  <si>
    <t>325124000</t>
  </si>
  <si>
    <t>2018-07-27</t>
  </si>
  <si>
    <t>6.240128040313721</t>
  </si>
  <si>
    <t>6.30049991607666</t>
  </si>
  <si>
    <t>6.414999961853027</t>
  </si>
  <si>
    <t>6.245999813079834</t>
  </si>
  <si>
    <t>6.4079999923706055</t>
  </si>
  <si>
    <t>295420000</t>
  </si>
  <si>
    <t>2018-07-30</t>
  </si>
  <si>
    <t>6.044768810272217</t>
  </si>
  <si>
    <t>6.103250026702881</t>
  </si>
  <si>
    <t>6.3207502365112305</t>
  </si>
  <si>
    <t>6.3147501945495605</t>
  </si>
  <si>
    <t>340340000</t>
  </si>
  <si>
    <t>2018-07-31</t>
  </si>
  <si>
    <t>6.0628437995910645</t>
  </si>
  <si>
    <t>6.121500015258789</t>
  </si>
  <si>
    <t>6.053500175476074</t>
  </si>
  <si>
    <t>6.092750072479248</t>
  </si>
  <si>
    <t>283988000</t>
  </si>
  <si>
    <t>2018-08-01</t>
  </si>
  <si>
    <t>6.102708339691162</t>
  </si>
  <si>
    <t>6.161749839782715</t>
  </si>
  <si>
    <t>6.209000110626221</t>
  </si>
  <si>
    <t>6.097249984741211</t>
  </si>
  <si>
    <t>6.153250217437744</t>
  </si>
  <si>
    <t>283556000</t>
  </si>
  <si>
    <t>2018-08-02</t>
  </si>
  <si>
    <t>6.205463886260986</t>
  </si>
  <si>
    <t>6.265500068664551</t>
  </si>
  <si>
    <t>6.269499778747559</t>
  </si>
  <si>
    <t>6.030250072479248</t>
  </si>
  <si>
    <t>6.089749813079834</t>
  </si>
  <si>
    <t>269668000</t>
  </si>
  <si>
    <t>2018-08-03</t>
  </si>
  <si>
    <t>6.242109298706055</t>
  </si>
  <si>
    <t>6.302499771118164</t>
  </si>
  <si>
    <t>6.326499938964844</t>
  </si>
  <si>
    <t>6.273250102996826</t>
  </si>
  <si>
    <t>6.290249824523926</t>
  </si>
  <si>
    <t>214288000</t>
  </si>
  <si>
    <t>2018-08-06</t>
  </si>
  <si>
    <t>6.289896011352539</t>
  </si>
  <si>
    <t>6.350749969482422</t>
  </si>
  <si>
    <t>6.354249954223633</t>
  </si>
  <si>
    <t>6.24275016784668</t>
  </si>
  <si>
    <t>6.289750099182129</t>
  </si>
  <si>
    <t>207508000</t>
  </si>
  <si>
    <t>2018-08-07</t>
  </si>
  <si>
    <t>6.362196922302246</t>
  </si>
  <si>
    <t>6.423749923706055</t>
  </si>
  <si>
    <t>6.373000144958496</t>
  </si>
  <si>
    <t>6.400000095367432</t>
  </si>
  <si>
    <t>258132000</t>
  </si>
  <si>
    <t>2018-08-08</t>
  </si>
  <si>
    <t>6.398595809936523</t>
  </si>
  <si>
    <t>6.4604997634887695</t>
  </si>
  <si>
    <t>6.50600004196167</t>
  </si>
  <si>
    <t>6.389750003814697</t>
  </si>
  <si>
    <t>6.425000190734863</t>
  </si>
  <si>
    <t>262100000</t>
  </si>
  <si>
    <t>2018-08-09</t>
  </si>
  <si>
    <t>6.350065231323242</t>
  </si>
  <si>
    <t>6.411499977111816</t>
  </si>
  <si>
    <t>6.403749942779541</t>
  </si>
  <si>
    <t>6.478499889373779</t>
  </si>
  <si>
    <t>204280000</t>
  </si>
  <si>
    <t>2018-08-10</t>
  </si>
  <si>
    <t>6.308714866638184</t>
  </si>
  <si>
    <t>6.369750022888184</t>
  </si>
  <si>
    <t>6.402500152587891</t>
  </si>
  <si>
    <t>6.317500114440918</t>
  </si>
  <si>
    <t>6.328750133514404</t>
  </si>
  <si>
    <t>256396000</t>
  </si>
  <si>
    <t>2018-08-13</t>
  </si>
  <si>
    <t>6.341645240783691</t>
  </si>
  <si>
    <t>6.4029998779296875</t>
  </si>
  <si>
    <t>6.525000095367432</t>
  </si>
  <si>
    <t>6.3767499923706055</t>
  </si>
  <si>
    <t>6.378499984741211</t>
  </si>
  <si>
    <t>375208000</t>
  </si>
  <si>
    <t>2018-08-14</t>
  </si>
  <si>
    <t>6.4731245040893555</t>
  </si>
  <si>
    <t>6.550000190734863</t>
  </si>
  <si>
    <t>6.42549991607666</t>
  </si>
  <si>
    <t>6.509500026702881</t>
  </si>
  <si>
    <t>466220000</t>
  </si>
  <si>
    <t>2018-08-15</t>
  </si>
  <si>
    <t>6.414937973022461</t>
  </si>
  <si>
    <t>6.4770002365112305</t>
  </si>
  <si>
    <t>6.397500038146973</t>
  </si>
  <si>
    <t>6.5567498207092285</t>
  </si>
  <si>
    <t>591136000</t>
  </si>
  <si>
    <t>2018-08-16</t>
  </si>
  <si>
    <t>6.374330520629883</t>
  </si>
  <si>
    <t>6.435999870300293</t>
  </si>
  <si>
    <t>6.375249862670898</t>
  </si>
  <si>
    <t>6.547500133514404</t>
  </si>
  <si>
    <t>801260000</t>
  </si>
  <si>
    <t>2018-08-17</t>
  </si>
  <si>
    <t>6.061854362487793</t>
  </si>
  <si>
    <t>6.120500087738037</t>
  </si>
  <si>
    <t>6.324250221252441</t>
  </si>
  <si>
    <t>6.093249797821045</t>
  </si>
  <si>
    <t>6.323500156402588</t>
  </si>
  <si>
    <t>1143188000</t>
  </si>
  <si>
    <t>2018-08-20</t>
  </si>
  <si>
    <t>6.136630535125732</t>
  </si>
  <si>
    <t>6.196000099182129</t>
  </si>
  <si>
    <t>6.329999923706055</t>
  </si>
  <si>
    <t>5.9679999351501465</t>
  </si>
  <si>
    <t>6.079500198364258</t>
  </si>
  <si>
    <t>854388000</t>
  </si>
  <si>
    <t>2018-08-21</t>
  </si>
  <si>
    <t>6.2723164558410645</t>
  </si>
  <si>
    <t>6.333000183105469</t>
  </si>
  <si>
    <t>6.212500095367432</t>
  </si>
  <si>
    <t>673988000</t>
  </si>
  <si>
    <t>2018-08-22</t>
  </si>
  <si>
    <t>6.507541656494141</t>
  </si>
  <si>
    <t>6.570499897003174</t>
  </si>
  <si>
    <t>6.575500011444092</t>
  </si>
  <si>
    <t>6.296500205993652</t>
  </si>
  <si>
    <t>749856000</t>
  </si>
  <si>
    <t>2018-08-23</t>
  </si>
  <si>
    <t>6.607079029083252</t>
  </si>
  <si>
    <t>6.671000003814697</t>
  </si>
  <si>
    <t>6.736999988555908</t>
  </si>
  <si>
    <t>6.517499923706055</t>
  </si>
  <si>
    <t>6.531499862670898</t>
  </si>
  <si>
    <t>720684000</t>
  </si>
  <si>
    <t>2018-08-24</t>
  </si>
  <si>
    <t>6.740289688110352</t>
  </si>
  <si>
    <t>6.805500030517578</t>
  </si>
  <si>
    <t>6.820250034332275</t>
  </si>
  <si>
    <t>6.675000190734863</t>
  </si>
  <si>
    <t>6.679500102996826</t>
  </si>
  <si>
    <t>531512000</t>
  </si>
  <si>
    <t>2018-08-27</t>
  </si>
  <si>
    <t>6.831408500671387</t>
  </si>
  <si>
    <t>6.897500038146973</t>
  </si>
  <si>
    <t>6.972499847412109</t>
  </si>
  <si>
    <t>6.803750038146973</t>
  </si>
  <si>
    <t>6.8354997634887695</t>
  </si>
  <si>
    <t>505776000</t>
  </si>
  <si>
    <t>2018-08-28</t>
  </si>
  <si>
    <t>6.793771266937256</t>
  </si>
  <si>
    <t>6.859499931335449</t>
  </si>
  <si>
    <t>6.9145002365112305</t>
  </si>
  <si>
    <t>6.738249778747559</t>
  </si>
  <si>
    <t>6.891499996185303</t>
  </si>
  <si>
    <t>475384000</t>
  </si>
  <si>
    <t>2018-08-29</t>
  </si>
  <si>
    <t>6.899310111999512</t>
  </si>
  <si>
    <t>6.962250232696533</t>
  </si>
  <si>
    <t>6.987500190734863</t>
  </si>
  <si>
    <t>6.827000141143799</t>
  </si>
  <si>
    <t>6.8480000495910645</t>
  </si>
  <si>
    <t>420108000</t>
  </si>
  <si>
    <t>2018-08-30</t>
  </si>
  <si>
    <t>6.882464408874512</t>
  </si>
  <si>
    <t>6.945250034332275</t>
  </si>
  <si>
    <t>7.043000221252441</t>
  </si>
  <si>
    <t>6.9079999923706055</t>
  </si>
  <si>
    <t>6.930749893188477</t>
  </si>
  <si>
    <t>346608000</t>
  </si>
  <si>
    <t>2018-08-31</t>
  </si>
  <si>
    <t>6.9535651206970215</t>
  </si>
  <si>
    <t>7.017000198364258</t>
  </si>
  <si>
    <t>7.03000020980835</t>
  </si>
  <si>
    <t>6.914999961853027</t>
  </si>
  <si>
    <t>6.925000190734863</t>
  </si>
  <si>
    <t>306592000</t>
  </si>
  <si>
    <t>2018-09-04</t>
  </si>
  <si>
    <t>7.028383255004883</t>
  </si>
  <si>
    <t>7.09250020980835</t>
  </si>
  <si>
    <t>7.130499839782715</t>
  </si>
  <si>
    <t>6.974999904632568</t>
  </si>
  <si>
    <t>7.003749847412109</t>
  </si>
  <si>
    <t>391720000</t>
  </si>
  <si>
    <t>2018-09-05</t>
  </si>
  <si>
    <t>6.897574424743652</t>
  </si>
  <si>
    <t>6.9604997634887695</t>
  </si>
  <si>
    <t>7.110499858856201</t>
  </si>
  <si>
    <t>6.878749847412109</t>
  </si>
  <si>
    <t>7.074749946594238</t>
  </si>
  <si>
    <t>393156000</t>
  </si>
  <si>
    <t>2018-09-06</t>
  </si>
  <si>
    <t>6.756363391876221</t>
  </si>
  <si>
    <t>6.817999839782715</t>
  </si>
  <si>
    <t>6.946499824523926</t>
  </si>
  <si>
    <t>6.784749984741211</t>
  </si>
  <si>
    <t>6.943999767303467</t>
  </si>
  <si>
    <t>322796000</t>
  </si>
  <si>
    <t>2018-09-07</t>
  </si>
  <si>
    <t>6.735057830810547</t>
  </si>
  <si>
    <t>6.796500205993652</t>
  </si>
  <si>
    <t>6.923250198364258</t>
  </si>
  <si>
    <t>6.679749965667725</t>
  </si>
  <si>
    <t>6.724999904632568</t>
  </si>
  <si>
    <t>2018-09-10</t>
  </si>
  <si>
    <t>6.806159019470215</t>
  </si>
  <si>
    <t>6.868249893188477</t>
  </si>
  <si>
    <t>6.898250102996826</t>
  </si>
  <si>
    <t>6.775000095367432</t>
  </si>
  <si>
    <t>6.819250106811523</t>
  </si>
  <si>
    <t>220140000</t>
  </si>
  <si>
    <t>2018-09-11</t>
  </si>
  <si>
    <t>6.758344650268555</t>
  </si>
  <si>
    <t>6.820000171661377</t>
  </si>
  <si>
    <t>6.909999847412109</t>
  </si>
  <si>
    <t>6.80049991607666</t>
  </si>
  <si>
    <t>6.821499824523926</t>
  </si>
  <si>
    <t>243112000</t>
  </si>
  <si>
    <t>2018-09-12</t>
  </si>
  <si>
    <t>6.644384860992432</t>
  </si>
  <si>
    <t>6.704999923706055</t>
  </si>
  <si>
    <t>6.799499988555908</t>
  </si>
  <si>
    <t>6.547999858856201</t>
  </si>
  <si>
    <t>6.779749870300293</t>
  </si>
  <si>
    <t>419092000</t>
  </si>
  <si>
    <t>2018-09-13</t>
  </si>
  <si>
    <t>6.7221760749816895</t>
  </si>
  <si>
    <t>6.7835001945495605</t>
  </si>
  <si>
    <t>6.875</t>
  </si>
  <si>
    <t>6.754000186920166</t>
  </si>
  <si>
    <t>6.771500110626221</t>
  </si>
  <si>
    <t>305536000</t>
  </si>
  <si>
    <t>2018-09-14</t>
  </si>
  <si>
    <t>6.848274230957031</t>
  </si>
  <si>
    <t>6.910749912261963</t>
  </si>
  <si>
    <t>6.977499961853027</t>
  </si>
  <si>
    <t>6.837500095367432</t>
  </si>
  <si>
    <t>6.874750137329102</t>
  </si>
  <si>
    <t>386936000</t>
  </si>
  <si>
    <t>2018-09-17</t>
  </si>
  <si>
    <t>6.78633975982666</t>
  </si>
  <si>
    <t>6.848249912261963</t>
  </si>
  <si>
    <t>6.934500217437744</t>
  </si>
  <si>
    <t>6.828750133514404</t>
  </si>
  <si>
    <t>6.885000228881836</t>
  </si>
  <si>
    <t>205528000</t>
  </si>
  <si>
    <t>2018-09-18</t>
  </si>
  <si>
    <t>6.714247226715088</t>
  </si>
  <si>
    <t>6.7754998207092285</t>
  </si>
  <si>
    <t>6.955999851226807</t>
  </si>
  <si>
    <t>6.768750190734863</t>
  </si>
  <si>
    <t>6.852250099182129</t>
  </si>
  <si>
    <t>299520000</t>
  </si>
  <si>
    <t>2018-09-19</t>
  </si>
  <si>
    <t>6.738030910491943</t>
  </si>
  <si>
    <t>6.817500114440918</t>
  </si>
  <si>
    <t>6.706250190734863</t>
  </si>
  <si>
    <t>6.756750106811523</t>
  </si>
  <si>
    <t>224860000</t>
  </si>
  <si>
    <t>2018-09-20</t>
  </si>
  <si>
    <t>6.596817970275879</t>
  </si>
  <si>
    <t>6.6570000648498535</t>
  </si>
  <si>
    <t>6.718999862670898</t>
  </si>
  <si>
    <t>6.602499961853027</t>
  </si>
  <si>
    <t>6.676249980926514</t>
  </si>
  <si>
    <t>430584000</t>
  </si>
  <si>
    <t>2018-09-21</t>
  </si>
  <si>
    <t>6.526707649230957</t>
  </si>
  <si>
    <t>6.715000152587891</t>
  </si>
  <si>
    <t>6.552750110626221</t>
  </si>
  <si>
    <t>6.669000148773193</t>
  </si>
  <si>
    <t>435128000</t>
  </si>
  <si>
    <t>2018-09-24</t>
  </si>
  <si>
    <t>6.582449913024902</t>
  </si>
  <si>
    <t>6.642499923706055</t>
  </si>
  <si>
    <t>6.645999908447266</t>
  </si>
  <si>
    <t>6.4670000076293945</t>
  </si>
  <si>
    <t>6.554999828338623</t>
  </si>
  <si>
    <t>293912000</t>
  </si>
  <si>
    <t>2018-09-25</t>
  </si>
  <si>
    <t>6.649587154388428</t>
  </si>
  <si>
    <t>6.710249900817871</t>
  </si>
  <si>
    <t>6.735499858856201</t>
  </si>
  <si>
    <t>6.6227498054504395</t>
  </si>
  <si>
    <t>6.709249973297119</t>
  </si>
  <si>
    <t>280388000</t>
  </si>
  <si>
    <t>2018-09-26</t>
  </si>
  <si>
    <t>6.612675189971924</t>
  </si>
  <si>
    <t>6.672999858856201</t>
  </si>
  <si>
    <t>6.75600004196167</t>
  </si>
  <si>
    <t>6.715250015258789</t>
  </si>
  <si>
    <t>268548000</t>
  </si>
  <si>
    <t>2018-09-27</t>
  </si>
  <si>
    <t>6.624565601348877</t>
  </si>
  <si>
    <t>6.684999942779541</t>
  </si>
  <si>
    <t>6.653250217437744</t>
  </si>
  <si>
    <t>6.708499908447266</t>
  </si>
  <si>
    <t>214428000</t>
  </si>
  <si>
    <t>2018-09-28</t>
  </si>
  <si>
    <t>6.961987018585205</t>
  </si>
  <si>
    <t>7.0254998207092285</t>
  </si>
  <si>
    <t>7.047999858856201</t>
  </si>
  <si>
    <t>6.789999961853027</t>
  </si>
  <si>
    <t>6.8182501792907715</t>
  </si>
  <si>
    <t>709396000</t>
  </si>
  <si>
    <t>2018-10-01</t>
  </si>
  <si>
    <t>7.16860294342041</t>
  </si>
  <si>
    <t>7.234000205993652</t>
  </si>
  <si>
    <t>7.301499843597412</t>
  </si>
  <si>
    <t>7.065000057220459</t>
  </si>
  <si>
    <t>7.104000091552734</t>
  </si>
  <si>
    <t>622060000</t>
  </si>
  <si>
    <t>2018-10-02</t>
  </si>
  <si>
    <t>7.097254276275635</t>
  </si>
  <si>
    <t>7.1620001792907715</t>
  </si>
  <si>
    <t>7.318999767303467</t>
  </si>
  <si>
    <t>7.139500141143799</t>
  </si>
  <si>
    <t>7.206250190734863</t>
  </si>
  <si>
    <t>383964000</t>
  </si>
  <si>
    <t>2018-10-03</t>
  </si>
  <si>
    <t>7.103446960449219</t>
  </si>
  <si>
    <t>7.16825008392334</t>
  </si>
  <si>
    <t>7.240499973297119</t>
  </si>
  <si>
    <t>7.0632500648498535</t>
  </si>
  <si>
    <t>7.232999801635742</t>
  </si>
  <si>
    <t>320552000</t>
  </si>
  <si>
    <t>2018-10-04</t>
  </si>
  <si>
    <t>6.91912841796875</t>
  </si>
  <si>
    <t>6.982250213623047</t>
  </si>
  <si>
    <t>7.15625</t>
  </si>
  <si>
    <t>6.9045000076293945</t>
  </si>
  <si>
    <t>7.131750106811523</t>
  </si>
  <si>
    <t>391220000</t>
  </si>
  <si>
    <t>2018-10-05</t>
  </si>
  <si>
    <t>6.6855082511901855</t>
  </si>
  <si>
    <t>6.746500015258789</t>
  </si>
  <si>
    <t>7.019999980926514</t>
  </si>
  <si>
    <t>6.688499927520752</t>
  </si>
  <si>
    <t>6.957250118255615</t>
  </si>
  <si>
    <t>426636000</t>
  </si>
  <si>
    <t>2018-10-08</t>
  </si>
  <si>
    <t>6.584183216094971</t>
  </si>
  <si>
    <t>6.64424991607666</t>
  </si>
  <si>
    <t>6.7789998054504395</t>
  </si>
  <si>
    <t>6.501999855041504</t>
  </si>
  <si>
    <t>6.662499904632568</t>
  </si>
  <si>
    <t>408612000</t>
  </si>
  <si>
    <t>2018-10-09</t>
  </si>
  <si>
    <t>6.578486919403076</t>
  </si>
  <si>
    <t>6.638500213623047</t>
  </si>
  <si>
    <t>6.570000171661377</t>
  </si>
  <si>
    <t>6.623499870300293</t>
  </si>
  <si>
    <t>273500000</t>
  </si>
  <si>
    <t>2018-10-10</t>
  </si>
  <si>
    <t>6.086723327636719</t>
  </si>
  <si>
    <t>6.142250061035156</t>
  </si>
  <si>
    <t>6.577750205993652</t>
  </si>
  <si>
    <t>6.139999866485596</t>
  </si>
  <si>
    <t>684940000</t>
  </si>
  <si>
    <t>2018-10-11</t>
  </si>
  <si>
    <t>5.825109481811523</t>
  </si>
  <si>
    <t>5.8782501220703125</t>
  </si>
  <si>
    <t>6.189000129699707</t>
  </si>
  <si>
    <t>5.856500148773193</t>
  </si>
  <si>
    <t>6.0542497634887695</t>
  </si>
  <si>
    <t>725436000</t>
  </si>
  <si>
    <t>2018-10-12</t>
  </si>
  <si>
    <t>6.107780456542969</t>
  </si>
  <si>
    <t>6.16349983215332</t>
  </si>
  <si>
    <t>6.238500118255615</t>
  </si>
  <si>
    <t>5.991250038146973</t>
  </si>
  <si>
    <t>6.137750148773193</t>
  </si>
  <si>
    <t>608236000</t>
  </si>
  <si>
    <t>2018-10-15</t>
  </si>
  <si>
    <t>5.831302642822266</t>
  </si>
  <si>
    <t>5.884500026702881</t>
  </si>
  <si>
    <t>5.883500099182129</t>
  </si>
  <si>
    <t>449760000</t>
  </si>
  <si>
    <t>2018-10-16</t>
  </si>
  <si>
    <t>6.090190887451172</t>
  </si>
  <si>
    <t>6.145750045776367</t>
  </si>
  <si>
    <t>6.1570000648498535</t>
  </si>
  <si>
    <t>5.948500156402588</t>
  </si>
  <si>
    <t>5.9982500076293945</t>
  </si>
  <si>
    <t>408712000</t>
  </si>
  <si>
    <t>2018-10-17</t>
  </si>
  <si>
    <t>6.021566390991211</t>
  </si>
  <si>
    <t>6.076499938964844</t>
  </si>
  <si>
    <t>6.0269999504089355</t>
  </si>
  <si>
    <t>6.208499908447266</t>
  </si>
  <si>
    <t>329668000</t>
  </si>
  <si>
    <t>2018-10-18</t>
  </si>
  <si>
    <t>5.9341139793396</t>
  </si>
  <si>
    <t>5.988249778747559</t>
  </si>
  <si>
    <t>6.1852498054504395</t>
  </si>
  <si>
    <t>5.927249908447266</t>
  </si>
  <si>
    <t>6.146500110626221</t>
  </si>
  <si>
    <t>524020000</t>
  </si>
  <si>
    <t>2018-10-19</t>
  </si>
  <si>
    <t>5.677455902099609</t>
  </si>
  <si>
    <t>5.729249954223633</t>
  </si>
  <si>
    <t>6.06374979019165</t>
  </si>
  <si>
    <t>5.692500114440918</t>
  </si>
  <si>
    <t>6.044000148773193</t>
  </si>
  <si>
    <t>613608000</t>
  </si>
  <si>
    <t>2018-10-22</t>
  </si>
  <si>
    <t>5.728242874145508</t>
  </si>
  <si>
    <t>5.7804999351501465</t>
  </si>
  <si>
    <t>5.676750183105469</t>
  </si>
  <si>
    <t>5.7820000648498535</t>
  </si>
  <si>
    <t>368844000</t>
  </si>
  <si>
    <t>2018-10-23</t>
  </si>
  <si>
    <t>5.476539134979248</t>
  </si>
  <si>
    <t>5.526500225067139</t>
  </si>
  <si>
    <t>5.604750156402588</t>
  </si>
  <si>
    <t>5.417749881744385</t>
  </si>
  <si>
    <t>5.510749816894531</t>
  </si>
  <si>
    <t>626436000</t>
  </si>
  <si>
    <t>2018-10-24</t>
  </si>
  <si>
    <t>4.940182209014893</t>
  </si>
  <si>
    <t>4.985249996185303</t>
  </si>
  <si>
    <t>5.534749984741211</t>
  </si>
  <si>
    <t>4.971250057220459</t>
  </si>
  <si>
    <t>5.487750053405762</t>
  </si>
  <si>
    <t>884288000</t>
  </si>
  <si>
    <t>2018-10-25</t>
  </si>
  <si>
    <t>5.149027347564697</t>
  </si>
  <si>
    <t>5.196000099182129</t>
  </si>
  <si>
    <t>5.243750095367432</t>
  </si>
  <si>
    <t>4.8420000076293945</t>
  </si>
  <si>
    <t>4.886750221252441</t>
  </si>
  <si>
    <t>951720000</t>
  </si>
  <si>
    <t>2018-10-26</t>
  </si>
  <si>
    <t>4.912435054779053</t>
  </si>
  <si>
    <t>4.957250118255615</t>
  </si>
  <si>
    <t>5.120999813079834</t>
  </si>
  <si>
    <t>4.828000068664551</t>
  </si>
  <si>
    <t>4.957749843597412</t>
  </si>
  <si>
    <t>664784000</t>
  </si>
  <si>
    <t>2018-10-29</t>
  </si>
  <si>
    <t>4.59854793548584</t>
  </si>
  <si>
    <t>4.640500068664551</t>
  </si>
  <si>
    <t>5.103250026702881</t>
  </si>
  <si>
    <t>4.40024995803833</t>
  </si>
  <si>
    <t>5.09975004196167</t>
  </si>
  <si>
    <t>758016000</t>
  </si>
  <si>
    <t>2018-10-30</t>
  </si>
  <si>
    <t>5.029121398925781</t>
  </si>
  <si>
    <t>5.074999809265137</t>
  </si>
  <si>
    <t>5.085000038146973</t>
  </si>
  <si>
    <t>4.663750171661377</t>
  </si>
  <si>
    <t>807192000</t>
  </si>
  <si>
    <t>2018-10-31</t>
  </si>
  <si>
    <t>5.2231011390686035</t>
  </si>
  <si>
    <t>5.270750045776367</t>
  </si>
  <si>
    <t>5.3147501945495605</t>
  </si>
  <si>
    <t>5.100249767303467</t>
  </si>
  <si>
    <t>5.241250038146973</t>
  </si>
  <si>
    <t>745772000</t>
  </si>
  <si>
    <t>2018-11-01</t>
  </si>
  <si>
    <t>5.403456211090088</t>
  </si>
  <si>
    <t>5.452750205993652</t>
  </si>
  <si>
    <t>5.179749965667725</t>
  </si>
  <si>
    <t>5.307499885559082</t>
  </si>
  <si>
    <t>566528000</t>
  </si>
  <si>
    <t>2018-11-02</t>
  </si>
  <si>
    <t>5.324426174163818</t>
  </si>
  <si>
    <t>5.373000144958496</t>
  </si>
  <si>
    <t>5.255249977111816</t>
  </si>
  <si>
    <t>5.4432501792907715</t>
  </si>
  <si>
    <t>452960000</t>
  </si>
  <si>
    <t>2018-11-05</t>
  </si>
  <si>
    <t>5.246389865875244</t>
  </si>
  <si>
    <t>5.294250011444092</t>
  </si>
  <si>
    <t>5.3832502365112305</t>
  </si>
  <si>
    <t>5.131999969482422</t>
  </si>
  <si>
    <t>5.359749794006348</t>
  </si>
  <si>
    <t>379332000</t>
  </si>
  <si>
    <t>2018-11-06</t>
  </si>
  <si>
    <t>5.228800296783447</t>
  </si>
  <si>
    <t>5.276500225067139</t>
  </si>
  <si>
    <t>5.371250152587891</t>
  </si>
  <si>
    <t>5.238999843597412</t>
  </si>
  <si>
    <t>5.286250114440918</t>
  </si>
  <si>
    <t>299012000</t>
  </si>
  <si>
    <t>2018-11-07</t>
  </si>
  <si>
    <t>5.296431064605713</t>
  </si>
  <si>
    <t>5.344749927520752</t>
  </si>
  <si>
    <t>5.4352498054504395</t>
  </si>
  <si>
    <t>5.2795000076293945</t>
  </si>
  <si>
    <t>5.34375</t>
  </si>
  <si>
    <t>483812000</t>
  </si>
  <si>
    <t>2018-11-08</t>
  </si>
  <si>
    <t>5.103194236755371</t>
  </si>
  <si>
    <t>5.149750232696533</t>
  </si>
  <si>
    <t>5.285749912261963</t>
  </si>
  <si>
    <t>5.095749855041504</t>
  </si>
  <si>
    <t>5.284999847412109</t>
  </si>
  <si>
    <t>511352000</t>
  </si>
  <si>
    <t>2018-11-09</t>
  </si>
  <si>
    <t>5.095266819000244</t>
  </si>
  <si>
    <t>5.141749858856201</t>
  </si>
  <si>
    <t>5.232999801635742</t>
  </si>
  <si>
    <t>5.026000022888184</t>
  </si>
  <si>
    <t>5.059999942779541</t>
  </si>
  <si>
    <t>413240000</t>
  </si>
  <si>
    <t>2018-11-12</t>
  </si>
  <si>
    <t>4.695662021636963</t>
  </si>
  <si>
    <t>4.738500118255615</t>
  </si>
  <si>
    <t>5.071750164031982</t>
  </si>
  <si>
    <t>4.7164998054504395</t>
  </si>
  <si>
    <t>5.049499988555908</t>
  </si>
  <si>
    <t>617116000</t>
  </si>
  <si>
    <t>2018-11-13</t>
  </si>
  <si>
    <t>4.937705039978027</t>
  </si>
  <si>
    <t>4.982749938964844</t>
  </si>
  <si>
    <t>5.105249881744385</t>
  </si>
  <si>
    <t>4.830999851226807</t>
  </si>
  <si>
    <t>4.837250232696533</t>
  </si>
  <si>
    <t>644712000</t>
  </si>
  <si>
    <t>2018-11-14</t>
  </si>
  <si>
    <t>4.885182857513428</t>
  </si>
  <si>
    <t>4.929749965667725</t>
  </si>
  <si>
    <t>5.171999931335449</t>
  </si>
  <si>
    <t>4.8207502365112305</t>
  </si>
  <si>
    <t>5.15749979019165</t>
  </si>
  <si>
    <t>526580000</t>
  </si>
  <si>
    <t>2018-11-15</t>
  </si>
  <si>
    <t>5.014008522033691</t>
  </si>
  <si>
    <t>5.059750080108643</t>
  </si>
  <si>
    <t>5.132500171661377</t>
  </si>
  <si>
    <t>4.887499809265137</t>
  </si>
  <si>
    <t>4.923749923706055</t>
  </si>
  <si>
    <t>840708000</t>
  </si>
  <si>
    <t>2018-11-16</t>
  </si>
  <si>
    <t>4.073587894439697</t>
  </si>
  <si>
    <t>4.110750198364258</t>
  </si>
  <si>
    <t>4.266499996185303</t>
  </si>
  <si>
    <t>4.040249824523926</t>
  </si>
  <si>
    <t>4.083000183105469</t>
  </si>
  <si>
    <t>1963520000</t>
  </si>
  <si>
    <t>2018-11-19</t>
  </si>
  <si>
    <t>3.584796905517578</t>
  </si>
  <si>
    <t>3.617500066757202</t>
  </si>
  <si>
    <t>4.045499801635742</t>
  </si>
  <si>
    <t>3.6157500743865967</t>
  </si>
  <si>
    <t>4.044750213623047</t>
  </si>
  <si>
    <t>1697820000</t>
  </si>
  <si>
    <t>2018-11-20</t>
  </si>
  <si>
    <t>3.6933069229125977</t>
  </si>
  <si>
    <t>3.7269999980926514</t>
  </si>
  <si>
    <t>3.8564999103546143</t>
  </si>
  <si>
    <t>3.332750082015991</t>
  </si>
  <si>
    <t>3.3515000343322754</t>
  </si>
  <si>
    <t>1692032000</t>
  </si>
  <si>
    <t>2018-11-21</t>
  </si>
  <si>
    <t>3.5850448608398438</t>
  </si>
  <si>
    <t>3.6177499294281006</t>
  </si>
  <si>
    <t>3.882499933242798</t>
  </si>
  <si>
    <t>3.590250015258789</t>
  </si>
  <si>
    <t>3.865499973297119</t>
  </si>
  <si>
    <t>1025496000</t>
  </si>
  <si>
    <t>2018-11-23</t>
  </si>
  <si>
    <t>3.592228889465332</t>
  </si>
  <si>
    <t>3.625</t>
  </si>
  <si>
    <t>3.7397499084472656</t>
  </si>
  <si>
    <t>3.5697500705718994</t>
  </si>
  <si>
    <t>3.582750082015991</t>
  </si>
  <si>
    <t>411968000</t>
  </si>
  <si>
    <t>2018-11-26</t>
  </si>
  <si>
    <t>3.7916600704193115</t>
  </si>
  <si>
    <t>3.8262500762939453</t>
  </si>
  <si>
    <t>3.836750030517578</t>
  </si>
  <si>
    <t>3.6640000343322754</t>
  </si>
  <si>
    <t>3.7472500801086426</t>
  </si>
  <si>
    <t>814832000</t>
  </si>
  <si>
    <t>2018-11-27</t>
  </si>
  <si>
    <t>3.8085060119628906</t>
  </si>
  <si>
    <t>3.843250036239624</t>
  </si>
  <si>
    <t>3.9252500534057617</t>
  </si>
  <si>
    <t>3.7637500762939453</t>
  </si>
  <si>
    <t>3.799999952316284</t>
  </si>
  <si>
    <t>738060000</t>
  </si>
  <si>
    <t>2018-11-28</t>
  </si>
  <si>
    <t>3.9655730724334717</t>
  </si>
  <si>
    <t>4.0017499923706055</t>
  </si>
  <si>
    <t>4.006999969482422</t>
  </si>
  <si>
    <t>3.828249931335449</t>
  </si>
  <si>
    <t>3.9619998931884766</t>
  </si>
  <si>
    <t>804524000</t>
  </si>
  <si>
    <t>2018-11-29</t>
  </si>
  <si>
    <t>3.902336359024048</t>
  </si>
  <si>
    <t>3.934000015258789</t>
  </si>
  <si>
    <t>4.037499904632568</t>
  </si>
  <si>
    <t>3.9035000801086426</t>
  </si>
  <si>
    <t>4.0</t>
  </si>
  <si>
    <t>549172000</t>
  </si>
  <si>
    <t>2018-11-30</t>
  </si>
  <si>
    <t>4.052865028381348</t>
  </si>
  <si>
    <t>4.085750102996826</t>
  </si>
  <si>
    <t>4.096499919891357</t>
  </si>
  <si>
    <t>3.8929998874664307</t>
  </si>
  <si>
    <t>3.9437499046325684</t>
  </si>
  <si>
    <t>729564000</t>
  </si>
  <si>
    <t>2018-12-03</t>
  </si>
  <si>
    <t>4.216783046722412</t>
  </si>
  <si>
    <t>4.250999927520752</t>
  </si>
  <si>
    <t>4.367000102996826</t>
  </si>
  <si>
    <t>4.183499813079834</t>
  </si>
  <si>
    <t>4.315000057220459</t>
  </si>
  <si>
    <t>890804000</t>
  </si>
  <si>
    <t>2018-12-04</t>
  </si>
  <si>
    <t>3.8961360454559326</t>
  </si>
  <si>
    <t>3.9277501106262207</t>
  </si>
  <si>
    <t>4.210999965667725</t>
  </si>
  <si>
    <t>3.9124999046325684</t>
  </si>
  <si>
    <t>4.205999851226807</t>
  </si>
  <si>
    <t>812112000</t>
  </si>
  <si>
    <t>2018-12-06</t>
  </si>
  <si>
    <t>3.925398826599121</t>
  </si>
  <si>
    <t>3.9572501182556152</t>
  </si>
  <si>
    <t>3.962249994277954</t>
  </si>
  <si>
    <t>3.770250082015991</t>
  </si>
  <si>
    <t>3.7860000133514404</t>
  </si>
  <si>
    <t>692308000</t>
  </si>
  <si>
    <t>2018-12-07</t>
  </si>
  <si>
    <t>3.660548448562622</t>
  </si>
  <si>
    <t>3.6902499198913574</t>
  </si>
  <si>
    <t>3.971750020980835</t>
  </si>
  <si>
    <t>3.640500068664551</t>
  </si>
  <si>
    <t>3.9614999294281006</t>
  </si>
  <si>
    <t>681676000</t>
  </si>
  <si>
    <t>2018-12-10</t>
  </si>
  <si>
    <t>3.7659428119659424</t>
  </si>
  <si>
    <t>3.7964999675750732</t>
  </si>
  <si>
    <t>3.821500062942505</t>
  </si>
  <si>
    <t>3.641249895095825</t>
  </si>
  <si>
    <t>3.6449999809265137</t>
  </si>
  <si>
    <t>629472000</t>
  </si>
  <si>
    <t>2018-12-11</t>
  </si>
  <si>
    <t>3.674931287765503</t>
  </si>
  <si>
    <t>3.7047500610351562</t>
  </si>
  <si>
    <t>3.897249937057495</t>
  </si>
  <si>
    <t>3.8889999389648438</t>
  </si>
  <si>
    <t>671912000</t>
  </si>
  <si>
    <t>2018-12-12</t>
  </si>
  <si>
    <t>3.692538261413574</t>
  </si>
  <si>
    <t>3.7225000858306885</t>
  </si>
  <si>
    <t>3.819499969482422</t>
  </si>
  <si>
    <t>3.620500087738037</t>
  </si>
  <si>
    <t>3.7105000019073486</t>
  </si>
  <si>
    <t>654136000</t>
  </si>
  <si>
    <t>2018-12-13</t>
  </si>
  <si>
    <t>3.6922900676727295</t>
  </si>
  <si>
    <t>3.722249984741211</t>
  </si>
  <si>
    <t>3.8345000743865967</t>
  </si>
  <si>
    <t>3.686000108718872</t>
  </si>
  <si>
    <t>3.7697501182556152</t>
  </si>
  <si>
    <t>471384000</t>
  </si>
  <si>
    <t>2018-12-14</t>
  </si>
  <si>
    <t>3.6317813396453857</t>
  </si>
  <si>
    <t>3.661250114440918</t>
  </si>
  <si>
    <t>3.7647500038146973</t>
  </si>
  <si>
    <t>3.637500047683716</t>
  </si>
  <si>
    <t>3.6802499294281006</t>
  </si>
  <si>
    <t>471820000</t>
  </si>
  <si>
    <t>2018-12-17</t>
  </si>
  <si>
    <t>3.5606088638305664</t>
  </si>
  <si>
    <t>3.5894999504089355</t>
  </si>
  <si>
    <t>3.703749895095825</t>
  </si>
  <si>
    <t>3.5309998989105225</t>
  </si>
  <si>
    <t>3.63100004196167</t>
  </si>
  <si>
    <t>662868000</t>
  </si>
  <si>
    <t>2018-12-18</t>
  </si>
  <si>
    <t>3.643933057785034</t>
  </si>
  <si>
    <t>3.6735000610351562</t>
  </si>
  <si>
    <t>3.7582499980926514</t>
  </si>
  <si>
    <t>3.606250047683716</t>
  </si>
  <si>
    <t>3.6337499618530273</t>
  </si>
  <si>
    <t>564372000</t>
  </si>
  <si>
    <t>2018-12-19</t>
  </si>
  <si>
    <t>3.434878349304199</t>
  </si>
  <si>
    <t>3.46274995803833</t>
  </si>
  <si>
    <t>3.69350004196167</t>
  </si>
  <si>
    <t>3.410749912261963</t>
  </si>
  <si>
    <t>3.6394999027252197</t>
  </si>
  <si>
    <t>745364000</t>
  </si>
  <si>
    <t>2018-12-20</t>
  </si>
  <si>
    <t>3.350315570831299</t>
  </si>
  <si>
    <t>3.377500057220459</t>
  </si>
  <si>
    <t>3.5450000762939453</t>
  </si>
  <si>
    <t>3.3172500133514404</t>
  </si>
  <si>
    <t>3.4542500972747803</t>
  </si>
  <si>
    <t>749588000</t>
  </si>
  <si>
    <t>2018-12-21</t>
  </si>
  <si>
    <t>3.2131781578063965</t>
  </si>
  <si>
    <t>3.2392499446868896</t>
  </si>
  <si>
    <t>3.4375</t>
  </si>
  <si>
    <t>3.2114999294281006</t>
  </si>
  <si>
    <t>3.404249906539917</t>
  </si>
  <si>
    <t>863740000</t>
  </si>
  <si>
    <t>2018-12-24</t>
  </si>
  <si>
    <t>3.1514296531677246</t>
  </si>
  <si>
    <t>3.177000045776367</t>
  </si>
  <si>
    <t>3.249500036239624</t>
  </si>
  <si>
    <t>3.112499952316284</t>
  </si>
  <si>
    <t>3.16225004196167</t>
  </si>
  <si>
    <t>463840000</t>
  </si>
  <si>
    <t>2018-12-26</t>
  </si>
  <si>
    <t>3.3007185459136963</t>
  </si>
  <si>
    <t>3.327500104904175</t>
  </si>
  <si>
    <t>3.3285000324249268</t>
  </si>
  <si>
    <t>3.1115000247955322</t>
  </si>
  <si>
    <t>3.2235000133514404</t>
  </si>
  <si>
    <t>695100000</t>
  </si>
  <si>
    <t>2018-12-27</t>
  </si>
  <si>
    <t>3.2528555393218994</t>
  </si>
  <si>
    <t>3.279249906539917</t>
  </si>
  <si>
    <t>3.309499979019165</t>
  </si>
  <si>
    <t>3.129499912261963</t>
  </si>
  <si>
    <t>3.274749994277954</t>
  </si>
  <si>
    <t>637044000</t>
  </si>
  <si>
    <t>2018-12-28</t>
  </si>
  <si>
    <t>3.314357280731201</t>
  </si>
  <si>
    <t>3.341249942779541</t>
  </si>
  <si>
    <t>3.4347500801086426</t>
  </si>
  <si>
    <t>3.2577500343322754</t>
  </si>
  <si>
    <t>3.299999952316284</t>
  </si>
  <si>
    <t>628728000</t>
  </si>
  <si>
    <t>2018-12-31</t>
  </si>
  <si>
    <t>3.3106377124786377</t>
  </si>
  <si>
    <t>3.3375000953674316</t>
  </si>
  <si>
    <t>3.4177498817443848</t>
  </si>
  <si>
    <t>3.30649995803833</t>
  </si>
  <si>
    <t>3.384999990463257</t>
  </si>
  <si>
    <t>465140000</t>
  </si>
  <si>
    <t>2019-01-02</t>
  </si>
  <si>
    <t>3.378089666366577</t>
  </si>
  <si>
    <t>3.4054999351501465</t>
  </si>
  <si>
    <t>3.4619998931884766</t>
  </si>
  <si>
    <t>3.2512500286102295</t>
  </si>
  <si>
    <t>3.2660000324249268</t>
  </si>
  <si>
    <t>508752000</t>
  </si>
  <si>
    <t>2019-01-03</t>
  </si>
  <si>
    <t>3.1739962100982666</t>
  </si>
  <si>
    <t>3.1997499465942383</t>
  </si>
  <si>
    <t>3.378999948501587</t>
  </si>
  <si>
    <t>3.1922500133514404</t>
  </si>
  <si>
    <t>3.344749927520752</t>
  </si>
  <si>
    <t>705552000</t>
  </si>
  <si>
    <t>2019-01-04</t>
  </si>
  <si>
    <t>3.3773462772369385</t>
  </si>
  <si>
    <t>3.404750108718872</t>
  </si>
  <si>
    <t>3.4432499408721924</t>
  </si>
  <si>
    <t>3.242500066757202</t>
  </si>
  <si>
    <t>3.2734999656677246</t>
  </si>
  <si>
    <t>585620000</t>
  </si>
  <si>
    <t>2019-01-07</t>
  </si>
  <si>
    <t>3.556145191192627</t>
  </si>
  <si>
    <t>3.5850000381469727</t>
  </si>
  <si>
    <t>3.6222500801086426</t>
  </si>
  <si>
    <t>3.4625000953674316</t>
  </si>
  <si>
    <t>709160000</t>
  </si>
  <si>
    <t>2019-01-08</t>
  </si>
  <si>
    <t>3.467613935470581</t>
  </si>
  <si>
    <t>3.4957499504089355</t>
  </si>
  <si>
    <t>3.6695001125335693</t>
  </si>
  <si>
    <t>3.422499895095825</t>
  </si>
  <si>
    <t>3.667249917984009</t>
  </si>
  <si>
    <t>786016000</t>
  </si>
  <si>
    <t>2019-01-09</t>
  </si>
  <si>
    <t>3.5358104705810547</t>
  </si>
  <si>
    <t>3.564500093460083</t>
  </si>
  <si>
    <t>3.6122500896453857</t>
  </si>
  <si>
    <t>3.496500015258789</t>
  </si>
  <si>
    <t>3.547499895095825</t>
  </si>
  <si>
    <t>617260000</t>
  </si>
  <si>
    <t>2019-01-10</t>
  </si>
  <si>
    <t>3.6015264987945557</t>
  </si>
  <si>
    <t>3.6307499408721924</t>
  </si>
  <si>
    <t>3.4839999675750732</t>
  </si>
  <si>
    <t>523156000</t>
  </si>
  <si>
    <t>2019-01-11</t>
  </si>
  <si>
    <t>3.690802574157715</t>
  </si>
  <si>
    <t>3.720750093460083</t>
  </si>
  <si>
    <t>3.7437500953674316</t>
  </si>
  <si>
    <t>3.5802500247955322</t>
  </si>
  <si>
    <t>3.6082499027252197</t>
  </si>
  <si>
    <t>874764000</t>
  </si>
  <si>
    <t>2019-01-14</t>
  </si>
  <si>
    <t>3.730729103088379</t>
  </si>
  <si>
    <t>3.760999917984009</t>
  </si>
  <si>
    <t>3.7864999771118164</t>
  </si>
  <si>
    <t>3.64424991607666</t>
  </si>
  <si>
    <t>3.6679999828338623</t>
  </si>
  <si>
    <t>730168000</t>
  </si>
  <si>
    <t>2019-01-15</t>
  </si>
  <si>
    <t>3.7165935039520264</t>
  </si>
  <si>
    <t>3.7467501163482666</t>
  </si>
  <si>
    <t>3.833750009536743</t>
  </si>
  <si>
    <t>3.728250026702881</t>
  </si>
  <si>
    <t>3.7939999103546143</t>
  </si>
  <si>
    <t>617012000</t>
  </si>
  <si>
    <t>2019-01-16</t>
  </si>
  <si>
    <t>3.6910507678985596</t>
  </si>
  <si>
    <t>3.7209999561309814</t>
  </si>
  <si>
    <t>3.807499885559082</t>
  </si>
  <si>
    <t>3.7155001163482666</t>
  </si>
  <si>
    <t>3.774250030517578</t>
  </si>
  <si>
    <t>470104000</t>
  </si>
  <si>
    <t>2019-01-17</t>
  </si>
  <si>
    <t>3.7624707221984863</t>
  </si>
  <si>
    <t>3.7929999828338623</t>
  </si>
  <si>
    <t>3.833250045776367</t>
  </si>
  <si>
    <t>3.660249948501587</t>
  </si>
  <si>
    <t>3.6877501010894775</t>
  </si>
  <si>
    <t>493436000</t>
  </si>
  <si>
    <t>2019-01-18</t>
  </si>
  <si>
    <t>3.8916726112365723</t>
  </si>
  <si>
    <t>3.9232499599456787</t>
  </si>
  <si>
    <t>3.94950008392334</t>
  </si>
  <si>
    <t>3.791249990463257</t>
  </si>
  <si>
    <t>651336000</t>
  </si>
  <si>
    <t>2019-01-22</t>
  </si>
  <si>
    <t>3.689314603805542</t>
  </si>
  <si>
    <t>3.719249963760376</t>
  </si>
  <si>
    <t>3.9045000076293945</t>
  </si>
  <si>
    <t>3.6887500286102295</t>
  </si>
  <si>
    <t>3.8927500247955322</t>
  </si>
  <si>
    <t>661552000</t>
  </si>
  <si>
    <t>2019-01-23</t>
  </si>
  <si>
    <t>3.7022109031677246</t>
  </si>
  <si>
    <t>3.7322499752044678</t>
  </si>
  <si>
    <t>3.864500045776367</t>
  </si>
  <si>
    <t>3.7007501125335693</t>
  </si>
  <si>
    <t>3.7750000953674316</t>
  </si>
  <si>
    <t>591020000</t>
  </si>
  <si>
    <t>2019-01-24</t>
  </si>
  <si>
    <t>3.9142396450042725</t>
  </si>
  <si>
    <t>3.946000099182129</t>
  </si>
  <si>
    <t>3.963749885559082</t>
  </si>
  <si>
    <t>3.8127501010894775</t>
  </si>
  <si>
    <t>3.817500114440918</t>
  </si>
  <si>
    <t>708972000</t>
  </si>
  <si>
    <t>2019-01-25</t>
  </si>
  <si>
    <t>3.971524715423584</t>
  </si>
  <si>
    <t>4.003749847412109</t>
  </si>
  <si>
    <t>4.021999835968018</t>
  </si>
  <si>
    <t>3.7825000286102295</t>
  </si>
  <si>
    <t>3.885999917984009</t>
  </si>
  <si>
    <t>1154572000</t>
  </si>
  <si>
    <t>2019-01-28</t>
  </si>
  <si>
    <t>3.4224798679351807</t>
  </si>
  <si>
    <t>3.4502499103546143</t>
  </si>
  <si>
    <t>3.5409998893737793</t>
  </si>
  <si>
    <t>3.2750000953674316</t>
  </si>
  <si>
    <t>3.413749933242798</t>
  </si>
  <si>
    <t>2511528000</t>
  </si>
  <si>
    <t>2019-01-29</t>
  </si>
  <si>
    <t>3.263519525527954</t>
  </si>
  <si>
    <t>3.2899999618530273</t>
  </si>
  <si>
    <t>3.452500104904175</t>
  </si>
  <si>
    <t>3.27524995803833</t>
  </si>
  <si>
    <t>3.403749942779541</t>
  </si>
  <si>
    <t>1153932000</t>
  </si>
  <si>
    <t>2019-01-30</t>
  </si>
  <si>
    <t>3.407104730606079</t>
  </si>
  <si>
    <t>3.4492499828338623</t>
  </si>
  <si>
    <t>3.2864999771118164</t>
  </si>
  <si>
    <t>3.3667500019073486</t>
  </si>
  <si>
    <t>974228000</t>
  </si>
  <si>
    <t>2019-01-31</t>
  </si>
  <si>
    <t>3.564824342727661</t>
  </si>
  <si>
    <t>3.59375</t>
  </si>
  <si>
    <t>3.6297500133514404</t>
  </si>
  <si>
    <t>3.4094998836517334</t>
  </si>
  <si>
    <t>3.43149995803833</t>
  </si>
  <si>
    <t>842852000</t>
  </si>
  <si>
    <t>2019-02-01</t>
  </si>
  <si>
    <t>3.5891273021698</t>
  </si>
  <si>
    <t>3.6182498931884766</t>
  </si>
  <si>
    <t>3.6697499752044678</t>
  </si>
  <si>
    <t>3.612499952316284</t>
  </si>
  <si>
    <t>625048000</t>
  </si>
  <si>
    <t>2019-02-04</t>
  </si>
  <si>
    <t>3.699481964111328</t>
  </si>
  <si>
    <t>3.7295000553131104</t>
  </si>
  <si>
    <t>3.7669999599456787</t>
  </si>
  <si>
    <t>3.611999988555908</t>
  </si>
  <si>
    <t>3.6342499256134033</t>
  </si>
  <si>
    <t>528592000</t>
  </si>
  <si>
    <t>2019-02-05</t>
  </si>
  <si>
    <t>3.7185773849487305</t>
  </si>
  <si>
    <t>3.7487499713897705</t>
  </si>
  <si>
    <t>3.785749912261963</t>
  </si>
  <si>
    <t>3.7074999809265137</t>
  </si>
  <si>
    <t>3.741499900817871</t>
  </si>
  <si>
    <t>542424000</t>
  </si>
  <si>
    <t>2019-02-06</t>
  </si>
  <si>
    <t>3.7942137718200684</t>
  </si>
  <si>
    <t>3.825000047683716</t>
  </si>
  <si>
    <t>3.890000104904175</t>
  </si>
  <si>
    <t>3.776750087738037</t>
  </si>
  <si>
    <t>3.782249927520752</t>
  </si>
  <si>
    <t>702464000</t>
  </si>
  <si>
    <t>2019-02-07</t>
  </si>
  <si>
    <t>3.655836582183838</t>
  </si>
  <si>
    <t>3.685499906539917</t>
  </si>
  <si>
    <t>3.7804999351501465</t>
  </si>
  <si>
    <t>3.6422500610351562</t>
  </si>
  <si>
    <t>3.778249979019165</t>
  </si>
  <si>
    <t>637120000</t>
  </si>
  <si>
    <t>2019-02-08</t>
  </si>
  <si>
    <t>3.67443585395813</t>
  </si>
  <si>
    <t>3.7042500972747803</t>
  </si>
  <si>
    <t>3.7149999141693115</t>
  </si>
  <si>
    <t>3.603250026702881</t>
  </si>
  <si>
    <t>461604000</t>
  </si>
  <si>
    <t>2019-02-11</t>
  </si>
  <si>
    <t>3.7144999504089355</t>
  </si>
  <si>
    <t>3.659749984741211</t>
  </si>
  <si>
    <t>495180000</t>
  </si>
  <si>
    <t>2019-02-12</t>
  </si>
  <si>
    <t>3.748831272125244</t>
  </si>
  <si>
    <t>3.779249906539917</t>
  </si>
  <si>
    <t>3.7950000762939453</t>
  </si>
  <si>
    <t>3.700000047683716</t>
  </si>
  <si>
    <t>591060000</t>
  </si>
  <si>
    <t>2019-02-13</t>
  </si>
  <si>
    <t>3.7912380695343018</t>
  </si>
  <si>
    <t>3.822000026702881</t>
  </si>
  <si>
    <t>3.895750045776367</t>
  </si>
  <si>
    <t>3.7952499389648438</t>
  </si>
  <si>
    <t>3.809000015258789</t>
  </si>
  <si>
    <t>605372000</t>
  </si>
  <si>
    <t>2019-02-14</t>
  </si>
  <si>
    <t>3.832155227661133</t>
  </si>
  <si>
    <t>3.8632500171661377</t>
  </si>
  <si>
    <t>3.8917500972747803</t>
  </si>
  <si>
    <t>3.7774999141693115</t>
  </si>
  <si>
    <t>3.821000099182129</t>
  </si>
  <si>
    <t>827264000</t>
  </si>
  <si>
    <t>2019-02-15</t>
  </si>
  <si>
    <t>3.9018406867980957</t>
  </si>
  <si>
    <t>3.933500051498413</t>
  </si>
  <si>
    <t>4.096749782562256</t>
  </si>
  <si>
    <t>3.9105000495910645</t>
  </si>
  <si>
    <t>4.073750019073486</t>
  </si>
  <si>
    <t>1516748000</t>
  </si>
  <si>
    <t>2019-02-19</t>
  </si>
  <si>
    <t>3.884481191635132</t>
  </si>
  <si>
    <t>3.9159998893737793</t>
  </si>
  <si>
    <t>3.9972500801086426</t>
  </si>
  <si>
    <t>3.9227499961853027</t>
  </si>
  <si>
    <t>551892000</t>
  </si>
  <si>
    <t>2019-02-20</t>
  </si>
  <si>
    <t>3.9318466186523438</t>
  </si>
  <si>
    <t>4.031499862670898</t>
  </si>
  <si>
    <t>3.9342501163482666</t>
  </si>
  <si>
    <t>3.945499897003174</t>
  </si>
  <si>
    <t>540988000</t>
  </si>
  <si>
    <t>2019-02-21</t>
  </si>
  <si>
    <t>3.8629064559936523</t>
  </si>
  <si>
    <t>3.89424991607666</t>
  </si>
  <si>
    <t>4.00124979019165</t>
  </si>
  <si>
    <t>3.879499912261963</t>
  </si>
  <si>
    <t>3.9765000343322754</t>
  </si>
  <si>
    <t>448548000</t>
  </si>
  <si>
    <t>2019-02-22</t>
  </si>
  <si>
    <t>3.9477176666259766</t>
  </si>
  <si>
    <t>3.979749917984009</t>
  </si>
  <si>
    <t>3.9987499713897705</t>
  </si>
  <si>
    <t>3.9327499866485596</t>
  </si>
  <si>
    <t>3.946500062942505</t>
  </si>
  <si>
    <t>401740000</t>
  </si>
  <si>
    <t>2019-02-25</t>
  </si>
  <si>
    <t>3.9353187084198</t>
  </si>
  <si>
    <t>3.967250108718872</t>
  </si>
  <si>
    <t>4.131999969482422</t>
  </si>
  <si>
    <t>3.9584999084472656</t>
  </si>
  <si>
    <t>4.064000129699707</t>
  </si>
  <si>
    <t>656020000</t>
  </si>
  <si>
    <t>2019-02-26</t>
  </si>
  <si>
    <t>3.895888566970825</t>
  </si>
  <si>
    <t>3.927500009536743</t>
  </si>
  <si>
    <t>4.019000053405762</t>
  </si>
  <si>
    <t>3.893749952316284</t>
  </si>
  <si>
    <t>3.9625000953674316</t>
  </si>
  <si>
    <t>488464000</t>
  </si>
  <si>
    <t>2019-02-27</t>
  </si>
  <si>
    <t>3.8539791107177734</t>
  </si>
  <si>
    <t>3.8852500915527344</t>
  </si>
  <si>
    <t>3.9397499561309814</t>
  </si>
  <si>
    <t>3.8277499675750732</t>
  </si>
  <si>
    <t>3.9130001068115234</t>
  </si>
  <si>
    <t>500256000</t>
  </si>
  <si>
    <t>2019-02-28</t>
  </si>
  <si>
    <t>3.829401969909668</t>
  </si>
  <si>
    <t>3.8975000381469727</t>
  </si>
  <si>
    <t>3.8340001106262207</t>
  </si>
  <si>
    <t>3.875</t>
  </si>
  <si>
    <t>324944000</t>
  </si>
  <si>
    <t>2019-03-01</t>
  </si>
  <si>
    <t>3.883768081665039</t>
  </si>
  <si>
    <t>3.911250114440918</t>
  </si>
  <si>
    <t>3.953749895095825</t>
  </si>
  <si>
    <t>3.8480000495910645</t>
  </si>
  <si>
    <t>3.906749963760376</t>
  </si>
  <si>
    <t>357188000</t>
  </si>
  <si>
    <t>2019-03-04</t>
  </si>
  <si>
    <t>3.8919601440429688</t>
  </si>
  <si>
    <t>3.9195001125335693</t>
  </si>
  <si>
    <t>3.9730000495910645</t>
  </si>
  <si>
    <t>3.862499952316284</t>
  </si>
  <si>
    <t>3.950000047683716</t>
  </si>
  <si>
    <t>409992000</t>
  </si>
  <si>
    <t>2019-03-05</t>
  </si>
  <si>
    <t>3.885505437850952</t>
  </si>
  <si>
    <t>3.9514999389648438</t>
  </si>
  <si>
    <t>3.8489999771118164</t>
  </si>
  <si>
    <t>3.903749942779541</t>
  </si>
  <si>
    <t>362924000</t>
  </si>
  <si>
    <t>2019-03-06</t>
  </si>
  <si>
    <t>3.774540901184082</t>
  </si>
  <si>
    <t>3.8012499809265137</t>
  </si>
  <si>
    <t>3.7985000610351562</t>
  </si>
  <si>
    <t>3.9040000438690186</t>
  </si>
  <si>
    <t>403524000</t>
  </si>
  <si>
    <t>2019-03-07</t>
  </si>
  <si>
    <t>3.7052805423736572</t>
  </si>
  <si>
    <t>3.7314999103546143</t>
  </si>
  <si>
    <t>3.78725004196167</t>
  </si>
  <si>
    <t>3.684999942779541</t>
  </si>
  <si>
    <t>450104000</t>
  </si>
  <si>
    <t>2019-03-08</t>
  </si>
  <si>
    <t>3.7395384311676025</t>
  </si>
  <si>
    <t>3.7660000324249268</t>
  </si>
  <si>
    <t>3.619999885559082</t>
  </si>
  <si>
    <t>3.6414999961853027</t>
  </si>
  <si>
    <t>422416000</t>
  </si>
  <si>
    <t>2019-03-11</t>
  </si>
  <si>
    <t>4.000194072723389</t>
  </si>
  <si>
    <t>4.028500080108643</t>
  </si>
  <si>
    <t>4.051499843597412</t>
  </si>
  <si>
    <t>3.7422499656677246</t>
  </si>
  <si>
    <t>3.789750099182129</t>
  </si>
  <si>
    <t>859728000</t>
  </si>
  <si>
    <t>2019-03-12</t>
  </si>
  <si>
    <t>4.034451961517334</t>
  </si>
  <si>
    <t>4.063000202178955</t>
  </si>
  <si>
    <t>4.109749794006348</t>
  </si>
  <si>
    <t>4.05649995803833</t>
  </si>
  <si>
    <t>579576000</t>
  </si>
  <si>
    <t>2019-03-13</t>
  </si>
  <si>
    <t>4.1858811378479</t>
  </si>
  <si>
    <t>4.2154998779296875</t>
  </si>
  <si>
    <t>4.244999885559082</t>
  </si>
  <si>
    <t>4.093249797821045</t>
  </si>
  <si>
    <t>4.100749969482422</t>
  </si>
  <si>
    <t>768900000</t>
  </si>
  <si>
    <t>2019-03-14</t>
  </si>
  <si>
    <t>4.109918117523193</t>
  </si>
  <si>
    <t>4.138999938964844</t>
  </si>
  <si>
    <t>4.23675012588501</t>
  </si>
  <si>
    <t>4.131249904632568</t>
  </si>
  <si>
    <t>4.22475004196167</t>
  </si>
  <si>
    <t>519384000</t>
  </si>
  <si>
    <t>2019-03-15</t>
  </si>
  <si>
    <t>4.215420722961426</t>
  </si>
  <si>
    <t>4.245250225067139</t>
  </si>
  <si>
    <t>4.288249969482422</t>
  </si>
  <si>
    <t>4.178999900817871</t>
  </si>
  <si>
    <t>4.182499885559082</t>
  </si>
  <si>
    <t>661484000</t>
  </si>
  <si>
    <t>2019-03-18</t>
  </si>
  <si>
    <t>4.194072246551514</t>
  </si>
  <si>
    <t>4.223750114440918</t>
  </si>
  <si>
    <t>4.331250190734863</t>
  </si>
  <si>
    <t>4.196499824523926</t>
  </si>
  <si>
    <t>4.2769999504089355</t>
  </si>
  <si>
    <t>486992000</t>
  </si>
  <si>
    <t>2019-03-19</t>
  </si>
  <si>
    <t>4.361884117126465</t>
  </si>
  <si>
    <t>4.392749786376953</t>
  </si>
  <si>
    <t>4.4375</t>
  </si>
  <si>
    <t>4.302000045776367</t>
  </si>
  <si>
    <t>4.318999767303467</t>
  </si>
  <si>
    <t>854972000</t>
  </si>
  <si>
    <t>2019-03-20</t>
  </si>
  <si>
    <t>4.32936429977417</t>
  </si>
  <si>
    <t>4.360000133514404</t>
  </si>
  <si>
    <t>4.475749969482422</t>
  </si>
  <si>
    <t>4.324999809265137</t>
  </si>
  <si>
    <t>4.421999931335449</t>
  </si>
  <si>
    <t>719148000</t>
  </si>
  <si>
    <t>2019-03-21</t>
  </si>
  <si>
    <t>4.566188335418701</t>
  </si>
  <si>
    <t>4.598499774932861</t>
  </si>
  <si>
    <t>4.625</t>
  </si>
  <si>
    <t>4.3782501220703125</t>
  </si>
  <si>
    <t>4.3832502365112305</t>
  </si>
  <si>
    <t>824312000</t>
  </si>
  <si>
    <t>2019-03-22</t>
  </si>
  <si>
    <t>4.406320571899414</t>
  </si>
  <si>
    <t>4.619999885559082</t>
  </si>
  <si>
    <t>4.423500061035156</t>
  </si>
  <si>
    <t>4.571000099182129</t>
  </si>
  <si>
    <t>747644000</t>
  </si>
  <si>
    <t>2019-03-25</t>
  </si>
  <si>
    <t>4.313973426818848</t>
  </si>
  <si>
    <t>4.3445000648498535</t>
  </si>
  <si>
    <t>4.461249828338623</t>
  </si>
  <si>
    <t>4.277750015258789</t>
  </si>
  <si>
    <t>4.396500110626221</t>
  </si>
  <si>
    <t>525212000</t>
  </si>
  <si>
    <t>2019-03-26</t>
  </si>
  <si>
    <t>4.390678882598877</t>
  </si>
  <si>
    <t>4.421750068664551</t>
  </si>
  <si>
    <t>4.543749809265137</t>
  </si>
  <si>
    <t>4.364999771118164</t>
  </si>
  <si>
    <t>4.487249851226807</t>
  </si>
  <si>
    <t>703508000</t>
  </si>
  <si>
    <t>2019-03-27</t>
  </si>
  <si>
    <t>4.381495475769043</t>
  </si>
  <si>
    <t>4.412499904632568</t>
  </si>
  <si>
    <t>4.4942498207092285</t>
  </si>
  <si>
    <t>4.34250020980835</t>
  </si>
  <si>
    <t>4.447500228881836</t>
  </si>
  <si>
    <t>474372000</t>
  </si>
  <si>
    <t>2019-03-28</t>
  </si>
  <si>
    <t>4.400114059448242</t>
  </si>
  <si>
    <t>4.431250095367432</t>
  </si>
  <si>
    <t>4.497499942779541</t>
  </si>
  <si>
    <t>4.377749919891357</t>
  </si>
  <si>
    <t>4.43874979019165</t>
  </si>
  <si>
    <t>480264000</t>
  </si>
  <si>
    <t>2019-03-29</t>
  </si>
  <si>
    <t>4.457458019256592</t>
  </si>
  <si>
    <t>4.488999843597412</t>
  </si>
  <si>
    <t>4.513500213623047</t>
  </si>
  <si>
    <t>4.447750091552734</t>
  </si>
  <si>
    <t>4.498499870300293</t>
  </si>
  <si>
    <t>456896000</t>
  </si>
  <si>
    <t>2019-04-01</t>
  </si>
  <si>
    <t>4.524980545043945</t>
  </si>
  <si>
    <t>4.557000160217285</t>
  </si>
  <si>
    <t>4.587500095367432</t>
  </si>
  <si>
    <t>4.509250164031982</t>
  </si>
  <si>
    <t>4.581500053405762</t>
  </si>
  <si>
    <t>483824000</t>
  </si>
  <si>
    <t>2019-04-02</t>
  </si>
  <si>
    <t>4.542853832244873</t>
  </si>
  <si>
    <t>4.574999809265137</t>
  </si>
  <si>
    <t>4.619750022888184</t>
  </si>
  <si>
    <t>4.538000106811523</t>
  </si>
  <si>
    <t>4.581250190734863</t>
  </si>
  <si>
    <t>440920000</t>
  </si>
  <si>
    <t>2019-04-03</t>
  </si>
  <si>
    <t>4.682366847991943</t>
  </si>
  <si>
    <t>4.7154998779296875</t>
  </si>
  <si>
    <t>4.775000095367432</t>
  </si>
  <si>
    <t>783504000</t>
  </si>
  <si>
    <t>2019-04-04</t>
  </si>
  <si>
    <t>4.6734299659729</t>
  </si>
  <si>
    <t>4.706500053405762</t>
  </si>
  <si>
    <t>4.7492499351501465</t>
  </si>
  <si>
    <t>4.643249988555908</t>
  </si>
  <si>
    <t>4.699999809265137</t>
  </si>
  <si>
    <t>457376000</t>
  </si>
  <si>
    <t>2019-04-05</t>
  </si>
  <si>
    <t>4.740208625793457</t>
  </si>
  <si>
    <t>4.773749828338623</t>
  </si>
  <si>
    <t>4.791250228881836</t>
  </si>
  <si>
    <t>4.713250160217285</t>
  </si>
  <si>
    <t>4.75</t>
  </si>
  <si>
    <t>481744000</t>
  </si>
  <si>
    <t>2019-04-08</t>
  </si>
  <si>
    <t>4.76106071472168</t>
  </si>
  <si>
    <t>4.794750213623047</t>
  </si>
  <si>
    <t>4.820000171661377</t>
  </si>
  <si>
    <t>4.71875</t>
  </si>
  <si>
    <t>4.743000030517578</t>
  </si>
  <si>
    <t>424192000</t>
  </si>
  <si>
    <t>2019-04-09</t>
  </si>
  <si>
    <t>4.698254108428955</t>
  </si>
  <si>
    <t>4.731500148773193</t>
  </si>
  <si>
    <t>4.772250175476074</t>
  </si>
  <si>
    <t>4.689000129699707</t>
  </si>
  <si>
    <t>4.761000156402588</t>
  </si>
  <si>
    <t>439972000</t>
  </si>
  <si>
    <t>2019-04-10</t>
  </si>
  <si>
    <t>4.768755912780762</t>
  </si>
  <si>
    <t>4.802499771118164</t>
  </si>
  <si>
    <t>4.828499794006348</t>
  </si>
  <si>
    <t>4.726250171661377</t>
  </si>
  <si>
    <t>4.73075008392334</t>
  </si>
  <si>
    <t>444772000</t>
  </si>
  <si>
    <t>2019-04-11</t>
  </si>
  <si>
    <t>4.754854679107666</t>
  </si>
  <si>
    <t>4.78849983215332</t>
  </si>
  <si>
    <t>4.836750030517578</t>
  </si>
  <si>
    <t>4.738749980926514</t>
  </si>
  <si>
    <t>4.804999828338623</t>
  </si>
  <si>
    <t>374600000</t>
  </si>
  <si>
    <t>2019-04-12</t>
  </si>
  <si>
    <t>4.716872215270996</t>
  </si>
  <si>
    <t>4.750249862670898</t>
  </si>
  <si>
    <t>4.831500053405762</t>
  </si>
  <si>
    <t>4.741499900817871</t>
  </si>
  <si>
    <t>4.827499866485596</t>
  </si>
  <si>
    <t>471708000</t>
  </si>
  <si>
    <t>2019-04-15</t>
  </si>
  <si>
    <t>4.585054874420166</t>
  </si>
  <si>
    <t>4.617499828338623</t>
  </si>
  <si>
    <t>4.747499942779541</t>
  </si>
  <si>
    <t>4.577499866485596</t>
  </si>
  <si>
    <t>4.742499828338623</t>
  </si>
  <si>
    <t>440092000</t>
  </si>
  <si>
    <t>2019-04-16</t>
  </si>
  <si>
    <t>4.672189235687256</t>
  </si>
  <si>
    <t>4.705249786376953</t>
  </si>
  <si>
    <t>4.724249839782715</t>
  </si>
  <si>
    <t>4.624000072479248</t>
  </si>
  <si>
    <t>4.6570000648498535</t>
  </si>
  <si>
    <t>394964000</t>
  </si>
  <si>
    <t>2019-04-17</t>
  </si>
  <si>
    <t>4.649349689483643</t>
  </si>
  <si>
    <t>4.682250022888184</t>
  </si>
  <si>
    <t>4.761499881744385</t>
  </si>
  <si>
    <t>4.659749984741211</t>
  </si>
  <si>
    <t>4.740499973297119</t>
  </si>
  <si>
    <t>351004000</t>
  </si>
  <si>
    <t>2019-04-18</t>
  </si>
  <si>
    <t>4.624774932861328</t>
  </si>
  <si>
    <t>4.65749979019165</t>
  </si>
  <si>
    <t>4.723249912261963</t>
  </si>
  <si>
    <t>4.629499912261963</t>
  </si>
  <si>
    <t>380988000</t>
  </si>
  <si>
    <t>2019-04-22</t>
  </si>
  <si>
    <t>4.678643226623535</t>
  </si>
  <si>
    <t>4.711750030517578</t>
  </si>
  <si>
    <t>4.727499961853027</t>
  </si>
  <si>
    <t>4.6020002365112305</t>
  </si>
  <si>
    <t>4.633749961853027</t>
  </si>
  <si>
    <t>279936000</t>
  </si>
  <si>
    <t>2019-04-23</t>
  </si>
  <si>
    <t>4.733256816864014</t>
  </si>
  <si>
    <t>4.766749858856201</t>
  </si>
  <si>
    <t>4.798250198364258</t>
  </si>
  <si>
    <t>4.715250015258789</t>
  </si>
  <si>
    <t>4.724999904632568</t>
  </si>
  <si>
    <t>346856000</t>
  </si>
  <si>
    <t>2019-04-24</t>
  </si>
  <si>
    <t>4.745668888092041</t>
  </si>
  <si>
    <t>4.779250144958496</t>
  </si>
  <si>
    <t>4.820250034332275</t>
  </si>
  <si>
    <t>4.716000080108643</t>
  </si>
  <si>
    <t>4.777249813079834</t>
  </si>
  <si>
    <t>318204000</t>
  </si>
  <si>
    <t>2019-04-25</t>
  </si>
  <si>
    <t>4.639916896820068</t>
  </si>
  <si>
    <t>4.672749996185303</t>
  </si>
  <si>
    <t>4.761250019073486</t>
  </si>
  <si>
    <t>4.59250020980835</t>
  </si>
  <si>
    <t>499296000</t>
  </si>
  <si>
    <t>2019-04-26</t>
  </si>
  <si>
    <t>4.420965671539307</t>
  </si>
  <si>
    <t>4.452250003814697</t>
  </si>
  <si>
    <t>4.522250175476074</t>
  </si>
  <si>
    <t>4.332499980926514</t>
  </si>
  <si>
    <t>4.517749786376953</t>
  </si>
  <si>
    <t>868988000</t>
  </si>
  <si>
    <t>2019-04-29</t>
  </si>
  <si>
    <t>4.451747894287109</t>
  </si>
  <si>
    <t>4.483250141143799</t>
  </si>
  <si>
    <t>4.511250019073486</t>
  </si>
  <si>
    <t>4.387499809265137</t>
  </si>
  <si>
    <t>4.460249900817871</t>
  </si>
  <si>
    <t>391920000</t>
  </si>
  <si>
    <t>2019-04-30</t>
  </si>
  <si>
    <t>4.493205547332764</t>
  </si>
  <si>
    <t>4.525000095367432</t>
  </si>
  <si>
    <t>4.550749778747559</t>
  </si>
  <si>
    <t>4.43149995803833</t>
  </si>
  <si>
    <t>4.45074987411499</t>
  </si>
  <si>
    <t>362920000</t>
  </si>
  <si>
    <t>2019-05-01</t>
  </si>
  <si>
    <t>4.480049133300781</t>
  </si>
  <si>
    <t>4.511750221252441</t>
  </si>
  <si>
    <t>4.620250225067139</t>
  </si>
  <si>
    <t>4.511499881744385</t>
  </si>
  <si>
    <t>4.577750205993652</t>
  </si>
  <si>
    <t>354280000</t>
  </si>
  <si>
    <t>2019-05-02</t>
  </si>
  <si>
    <t>4.547570705413818</t>
  </si>
  <si>
    <t>4.579750061035156</t>
  </si>
  <si>
    <t>4.6217498779296875</t>
  </si>
  <si>
    <t>4.478000164031982</t>
  </si>
  <si>
    <t>4.521500110626221</t>
  </si>
  <si>
    <t>394684000</t>
  </si>
  <si>
    <t>2019-05-03</t>
  </si>
  <si>
    <t>4.543101787567139</t>
  </si>
  <si>
    <t>4.575250148773193</t>
  </si>
  <si>
    <t>4.598249912261963</t>
  </si>
  <si>
    <t>4.51324987411499</t>
  </si>
  <si>
    <t>4.588250160217285</t>
  </si>
  <si>
    <t>336824000</t>
  </si>
  <si>
    <t>2019-05-06</t>
  </si>
  <si>
    <t>4.464657783508301</t>
  </si>
  <si>
    <t>4.496250152587891</t>
  </si>
  <si>
    <t>4.508500099182129</t>
  </si>
  <si>
    <t>4.349999904632568</t>
  </si>
  <si>
    <t>422176000</t>
  </si>
  <si>
    <t>2019-05-07</t>
  </si>
  <si>
    <t>4.2973408699035645</t>
  </si>
  <si>
    <t>4.327750205993652</t>
  </si>
  <si>
    <t>4.279250144958496</t>
  </si>
  <si>
    <t>555220000</t>
  </si>
  <si>
    <t>2019-05-08</t>
  </si>
  <si>
    <t>4.317448616027832</t>
  </si>
  <si>
    <t>4.3480000495910645</t>
  </si>
  <si>
    <t>4.428750038146973</t>
  </si>
  <si>
    <t>4.288000106811523</t>
  </si>
  <si>
    <t>4.300000190734863</t>
  </si>
  <si>
    <t>419168000</t>
  </si>
  <si>
    <t>2019-05-09</t>
  </si>
  <si>
    <t>4.224854469299316</t>
  </si>
  <si>
    <t>4.254749774932861</t>
  </si>
  <si>
    <t>4.135000228881836</t>
  </si>
  <si>
    <t>4.278500080108643</t>
  </si>
  <si>
    <t>660248000</t>
  </si>
  <si>
    <t>2019-05-10</t>
  </si>
  <si>
    <t>4.190845012664795</t>
  </si>
  <si>
    <t>4.2204999923706055</t>
  </si>
  <si>
    <t>4.289750099182129</t>
  </si>
  <si>
    <t>4.099999904632568</t>
  </si>
  <si>
    <t>569500000</t>
  </si>
  <si>
    <t>2019-05-13</t>
  </si>
  <si>
    <t>3.9334168434143066</t>
  </si>
  <si>
    <t>3.961250066757202</t>
  </si>
  <si>
    <t>3.9452500343322754</t>
  </si>
  <si>
    <t>4.087500095367432</t>
  </si>
  <si>
    <t>656912000</t>
  </si>
  <si>
    <t>2019-05-14</t>
  </si>
  <si>
    <t>4.02253532409668</t>
  </si>
  <si>
    <t>4.051000118255615</t>
  </si>
  <si>
    <t>4.08650016784668</t>
  </si>
  <si>
    <t>524880000</t>
  </si>
  <si>
    <t>2019-05-15</t>
  </si>
  <si>
    <t>3.961467981338501</t>
  </si>
  <si>
    <t>3.989500045776367</t>
  </si>
  <si>
    <t>4.026249885559082</t>
  </si>
  <si>
    <t>3.9352500438690186</t>
  </si>
  <si>
    <t>3.994999885559082</t>
  </si>
  <si>
    <t>502320000</t>
  </si>
  <si>
    <t>2019-05-16</t>
  </si>
  <si>
    <t>3.9766106605529785</t>
  </si>
  <si>
    <t>4.004749774932861</t>
  </si>
  <si>
    <t>4.047749996185303</t>
  </si>
  <si>
    <t>3.9412500858306885</t>
  </si>
  <si>
    <t>3.9839999675750732</t>
  </si>
  <si>
    <t>781088000</t>
  </si>
  <si>
    <t>2019-05-17</t>
  </si>
  <si>
    <t>3.8857533931732178</t>
  </si>
  <si>
    <t>3.913249969482422</t>
  </si>
  <si>
    <t>4.092750072479248</t>
  </si>
  <si>
    <t>3.873500108718872</t>
  </si>
  <si>
    <t>1022068000</t>
  </si>
  <si>
    <t>2019-05-20</t>
  </si>
  <si>
    <t>3.7670934200286865</t>
  </si>
  <si>
    <t>3.793750047683716</t>
  </si>
  <si>
    <t>3.8692500591278076</t>
  </si>
  <si>
    <t>3.768749952316284</t>
  </si>
  <si>
    <t>3.8137500286102295</t>
  </si>
  <si>
    <t>572064000</t>
  </si>
  <si>
    <t>2019-05-21</t>
  </si>
  <si>
    <t>3.84926176071167</t>
  </si>
  <si>
    <t>3.876499891281128</t>
  </si>
  <si>
    <t>3.8924999237060547</t>
  </si>
  <si>
    <t>3.815999984741211</t>
  </si>
  <si>
    <t>3.8550000190734863</t>
  </si>
  <si>
    <t>361848000</t>
  </si>
  <si>
    <t>2019-05-22</t>
  </si>
  <si>
    <t>3.778264284133911</t>
  </si>
  <si>
    <t>3.805000066757202</t>
  </si>
  <si>
    <t>3.8637499809265137</t>
  </si>
  <si>
    <t>3.8375000953674316</t>
  </si>
  <si>
    <t>325868000</t>
  </si>
  <si>
    <t>2019-05-23</t>
  </si>
  <si>
    <t>3.657121419906616</t>
  </si>
  <si>
    <t>3.683000087738037</t>
  </si>
  <si>
    <t>3.6227500438690186</t>
  </si>
  <si>
    <t>591844000</t>
  </si>
  <si>
    <t>2019-05-24</t>
  </si>
  <si>
    <t>3.6032521724700928</t>
  </si>
  <si>
    <t>3.6287500858306885</t>
  </si>
  <si>
    <t>3.737499952316284</t>
  </si>
  <si>
    <t>3.621999979019165</t>
  </si>
  <si>
    <t>3.7019999027252197</t>
  </si>
  <si>
    <t>357584000</t>
  </si>
  <si>
    <t>2019-05-28</t>
  </si>
  <si>
    <t>3.558073043823242</t>
  </si>
  <si>
    <t>3.583250045776367</t>
  </si>
  <si>
    <t>3.679500102996826</t>
  </si>
  <si>
    <t>3.581249952316284</t>
  </si>
  <si>
    <t>3.6465001106262207</t>
  </si>
  <si>
    <t>428356000</t>
  </si>
  <si>
    <t>2019-05-29</t>
  </si>
  <si>
    <t>3.4838478565216064</t>
  </si>
  <si>
    <t>3.508500099182129</t>
  </si>
  <si>
    <t>3.570499897003174</t>
  </si>
  <si>
    <t>3.4735000133514404</t>
  </si>
  <si>
    <t>3.535249948501587</t>
  </si>
  <si>
    <t>559800000</t>
  </si>
  <si>
    <t>2019-05-30</t>
  </si>
  <si>
    <t>3.4572553634643555</t>
  </si>
  <si>
    <t>3.477750062942505</t>
  </si>
  <si>
    <t>3.543750047683716</t>
  </si>
  <si>
    <t>3.4392499923706055</t>
  </si>
  <si>
    <t>3.5077500343322754</t>
  </si>
  <si>
    <t>394300000</t>
  </si>
  <si>
    <t>2019-05-31</t>
  </si>
  <si>
    <t>3.3665432929992676</t>
  </si>
  <si>
    <t>3.3864998817443848</t>
  </si>
  <si>
    <t>3.4962499141693115</t>
  </si>
  <si>
    <t>3.3847498893737793</t>
  </si>
  <si>
    <t>3.428499937057495</t>
  </si>
  <si>
    <t>389720000</t>
  </si>
  <si>
    <t>2019-06-03</t>
  </si>
  <si>
    <t>3.3247909545898438</t>
  </si>
  <si>
    <t>3.3445000648498535</t>
  </si>
  <si>
    <t>3.4367499351501465</t>
  </si>
  <si>
    <t>3.315000057220459</t>
  </si>
  <si>
    <t>3.397749900817871</t>
  </si>
  <si>
    <t>478644000</t>
  </si>
  <si>
    <t>2019-06-04</t>
  </si>
  <si>
    <t>3.5539329051971436</t>
  </si>
  <si>
    <t>3.575000047683716</t>
  </si>
  <si>
    <t>3.3867499828338623</t>
  </si>
  <si>
    <t>3.4089999198913574</t>
  </si>
  <si>
    <t>641836000</t>
  </si>
  <si>
    <t>2019-06-05</t>
  </si>
  <si>
    <t>3.511186122894287</t>
  </si>
  <si>
    <t>3.5320000648498535</t>
  </si>
  <si>
    <t>3.654750108718872</t>
  </si>
  <si>
    <t>3.495500087738037</t>
  </si>
  <si>
    <t>3.649250030517578</t>
  </si>
  <si>
    <t>511616000</t>
  </si>
  <si>
    <t>2019-06-06</t>
  </si>
  <si>
    <t>3.573317289352417</t>
  </si>
  <si>
    <t>3.5945000648498535</t>
  </si>
  <si>
    <t>3.6192500591278076</t>
  </si>
  <si>
    <t>3.533750057220459</t>
  </si>
  <si>
    <t>3.536250114440918</t>
  </si>
  <si>
    <t>408140000</t>
  </si>
  <si>
    <t>2019-06-07</t>
  </si>
  <si>
    <t>3.6160638332366943</t>
  </si>
  <si>
    <t>3.671999931335449</t>
  </si>
  <si>
    <t>3.6005001068115234</t>
  </si>
  <si>
    <t>348856000</t>
  </si>
  <si>
    <t>2019-06-10</t>
  </si>
  <si>
    <t>3.688882350921631</t>
  </si>
  <si>
    <t>3.710750102996826</t>
  </si>
  <si>
    <t>3.779750108718872</t>
  </si>
  <si>
    <t>3.694000005722046</t>
  </si>
  <si>
    <t>402780000</t>
  </si>
  <si>
    <t>2019-06-11</t>
  </si>
  <si>
    <t>3.7465407848358154</t>
  </si>
  <si>
    <t>3.7290000915527344</t>
  </si>
  <si>
    <t>3.7709999084472656</t>
  </si>
  <si>
    <t>383872000</t>
  </si>
  <si>
    <t>2019-06-12</t>
  </si>
  <si>
    <t>3.6334609985351562</t>
  </si>
  <si>
    <t>3.6549999713897705</t>
  </si>
  <si>
    <t>3.731250047683716</t>
  </si>
  <si>
    <t>3.6397500038146973</t>
  </si>
  <si>
    <t>3.7249999046325684</t>
  </si>
  <si>
    <t>358892000</t>
  </si>
  <si>
    <t>2019-06-13</t>
  </si>
  <si>
    <t>3.6846578121185303</t>
  </si>
  <si>
    <t>3.7065000534057617</t>
  </si>
  <si>
    <t>3.6594998836517334</t>
  </si>
  <si>
    <t>3.6772499084472656</t>
  </si>
  <si>
    <t>308080000</t>
  </si>
  <si>
    <t>2019-06-14</t>
  </si>
  <si>
    <t>3.5946905612945557</t>
  </si>
  <si>
    <t>3.615999937057495</t>
  </si>
  <si>
    <t>3.6372499465942383</t>
  </si>
  <si>
    <t>3.571000099182129</t>
  </si>
  <si>
    <t>3.6127500534057617</t>
  </si>
  <si>
    <t>394428000</t>
  </si>
  <si>
    <t>2019-06-17</t>
  </si>
  <si>
    <t>3.6043834686279297</t>
  </si>
  <si>
    <t>3.6257500648498535</t>
  </si>
  <si>
    <t>3.6630001068115234</t>
  </si>
  <si>
    <t>3.591249942779541</t>
  </si>
  <si>
    <t>3.6142499446868896</t>
  </si>
  <si>
    <t>276040000</t>
  </si>
  <si>
    <t>2019-06-18</t>
  </si>
  <si>
    <t>3.7994766235351562</t>
  </si>
  <si>
    <t>3.8777499198913574</t>
  </si>
  <si>
    <t>3.676500082015991</t>
  </si>
  <si>
    <t>3.6875</t>
  </si>
  <si>
    <t>581920000</t>
  </si>
  <si>
    <t>2019-06-19</t>
  </si>
  <si>
    <t>3.8054425716400146</t>
  </si>
  <si>
    <t>3.828000068664551</t>
  </si>
  <si>
    <t>3.86899995803833</t>
  </si>
  <si>
    <t>3.8017499446868896</t>
  </si>
  <si>
    <t>3.8575000762939453</t>
  </si>
  <si>
    <t>331644000</t>
  </si>
  <si>
    <t>2019-06-20</t>
  </si>
  <si>
    <t>3.82979679107666</t>
  </si>
  <si>
    <t>3.8524999618530273</t>
  </si>
  <si>
    <t>3.9332499504089355</t>
  </si>
  <si>
    <t>3.8380000591278076</t>
  </si>
  <si>
    <t>3.919250011444092</t>
  </si>
  <si>
    <t>350168000</t>
  </si>
  <si>
    <t>2019-06-21</t>
  </si>
  <si>
    <t>3.771641731262207</t>
  </si>
  <si>
    <t>3.88700008392334</t>
  </si>
  <si>
    <t>3.7874999046325684</t>
  </si>
  <si>
    <t>434428000</t>
  </si>
  <si>
    <t>2019-06-24</t>
  </si>
  <si>
    <t>3.79400897026062</t>
  </si>
  <si>
    <t>3.816499948501587</t>
  </si>
  <si>
    <t>3.846250057220459</t>
  </si>
  <si>
    <t>3.7679998874664307</t>
  </si>
  <si>
    <t>3.815500020980835</t>
  </si>
  <si>
    <t>282948000</t>
  </si>
  <si>
    <t>2019-06-25</t>
  </si>
  <si>
    <t>3.7646827697753906</t>
  </si>
  <si>
    <t>3.7869999408721924</t>
  </si>
  <si>
    <t>3.8970000743865967</t>
  </si>
  <si>
    <t>3.784250020980835</t>
  </si>
  <si>
    <t>311868000</t>
  </si>
  <si>
    <t>2019-06-26</t>
  </si>
  <si>
    <t>3.958036422729492</t>
  </si>
  <si>
    <t>3.9814999103546143</t>
  </si>
  <si>
    <t>4.043000221252441</t>
  </si>
  <si>
    <t>3.902250051498413</t>
  </si>
  <si>
    <t>3.915250062942505</t>
  </si>
  <si>
    <t>584072000</t>
  </si>
  <si>
    <t>2019-06-27</t>
  </si>
  <si>
    <t>4.056702613830566</t>
  </si>
  <si>
    <t>4.080749988555908</t>
  </si>
  <si>
    <t>4.067749977111816</t>
  </si>
  <si>
    <t>445440000</t>
  </si>
  <si>
    <t>2019-06-28</t>
  </si>
  <si>
    <t>4.0815558433532715</t>
  </si>
  <si>
    <t>4.10575008392334</t>
  </si>
  <si>
    <t>4.134250164031982</t>
  </si>
  <si>
    <t>4.058750152587891</t>
  </si>
  <si>
    <t>4.125</t>
  </si>
  <si>
    <t>397668000</t>
  </si>
  <si>
    <t>2019-07-01</t>
  </si>
  <si>
    <t>4.129770278930664</t>
  </si>
  <si>
    <t>4.154250144958496</t>
  </si>
  <si>
    <t>4.348750114440918</t>
  </si>
  <si>
    <t>4.116499900817871</t>
  </si>
  <si>
    <t>4.3142499923706055</t>
  </si>
  <si>
    <t>709756000</t>
  </si>
  <si>
    <t>2019-07-02</t>
  </si>
  <si>
    <t>4.0318498611450195</t>
  </si>
  <si>
    <t>4.055749893188477</t>
  </si>
  <si>
    <t>4.158750057220459</t>
  </si>
  <si>
    <t>4.042500019073486</t>
  </si>
  <si>
    <t>4.137499809265137</t>
  </si>
  <si>
    <t>400228000</t>
  </si>
  <si>
    <t>2019-07-03</t>
  </si>
  <si>
    <t>4.044771671295166</t>
  </si>
  <si>
    <t>4.068749904632568</t>
  </si>
  <si>
    <t>4.085000038146973</t>
  </si>
  <si>
    <t>4.008500099182129</t>
  </si>
  <si>
    <t>4.079249858856201</t>
  </si>
  <si>
    <t>246636000</t>
  </si>
  <si>
    <t>2019-07-05</t>
  </si>
  <si>
    <t>3.9821436405181885</t>
  </si>
  <si>
    <t>4.0057501792907715</t>
  </si>
  <si>
    <t>4.014500141143799</t>
  </si>
  <si>
    <t>3.941999912261963</t>
  </si>
  <si>
    <t>4.010000228881836</t>
  </si>
  <si>
    <t>396552000</t>
  </si>
  <si>
    <t>2019-07-08</t>
  </si>
  <si>
    <t>3.9070887565612793</t>
  </si>
  <si>
    <t>3.9302499294281006</t>
  </si>
  <si>
    <t>3.964750051498413</t>
  </si>
  <si>
    <t>3.9000000953674316</t>
  </si>
  <si>
    <t>3.9457499980926514</t>
  </si>
  <si>
    <t>329788000</t>
  </si>
  <si>
    <t>2019-07-09</t>
  </si>
  <si>
    <t>3.909574031829834</t>
  </si>
  <si>
    <t>3.9609999656677246</t>
  </si>
  <si>
    <t>3.8877499103546143</t>
  </si>
  <si>
    <t>342860000</t>
  </si>
  <si>
    <t>2019-07-10</t>
  </si>
  <si>
    <t>3.977918863296509</t>
  </si>
  <si>
    <t>4.001500129699707</t>
  </si>
  <si>
    <t>4.0592498779296875</t>
  </si>
  <si>
    <t>452076000</t>
  </si>
  <si>
    <t>2019-07-11</t>
  </si>
  <si>
    <t>4.132503509521484</t>
  </si>
  <si>
    <t>4.1570000648498535</t>
  </si>
  <si>
    <t>4.197999954223633</t>
  </si>
  <si>
    <t>4.074999809265137</t>
  </si>
  <si>
    <t>682560000</t>
  </si>
  <si>
    <t>2019-07-12</t>
  </si>
  <si>
    <t>4.165555953979492</t>
  </si>
  <si>
    <t>4.190249919891357</t>
  </si>
  <si>
    <t>4.261750221252441</t>
  </si>
  <si>
    <t>4.184999942779541</t>
  </si>
  <si>
    <t>506392000</t>
  </si>
  <si>
    <t>2019-07-15</t>
  </si>
  <si>
    <t>4.157106399536133</t>
  </si>
  <si>
    <t>4.1817498207092285</t>
  </si>
  <si>
    <t>4.227749824523926</t>
  </si>
  <si>
    <t>4.153250217437744</t>
  </si>
  <si>
    <t>4.21150016784668</t>
  </si>
  <si>
    <t>289840000</t>
  </si>
  <si>
    <t>2019-07-16</t>
  </si>
  <si>
    <t>4.152385711669922</t>
  </si>
  <si>
    <t>4.177000045776367</t>
  </si>
  <si>
    <t>4.204249858856201</t>
  </si>
  <si>
    <t>4.120999813079834</t>
  </si>
  <si>
    <t>4.166749954223633</t>
  </si>
  <si>
    <t>341444000</t>
  </si>
  <si>
    <t>2019-07-17</t>
  </si>
  <si>
    <t>4.217746734619141</t>
  </si>
  <si>
    <t>4.24275016784668</t>
  </si>
  <si>
    <t>4.249750137329102</t>
  </si>
  <si>
    <t>4.149250030517578</t>
  </si>
  <si>
    <t>4.178750038146973</t>
  </si>
  <si>
    <t>348204000</t>
  </si>
  <si>
    <t>2019-07-18</t>
  </si>
  <si>
    <t>4.229428291320801</t>
  </si>
  <si>
    <t>4.254499912261963</t>
  </si>
  <si>
    <t>4.317749977111816</t>
  </si>
  <si>
    <t>4.196249961853027</t>
  </si>
  <si>
    <t>4.2532501220703125</t>
  </si>
  <si>
    <t>442192000</t>
  </si>
  <si>
    <t>2019-07-19</t>
  </si>
  <si>
    <t>4.186184883117676</t>
  </si>
  <si>
    <t>4.299499988555908</t>
  </si>
  <si>
    <t>4.204999923706055</t>
  </si>
  <si>
    <t>4.293000221252441</t>
  </si>
  <si>
    <t>344896000</t>
  </si>
  <si>
    <t>2019-07-22</t>
  </si>
  <si>
    <t>4.2577595710754395</t>
  </si>
  <si>
    <t>4.2829999923706055</t>
  </si>
  <si>
    <t>4.296000003814697</t>
  </si>
  <si>
    <t>4.224999904632568</t>
  </si>
  <si>
    <t>4.232500076293945</t>
  </si>
  <si>
    <t>315940000</t>
  </si>
  <si>
    <t>2019-07-23</t>
  </si>
  <si>
    <t>4.365620136260986</t>
  </si>
  <si>
    <t>4.391499996185303</t>
  </si>
  <si>
    <t>4.393499851226807</t>
  </si>
  <si>
    <t>4.3067498207092285</t>
  </si>
  <si>
    <t>4.322500228881836</t>
  </si>
  <si>
    <t>428176000</t>
  </si>
  <si>
    <t>2019-07-24</t>
  </si>
  <si>
    <t>4.440178394317627</t>
  </si>
  <si>
    <t>4.4664998054504395</t>
  </si>
  <si>
    <t>4.472249984741211</t>
  </si>
  <si>
    <t>4.358500003814697</t>
  </si>
  <si>
    <t>4.434999942779541</t>
  </si>
  <si>
    <t>366236000</t>
  </si>
  <si>
    <t>2019-07-25</t>
  </si>
  <si>
    <t>4.308956623077393</t>
  </si>
  <si>
    <t>4.334499835968018</t>
  </si>
  <si>
    <t>4.310999870300293</t>
  </si>
  <si>
    <t>4.424749851226807</t>
  </si>
  <si>
    <t>392700000</t>
  </si>
  <si>
    <t>2019-07-26</t>
  </si>
  <si>
    <t>4.350958347320557</t>
  </si>
  <si>
    <t>4.3767499923706055</t>
  </si>
  <si>
    <t>4.423749923706055</t>
  </si>
  <si>
    <t>4.36175012588501</t>
  </si>
  <si>
    <t>274160000</t>
  </si>
  <si>
    <t>2019-07-29</t>
  </si>
  <si>
    <t>4.3447442054748535</t>
  </si>
  <si>
    <t>4.370500087738037</t>
  </si>
  <si>
    <t>4.386750221252441</t>
  </si>
  <si>
    <t>4.281750202178955</t>
  </si>
  <si>
    <t>4.369500160217285</t>
  </si>
  <si>
    <t>248160000</t>
  </si>
  <si>
    <t>2019-07-30</t>
  </si>
  <si>
    <t>4.360400676727295</t>
  </si>
  <si>
    <t>4.386250019073486</t>
  </si>
  <si>
    <t>4.398499965667725</t>
  </si>
  <si>
    <t>4.3092498779296875</t>
  </si>
  <si>
    <t>4.323750019073486</t>
  </si>
  <si>
    <t>197772000</t>
  </si>
  <si>
    <t>2019-07-31</t>
  </si>
  <si>
    <t>4.193143367767334</t>
  </si>
  <si>
    <t>4.2179999351501465</t>
  </si>
  <si>
    <t>4.355500221252441</t>
  </si>
  <si>
    <t>4.17549991607666</t>
  </si>
  <si>
    <t>4.354499816894531</t>
  </si>
  <si>
    <t>359416000</t>
  </si>
  <si>
    <t>2019-08-01</t>
  </si>
  <si>
    <t>4.098703861236572</t>
  </si>
  <si>
    <t>4.123000144958496</t>
  </si>
  <si>
    <t>4.319499969482422</t>
  </si>
  <si>
    <t>4.070499897003174</t>
  </si>
  <si>
    <t>4.228499889373779</t>
  </si>
  <si>
    <t>421212000</t>
  </si>
  <si>
    <t>2019-08-02</t>
  </si>
  <si>
    <t>4.006002426147461</t>
  </si>
  <si>
    <t>4.029749870300293</t>
  </si>
  <si>
    <t>4.0995001792907715</t>
  </si>
  <si>
    <t>3.9820001125335693</t>
  </si>
  <si>
    <t>428348000</t>
  </si>
  <si>
    <t>2019-08-05</t>
  </si>
  <si>
    <t>3.7475345134735107</t>
  </si>
  <si>
    <t>3.8450000286102295</t>
  </si>
  <si>
    <t>589156000</t>
  </si>
  <si>
    <t>2019-08-06</t>
  </si>
  <si>
    <t>3.7863047122955322</t>
  </si>
  <si>
    <t>3.8087499141693115</t>
  </si>
  <si>
    <t>3.890749931335449</t>
  </si>
  <si>
    <t>3.7607500553131104</t>
  </si>
  <si>
    <t>361272000</t>
  </si>
  <si>
    <t>2019-08-07</t>
  </si>
  <si>
    <t>3.824577569961548</t>
  </si>
  <si>
    <t>3.847249984741211</t>
  </si>
  <si>
    <t>3.859250068664551</t>
  </si>
  <si>
    <t>3.7300000190734863</t>
  </si>
  <si>
    <t>3.747499942779541</t>
  </si>
  <si>
    <t>372560000</t>
  </si>
  <si>
    <t>2019-08-08</t>
  </si>
  <si>
    <t>3.9331841468811035</t>
  </si>
  <si>
    <t>3.9565000534057617</t>
  </si>
  <si>
    <t>3.957750082015991</t>
  </si>
  <si>
    <t>3.8475000858306885</t>
  </si>
  <si>
    <t>3.905250072479248</t>
  </si>
  <si>
    <t>309300000</t>
  </si>
  <si>
    <t>2019-08-09</t>
  </si>
  <si>
    <t>3.8317854404449463</t>
  </si>
  <si>
    <t>3.8545000553131104</t>
  </si>
  <si>
    <t>3.918750047683716</t>
  </si>
  <si>
    <t>3.8037500381469727</t>
  </si>
  <si>
    <t>341816000</t>
  </si>
  <si>
    <t>2019-08-12</t>
  </si>
  <si>
    <t>3.763937473297119</t>
  </si>
  <si>
    <t>3.786250114440918</t>
  </si>
  <si>
    <t>3.7642500400543213</t>
  </si>
  <si>
    <t>3.802000045776367</t>
  </si>
  <si>
    <t>279200000</t>
  </si>
  <si>
    <t>2019-08-13</t>
  </si>
  <si>
    <t>3.8782589435577393</t>
  </si>
  <si>
    <t>3.901249885559082</t>
  </si>
  <si>
    <t>3.947499990463257</t>
  </si>
  <si>
    <t>3.745500087738037</t>
  </si>
  <si>
    <t>3.784749984741211</t>
  </si>
  <si>
    <t>351956000</t>
  </si>
  <si>
    <t>2019-08-14</t>
  </si>
  <si>
    <t>3.7296409606933594</t>
  </si>
  <si>
    <t>3.7517499923706055</t>
  </si>
  <si>
    <t>3.8237500190734863</t>
  </si>
  <si>
    <t>3.707750082015991</t>
  </si>
  <si>
    <t>3.8125</t>
  </si>
  <si>
    <t>419880000</t>
  </si>
  <si>
    <t>2019-08-15</t>
  </si>
  <si>
    <t>3.6973321437835693</t>
  </si>
  <si>
    <t>3.790750026702881</t>
  </si>
  <si>
    <t>3.6847500801086426</t>
  </si>
  <si>
    <t>3.770750045776367</t>
  </si>
  <si>
    <t>477200000</t>
  </si>
  <si>
    <t>2019-08-16</t>
  </si>
  <si>
    <t>3.9654924869537354</t>
  </si>
  <si>
    <t>3.989000082015991</t>
  </si>
  <si>
    <t>4.03849983215332</t>
  </si>
  <si>
    <t>3.921999931335449</t>
  </si>
  <si>
    <t>3.983750104904175</t>
  </si>
  <si>
    <t>1007960000</t>
  </si>
  <si>
    <t>2019-08-19</t>
  </si>
  <si>
    <t>4.244339466094971</t>
  </si>
  <si>
    <t>4.269499778747559</t>
  </si>
  <si>
    <t>4.2855000495910645</t>
  </si>
  <si>
    <t>4.086750030517578</t>
  </si>
  <si>
    <t>4.103000164031982</t>
  </si>
  <si>
    <t>815112000</t>
  </si>
  <si>
    <t>2019-08-20</t>
  </si>
  <si>
    <t>4.172018051147461</t>
  </si>
  <si>
    <t>4.196750164031982</t>
  </si>
  <si>
    <t>4.264500141143799</t>
  </si>
  <si>
    <t>4.263999938964844</t>
  </si>
  <si>
    <t>463188000</t>
  </si>
  <si>
    <t>2019-08-21</t>
  </si>
  <si>
    <t>4.255523204803467</t>
  </si>
  <si>
    <t>4.280749797821045</t>
  </si>
  <si>
    <t>4.336249828338623</t>
  </si>
  <si>
    <t>4.241499900817871</t>
  </si>
  <si>
    <t>4.26324987411499</t>
  </si>
  <si>
    <t>427244000</t>
  </si>
  <si>
    <t>2019-08-22</t>
  </si>
  <si>
    <t>4.2617363929748535</t>
  </si>
  <si>
    <t>4.2870001792907715</t>
  </si>
  <si>
    <t>4.333250045776367</t>
  </si>
  <si>
    <t>4.247499942779541</t>
  </si>
  <si>
    <t>4.290500164031982</t>
  </si>
  <si>
    <t>303488000</t>
  </si>
  <si>
    <t>2019-08-23</t>
  </si>
  <si>
    <t>4.0370683670043945</t>
  </si>
  <si>
    <t>4.060999870300293</t>
  </si>
  <si>
    <t>4.264750003814697</t>
  </si>
  <si>
    <t>4.040999889373779</t>
  </si>
  <si>
    <t>4.210000038146973</t>
  </si>
  <si>
    <t>568056000</t>
  </si>
  <si>
    <t>2019-08-26</t>
  </si>
  <si>
    <t>4.111875057220459</t>
  </si>
  <si>
    <t>4.136250019073486</t>
  </si>
  <si>
    <t>4.1645002365112305</t>
  </si>
  <si>
    <t>4.097750186920166</t>
  </si>
  <si>
    <t>4.140250205993652</t>
  </si>
  <si>
    <t>318208000</t>
  </si>
  <si>
    <t>2019-08-27</t>
  </si>
  <si>
    <t>4.021162509918213</t>
  </si>
  <si>
    <t>4.045000076293945</t>
  </si>
  <si>
    <t>4.177499771118164</t>
  </si>
  <si>
    <t>4.015500068664551</t>
  </si>
  <si>
    <t>4.174749851226807</t>
  </si>
  <si>
    <t>290968000</t>
  </si>
  <si>
    <t>2019-08-28</t>
  </si>
  <si>
    <t>4.010714054107666</t>
  </si>
  <si>
    <t>4.0304999351501465</t>
  </si>
  <si>
    <t>4.083499908447266</t>
  </si>
  <si>
    <t>3.9749999046325684</t>
  </si>
  <si>
    <t>255612000</t>
  </si>
  <si>
    <t>2019-08-29</t>
  </si>
  <si>
    <t>4.154505729675293</t>
  </si>
  <si>
    <t>4.175000190734863</t>
  </si>
  <si>
    <t>4.207499980926514</t>
  </si>
  <si>
    <t>4.11899995803833</t>
  </si>
  <si>
    <t>4.122499942779541</t>
  </si>
  <si>
    <t>357976000</t>
  </si>
  <si>
    <t>2019-08-30</t>
  </si>
  <si>
    <t>4.1671929359436035</t>
  </si>
  <si>
    <t>4.187749862670898</t>
  </si>
  <si>
    <t>4.271500110626221</t>
  </si>
  <si>
    <t>4.16949987411499</t>
  </si>
  <si>
    <t>4.221499919891357</t>
  </si>
  <si>
    <t>290616000</t>
  </si>
  <si>
    <t>2019-09-03</t>
  </si>
  <si>
    <t>4.084102153778076</t>
  </si>
  <si>
    <t>4.104249954223633</t>
  </si>
  <si>
    <t>4.147749900817871</t>
  </si>
  <si>
    <t>4.081250190734863</t>
  </si>
  <si>
    <t>4.114500045776367</t>
  </si>
  <si>
    <t>296140000</t>
  </si>
  <si>
    <t>2019-09-04</t>
  </si>
  <si>
    <t>4.198288917541504</t>
  </si>
  <si>
    <t>4.218999862670898</t>
  </si>
  <si>
    <t>4.226500034332275</t>
  </si>
  <si>
    <t>4.165249824523926</t>
  </si>
  <si>
    <t>227728000</t>
  </si>
  <si>
    <t>2019-09-05</t>
  </si>
  <si>
    <t>4.471441745758057</t>
  </si>
  <si>
    <t>4.493500232696533</t>
  </si>
  <si>
    <t>4.499750137329102</t>
  </si>
  <si>
    <t>4.320000171661377</t>
  </si>
  <si>
    <t>4.321750164031982</t>
  </si>
  <si>
    <t>695676000</t>
  </si>
  <si>
    <t>2019-09-06</t>
  </si>
  <si>
    <t>4.444324493408203</t>
  </si>
  <si>
    <t>4.466249942779541</t>
  </si>
  <si>
    <t>4.527249813079834</t>
  </si>
  <si>
    <t>4.427999973297119</t>
  </si>
  <si>
    <t>4.46999979019165</t>
  </si>
  <si>
    <t>376976000</t>
  </si>
  <si>
    <t>2019-09-09</t>
  </si>
  <si>
    <t>4.490347862243652</t>
  </si>
  <si>
    <t>4.512499809265137</t>
  </si>
  <si>
    <t>4.5995001792907715</t>
  </si>
  <si>
    <t>4.495999813079834</t>
  </si>
  <si>
    <t>417524000</t>
  </si>
  <si>
    <t>2019-09-10</t>
  </si>
  <si>
    <t>4.557019233703613</t>
  </si>
  <si>
    <t>4.579500198364258</t>
  </si>
  <si>
    <t>4.606249809265137</t>
  </si>
  <si>
    <t>4.469749927520752</t>
  </si>
  <si>
    <t>4.479499816894531</t>
  </si>
  <si>
    <t>352812000</t>
  </si>
  <si>
    <t>2019-09-11</t>
  </si>
  <si>
    <t>4.585628509521484</t>
  </si>
  <si>
    <t>4.608250141143799</t>
  </si>
  <si>
    <t>4.656750202178955</t>
  </si>
  <si>
    <t>4.565000057220459</t>
  </si>
  <si>
    <t>4.594250202178955</t>
  </si>
  <si>
    <t>361512000</t>
  </si>
  <si>
    <t>2019-09-12</t>
  </si>
  <si>
    <t>4.58413553237915</t>
  </si>
  <si>
    <t>4.606750011444092</t>
  </si>
  <si>
    <t>4.710000038146973</t>
  </si>
  <si>
    <t>4.598750114440918</t>
  </si>
  <si>
    <t>4.65500020980835</t>
  </si>
  <si>
    <t>327840000</t>
  </si>
  <si>
    <t>2019-09-13</t>
  </si>
  <si>
    <t>4.526171684265137</t>
  </si>
  <si>
    <t>4.548500061035156</t>
  </si>
  <si>
    <t>4.577000141143799</t>
  </si>
  <si>
    <t>4.504499912261963</t>
  </si>
  <si>
    <t>4.539750099182129</t>
  </si>
  <si>
    <t>324592000</t>
  </si>
  <si>
    <t>2019-09-16</t>
  </si>
  <si>
    <t>4.4831342697143555</t>
  </si>
  <si>
    <t>4.505249977111816</t>
  </si>
  <si>
    <t>4.539999961853027</t>
  </si>
  <si>
    <t>4.462500095367432</t>
  </si>
  <si>
    <t>4.4730000495910645</t>
  </si>
  <si>
    <t>231832000</t>
  </si>
  <si>
    <t>2019-09-17</t>
  </si>
  <si>
    <t>4.504528045654297</t>
  </si>
  <si>
    <t>4.526750087738037</t>
  </si>
  <si>
    <t>4.531000137329102</t>
  </si>
  <si>
    <t>4.465250015258789</t>
  </si>
  <si>
    <t>4.51200008392334</t>
  </si>
  <si>
    <t>223048000</t>
  </si>
  <si>
    <t>2019-09-18</t>
  </si>
  <si>
    <t>4.47741174697876</t>
  </si>
  <si>
    <t>4.499499797821045</t>
  </si>
  <si>
    <t>4.5355000495910645</t>
  </si>
  <si>
    <t>4.519750118255615</t>
  </si>
  <si>
    <t>258152000</t>
  </si>
  <si>
    <t>2019-09-19</t>
  </si>
  <si>
    <t>4.4017863273620605</t>
  </si>
  <si>
    <t>4.52400016784668</t>
  </si>
  <si>
    <t>4.412749767303467</t>
  </si>
  <si>
    <t>4.505499839782715</t>
  </si>
  <si>
    <t>245476000</t>
  </si>
  <si>
    <t>2019-09-20</t>
  </si>
  <si>
    <t>4.296057224273682</t>
  </si>
  <si>
    <t>4.317249774932861</t>
  </si>
  <si>
    <t>4.446249961853027</t>
  </si>
  <si>
    <t>4.307000160217285</t>
  </si>
  <si>
    <t>4.422500133514404</t>
  </si>
  <si>
    <t>350244000</t>
  </si>
  <si>
    <t>2019-09-23</t>
  </si>
  <si>
    <t>4.349542617797852</t>
  </si>
  <si>
    <t>4.370999813079834</t>
  </si>
  <si>
    <t>4.416749954223633</t>
  </si>
  <si>
    <t>4.31374979019165</t>
  </si>
  <si>
    <t>4.317500114440918</t>
  </si>
  <si>
    <t>249712000</t>
  </si>
  <si>
    <t>2019-09-24</t>
  </si>
  <si>
    <t>4.292075157165527</t>
  </si>
  <si>
    <t>4.3132500648498535</t>
  </si>
  <si>
    <t>4.432250022888184</t>
  </si>
  <si>
    <t>4.277500152587891</t>
  </si>
  <si>
    <t>4.402500152587891</t>
  </si>
  <si>
    <t>317268000</t>
  </si>
  <si>
    <t>2019-09-25</t>
  </si>
  <si>
    <t>4.433876037597656</t>
  </si>
  <si>
    <t>4.455749988555908</t>
  </si>
  <si>
    <t>4.475500106811523</t>
  </si>
  <si>
    <t>4.267749786376953</t>
  </si>
  <si>
    <t>4.312749862670898</t>
  </si>
  <si>
    <t>308432000</t>
  </si>
  <si>
    <t>2019-09-26</t>
  </si>
  <si>
    <t>4.411736011505127</t>
  </si>
  <si>
    <t>4.433499813079834</t>
  </si>
  <si>
    <t>4.454750061035156</t>
  </si>
  <si>
    <t>4.38224983215332</t>
  </si>
  <si>
    <t>4.446000099182129</t>
  </si>
  <si>
    <t>234564000</t>
  </si>
  <si>
    <t>2019-09-27</t>
  </si>
  <si>
    <t>4.272920608520508</t>
  </si>
  <si>
    <t>4.294000148773193</t>
  </si>
  <si>
    <t>4.442500114440918</t>
  </si>
  <si>
    <t>4.232999801635742</t>
  </si>
  <si>
    <t>362056000</t>
  </si>
  <si>
    <t>2019-09-30</t>
  </si>
  <si>
    <t>4.330386161804199</t>
  </si>
  <si>
    <t>4.351749897003174</t>
  </si>
  <si>
    <t>4.361999988555908</t>
  </si>
  <si>
    <t>4.28849983215332</t>
  </si>
  <si>
    <t>186184000</t>
  </si>
  <si>
    <t>2019-10-01</t>
  </si>
  <si>
    <t>4.328645706176758</t>
  </si>
  <si>
    <t>4.345250129699707</t>
  </si>
  <si>
    <t>4.375</t>
  </si>
  <si>
    <t>366008000</t>
  </si>
  <si>
    <t>2019-10-02</t>
  </si>
  <si>
    <t>4.3047637939453125</t>
  </si>
  <si>
    <t>4.326000213623047</t>
  </si>
  <si>
    <t>4.340000152587891</t>
  </si>
  <si>
    <t>4.328000068664551</t>
  </si>
  <si>
    <t>293372000</t>
  </si>
  <si>
    <t>2019-10-03</t>
  </si>
  <si>
    <t>4.510499477386475</t>
  </si>
  <si>
    <t>4.532750129699707</t>
  </si>
  <si>
    <t>4.539000034332275</t>
  </si>
  <si>
    <t>4.33050012588501</t>
  </si>
  <si>
    <t>450588000</t>
  </si>
  <si>
    <t>2019-10-04</t>
  </si>
  <si>
    <t>4.526918411254883</t>
  </si>
  <si>
    <t>4.54925012588501</t>
  </si>
  <si>
    <t>4.578750133514404</t>
  </si>
  <si>
    <t>4.4695000648498535</t>
  </si>
  <si>
    <t>4.534999847412109</t>
  </si>
  <si>
    <t>265524000</t>
  </si>
  <si>
    <t>2019-10-07</t>
  </si>
  <si>
    <t>4.708499908447266</t>
  </si>
  <si>
    <t>4.60575008392334</t>
  </si>
  <si>
    <t>4.614500045776367</t>
  </si>
  <si>
    <t>480984000</t>
  </si>
  <si>
    <t>2019-10-08</t>
  </si>
  <si>
    <t>4.408999443054199</t>
  </si>
  <si>
    <t>4.430749893188477</t>
  </si>
  <si>
    <t>4.515999794006348</t>
  </si>
  <si>
    <t>444436000</t>
  </si>
  <si>
    <t>2019-10-09</t>
  </si>
  <si>
    <t>4.495572090148926</t>
  </si>
  <si>
    <t>4.567500114440918</t>
  </si>
  <si>
    <t>4.479000091552734</t>
  </si>
  <si>
    <t>4.507999897003174</t>
  </si>
  <si>
    <t>292412000</t>
  </si>
  <si>
    <t>2019-10-10</t>
  </si>
  <si>
    <t>4.553287982940674</t>
  </si>
  <si>
    <t>4.57574987411499</t>
  </si>
  <si>
    <t>4.626999855041504</t>
  </si>
  <si>
    <t>4.510250091552734</t>
  </si>
  <si>
    <t>4.515500068664551</t>
  </si>
  <si>
    <t>309124000</t>
  </si>
  <si>
    <t>2019-10-11</t>
  </si>
  <si>
    <t>4.62692403793335</t>
  </si>
  <si>
    <t>4.649750232696533</t>
  </si>
  <si>
    <t>4.733500003814697</t>
  </si>
  <si>
    <t>4.641250133514404</t>
  </si>
  <si>
    <t>4.660250186920166</t>
  </si>
  <si>
    <t>446404000</t>
  </si>
  <si>
    <t>2019-10-14</t>
  </si>
  <si>
    <t>4.640357971191406</t>
  </si>
  <si>
    <t>4.663249969482422</t>
  </si>
  <si>
    <t>4.6842498779296875</t>
  </si>
  <si>
    <t>4.609749794006348</t>
  </si>
  <si>
    <t>4.640999794006348</t>
  </si>
  <si>
    <t>200040000</t>
  </si>
  <si>
    <t>2019-10-15</t>
  </si>
  <si>
    <t>4.885150909423828</t>
  </si>
  <si>
    <t>4.909249782562256</t>
  </si>
  <si>
    <t>4.982250213623047</t>
  </si>
  <si>
    <t>4.739999771118164</t>
  </si>
  <si>
    <t>4.754000186920166</t>
  </si>
  <si>
    <t>664124000</t>
  </si>
  <si>
    <t>2019-10-16</t>
  </si>
  <si>
    <t>4.83141565322876</t>
  </si>
  <si>
    <t>4.855249881744385</t>
  </si>
  <si>
    <t>4.980500221252441</t>
  </si>
  <si>
    <t>4.84375</t>
  </si>
  <si>
    <t>4.875</t>
  </si>
  <si>
    <t>428944000</t>
  </si>
  <si>
    <t>2019-10-17</t>
  </si>
  <si>
    <t>4.833406448364258</t>
  </si>
  <si>
    <t>4.857250213623047</t>
  </si>
  <si>
    <t>4.945250034332275</t>
  </si>
  <si>
    <t>4.900000095367432</t>
  </si>
  <si>
    <t>263436000</t>
  </si>
  <si>
    <t>2019-10-18</t>
  </si>
  <si>
    <t>4.738872051239014</t>
  </si>
  <si>
    <t>4.762249946594238</t>
  </si>
  <si>
    <t>4.890500068664551</t>
  </si>
  <si>
    <t>4.6875</t>
  </si>
  <si>
    <t>4.857749938964844</t>
  </si>
  <si>
    <t>307440000</t>
  </si>
  <si>
    <t>2019-10-21</t>
  </si>
  <si>
    <t>4.876194477081299</t>
  </si>
  <si>
    <t>4.90024995803833</t>
  </si>
  <si>
    <t>4.913750171661377</t>
  </si>
  <si>
    <t>4.823999881744385</t>
  </si>
  <si>
    <t>261868000</t>
  </si>
  <si>
    <t>2019-10-22</t>
  </si>
  <si>
    <t>4.866243839263916</t>
  </si>
  <si>
    <t>4.890250205993652</t>
  </si>
  <si>
    <t>5.0632500648498535</t>
  </si>
  <si>
    <t>4.882500171661377</t>
  </si>
  <si>
    <t>4.957499980926514</t>
  </si>
  <si>
    <t>328720000</t>
  </si>
  <si>
    <t>2019-10-23</t>
  </si>
  <si>
    <t>4.853307723999023</t>
  </si>
  <si>
    <t>4.8772501945495605</t>
  </si>
  <si>
    <t>4.891499996185303</t>
  </si>
  <si>
    <t>4.775750160217285</t>
  </si>
  <si>
    <t>4.807750225067139</t>
  </si>
  <si>
    <t>279916000</t>
  </si>
  <si>
    <t>2019-10-24</t>
  </si>
  <si>
    <t>4.897339344024658</t>
  </si>
  <si>
    <t>4.921500205993652</t>
  </si>
  <si>
    <t>4.955249786376953</t>
  </si>
  <si>
    <t>4.884500026702881</t>
  </si>
  <si>
    <t>4.918749809265137</t>
  </si>
  <si>
    <t>232020000</t>
  </si>
  <si>
    <t>2019-10-25</t>
  </si>
  <si>
    <t>5.08839750289917</t>
  </si>
  <si>
    <t>5.113500118255615</t>
  </si>
  <si>
    <t>5.134500026702881</t>
  </si>
  <si>
    <t>4.994750022888184</t>
  </si>
  <si>
    <t>5.002500057220459</t>
  </si>
  <si>
    <t>423092000</t>
  </si>
  <si>
    <t>2019-10-28</t>
  </si>
  <si>
    <t>5.144372463226318</t>
  </si>
  <si>
    <t>5.169750213623047</t>
  </si>
  <si>
    <t>5.222499847412109</t>
  </si>
  <si>
    <t>5.127999782562256</t>
  </si>
  <si>
    <t>330792000</t>
  </si>
  <si>
    <t>2019-10-29</t>
  </si>
  <si>
    <t>5.048096656799316</t>
  </si>
  <si>
    <t>5.072999954223633</t>
  </si>
  <si>
    <t>5.16225004196167</t>
  </si>
  <si>
    <t>5.053500175476074</t>
  </si>
  <si>
    <t>5.155749797821045</t>
  </si>
  <si>
    <t>211236000</t>
  </si>
  <si>
    <t>2019-10-30</t>
  </si>
  <si>
    <t>5.050086975097656</t>
  </si>
  <si>
    <t>5.10575008392334</t>
  </si>
  <si>
    <t>5.006499767303467</t>
  </si>
  <si>
    <t>205960000</t>
  </si>
  <si>
    <t>2019-10-31</t>
  </si>
  <si>
    <t>5.000829219818115</t>
  </si>
  <si>
    <t>5.0254998207092285</t>
  </si>
  <si>
    <t>5.053999900817871</t>
  </si>
  <si>
    <t>209732000</t>
  </si>
  <si>
    <t>2019-11-01</t>
  </si>
  <si>
    <t>5.039887428283691</t>
  </si>
  <si>
    <t>5.0647501945495605</t>
  </si>
  <si>
    <t>5.097249984741211</t>
  </si>
  <si>
    <t>4.964749813079834</t>
  </si>
  <si>
    <t>4.989999771118164</t>
  </si>
  <si>
    <t>283640000</t>
  </si>
  <si>
    <t>2019-11-04</t>
  </si>
  <si>
    <t>5.23666524887085</t>
  </si>
  <si>
    <t>5.262499809265137</t>
  </si>
  <si>
    <t>5.275000095367432</t>
  </si>
  <si>
    <t>5.123000144958496</t>
  </si>
  <si>
    <t>5.146249771118164</t>
  </si>
  <si>
    <t>376716000</t>
  </si>
  <si>
    <t>2019-11-05</t>
  </si>
  <si>
    <t>5.214526653289795</t>
  </si>
  <si>
    <t>5.240250110626221</t>
  </si>
  <si>
    <t>5.28849983215332</t>
  </si>
  <si>
    <t>5.191999912261963</t>
  </si>
  <si>
    <t>5.262249946594238</t>
  </si>
  <si>
    <t>300868000</t>
  </si>
  <si>
    <t>2019-11-06</t>
  </si>
  <si>
    <t>5.16526985168457</t>
  </si>
  <si>
    <t>5.1907501220703125</t>
  </si>
  <si>
    <t>5.2417497634887695</t>
  </si>
  <si>
    <t>5.102749824523926</t>
  </si>
  <si>
    <t>5.216000080108643</t>
  </si>
  <si>
    <t>269012000</t>
  </si>
  <si>
    <t>2019-11-07</t>
  </si>
  <si>
    <t>5.1829328536987305</t>
  </si>
  <si>
    <t>5.208499908447266</t>
  </si>
  <si>
    <t>5.292500019073486</t>
  </si>
  <si>
    <t>5.16349983215332</t>
  </si>
  <si>
    <t>5.277750015258789</t>
  </si>
  <si>
    <t>280340000</t>
  </si>
  <si>
    <t>2019-11-08</t>
  </si>
  <si>
    <t>5.169000148773193</t>
  </si>
  <si>
    <t>5.194499969482422</t>
  </si>
  <si>
    <t>5.226250171661377</t>
  </si>
  <si>
    <t>5.153749942779541</t>
  </si>
  <si>
    <t>5.191500186920166</t>
  </si>
  <si>
    <t>189100000</t>
  </si>
  <si>
    <t>2019-11-11</t>
  </si>
  <si>
    <t>5.178950786590576</t>
  </si>
  <si>
    <t>5.204500198364258</t>
  </si>
  <si>
    <t>5.227749824523926</t>
  </si>
  <si>
    <t>5.10699987411499</t>
  </si>
  <si>
    <t>5.193749904632568</t>
  </si>
  <si>
    <t>243436000</t>
  </si>
  <si>
    <t>2019-11-12</t>
  </si>
  <si>
    <t>5.296500205993652</t>
  </si>
  <si>
    <t>5.207749843597412</t>
  </si>
  <si>
    <t>5.243000030517578</t>
  </si>
  <si>
    <t>283504000</t>
  </si>
  <si>
    <t>2019-11-13</t>
  </si>
  <si>
    <t>5.188652992248535</t>
  </si>
  <si>
    <t>5.214250087738037</t>
  </si>
  <si>
    <t>5.236499786376953</t>
  </si>
  <si>
    <t>5.147500038146973</t>
  </si>
  <si>
    <t>5.208749771118164</t>
  </si>
  <si>
    <t>300188000</t>
  </si>
  <si>
    <t>2019-11-14</t>
  </si>
  <si>
    <t>5.219002723693848</t>
  </si>
  <si>
    <t>5.244750022888184</t>
  </si>
  <si>
    <t>5.247000217437744</t>
  </si>
  <si>
    <t>5.163000106811523</t>
  </si>
  <si>
    <t>5.223249912261963</t>
  </si>
  <si>
    <t>518080000</t>
  </si>
  <si>
    <t>2019-11-15</t>
  </si>
  <si>
    <t>5.079690933227539</t>
  </si>
  <si>
    <t>5.104750156402588</t>
  </si>
  <si>
    <t>5.29449987411499</t>
  </si>
  <si>
    <t>5.015999794006348</t>
  </si>
  <si>
    <t>5.242499828338623</t>
  </si>
  <si>
    <t>1053628000</t>
  </si>
  <si>
    <t>2019-11-18</t>
  </si>
  <si>
    <t>5.280947685241699</t>
  </si>
  <si>
    <t>5.307000160217285</t>
  </si>
  <si>
    <t>5.333749771118164</t>
  </si>
  <si>
    <t>5.094250202178955</t>
  </si>
  <si>
    <t>574588000</t>
  </si>
  <si>
    <t>2019-11-19</t>
  </si>
  <si>
    <t>5.174224376678467</t>
  </si>
  <si>
    <t>5.199749946594238</t>
  </si>
  <si>
    <t>5.299499988555908</t>
  </si>
  <si>
    <t>5.141250133514404</t>
  </si>
  <si>
    <t>5.275750160217285</t>
  </si>
  <si>
    <t>414564000</t>
  </si>
  <si>
    <t>2019-11-20</t>
  </si>
  <si>
    <t>5.253581523895264</t>
  </si>
  <si>
    <t>5.363749980926514</t>
  </si>
  <si>
    <t>5.164000034332275</t>
  </si>
  <si>
    <t>5.176750183105469</t>
  </si>
  <si>
    <t>472588000</t>
  </si>
  <si>
    <t>2019-11-21</t>
  </si>
  <si>
    <t>5.228705883026123</t>
  </si>
  <si>
    <t>5.254499912261963</t>
  </si>
  <si>
    <t>5.330999851226807</t>
  </si>
  <si>
    <t>5.232749938964844</t>
  </si>
  <si>
    <t>288388000</t>
  </si>
  <si>
    <t>2019-11-22</t>
  </si>
  <si>
    <t>5.246369361877441</t>
  </si>
  <si>
    <t>5.272250175476074</t>
  </si>
  <si>
    <t>5.323999881744385</t>
  </si>
  <si>
    <t>5.248499870300293</t>
  </si>
  <si>
    <t>5.277249813079834</t>
  </si>
  <si>
    <t>224100000</t>
  </si>
  <si>
    <t>2019-11-25</t>
  </si>
  <si>
    <t>5.503101825714111</t>
  </si>
  <si>
    <t>5.530250072479248</t>
  </si>
  <si>
    <t>5.535250186920166</t>
  </si>
  <si>
    <t>5.388000011444092</t>
  </si>
  <si>
    <t>5.401000022888184</t>
  </si>
  <si>
    <t>506476000</t>
  </si>
  <si>
    <t>2019-11-26</t>
  </si>
  <si>
    <t>5.398367881774902</t>
  </si>
  <si>
    <t>5.517250061035156</t>
  </si>
  <si>
    <t>5.418499946594238</t>
  </si>
  <si>
    <t>5.512499809265137</t>
  </si>
  <si>
    <t>385244000</t>
  </si>
  <si>
    <t>2019-11-27</t>
  </si>
  <si>
    <t>5.43322229385376</t>
  </si>
  <si>
    <t>5.455999851226807</t>
  </si>
  <si>
    <t>5.50124979019165</t>
  </si>
  <si>
    <t>5.429500102996826</t>
  </si>
  <si>
    <t>5.466750144958496</t>
  </si>
  <si>
    <t>215784000</t>
  </si>
  <si>
    <t>2019-11-29</t>
  </si>
  <si>
    <t>5.39587926864624</t>
  </si>
  <si>
    <t>5.453499794006348</t>
  </si>
  <si>
    <t>5.394499778747559</t>
  </si>
  <si>
    <t>141556000</t>
  </si>
  <si>
    <t>2019-12-02</t>
  </si>
  <si>
    <t>5.209410190582275</t>
  </si>
  <si>
    <t>5.231249809265137</t>
  </si>
  <si>
    <t>5.411499977111816</t>
  </si>
  <si>
    <t>372036000</t>
  </si>
  <si>
    <t>2019-12-03</t>
  </si>
  <si>
    <t>5.169826984405518</t>
  </si>
  <si>
    <t>5.195499897003174</t>
  </si>
  <si>
    <t>5.009250164031982</t>
  </si>
  <si>
    <t>5.046750068664551</t>
  </si>
  <si>
    <t>465232000</t>
  </si>
  <si>
    <t>2019-12-04</t>
  </si>
  <si>
    <t>5.213642597198486</t>
  </si>
  <si>
    <t>5.235499858856201</t>
  </si>
  <si>
    <t>5.297999858856201</t>
  </si>
  <si>
    <t>5.20674991607666</t>
  </si>
  <si>
    <t>5.2754998207092285</t>
  </si>
  <si>
    <t>273424000</t>
  </si>
  <si>
    <t>2019-12-05</t>
  </si>
  <si>
    <t>5.196713924407959</t>
  </si>
  <si>
    <t>5.218500137329102</t>
  </si>
  <si>
    <t>5.273250102996826</t>
  </si>
  <si>
    <t>5.187749862670898</t>
  </si>
  <si>
    <t>184884000</t>
  </si>
  <si>
    <t>2019-12-06</t>
  </si>
  <si>
    <t>5.282106399536133</t>
  </si>
  <si>
    <t>5.3042497634887695</t>
  </si>
  <si>
    <t>5.337250232696533</t>
  </si>
  <si>
    <t>5.2779998779296875</t>
  </si>
  <si>
    <t>5.288000106811523</t>
  </si>
  <si>
    <t>232236000</t>
  </si>
  <si>
    <t>2019-12-09</t>
  </si>
  <si>
    <t>5.359250068664551</t>
  </si>
  <si>
    <t>5.272500038146973</t>
  </si>
  <si>
    <t>5.28125</t>
  </si>
  <si>
    <t>211880000</t>
  </si>
  <si>
    <t>2019-12-10</t>
  </si>
  <si>
    <t>5.3271684646606445</t>
  </si>
  <si>
    <t>5.3495001792907715</t>
  </si>
  <si>
    <t>5.401500225067139</t>
  </si>
  <si>
    <t>5.281499862670898</t>
  </si>
  <si>
    <t>5.334499835968018</t>
  </si>
  <si>
    <t>256388000</t>
  </si>
  <si>
    <t>2019-12-11</t>
  </si>
  <si>
    <t>5.410815238952637</t>
  </si>
  <si>
    <t>5.433499813079834</t>
  </si>
  <si>
    <t>5.439000129699707</t>
  </si>
  <si>
    <t>5.357500076293945</t>
  </si>
  <si>
    <t>5.360000133514404</t>
  </si>
  <si>
    <t>233796000</t>
  </si>
  <si>
    <t>2019-12-12</t>
  </si>
  <si>
    <t>5.578363418579102</t>
  </si>
  <si>
    <t>5.601749897003174</t>
  </si>
  <si>
    <t>5.619999885559082</t>
  </si>
  <si>
    <t>5.395500183105469</t>
  </si>
  <si>
    <t>5.4045000076293945</t>
  </si>
  <si>
    <t>404348000</t>
  </si>
  <si>
    <t>2019-12-13</t>
  </si>
  <si>
    <t>5.5763726234436035</t>
  </si>
  <si>
    <t>5.59975004196167</t>
  </si>
  <si>
    <t>5.545499801635742</t>
  </si>
  <si>
    <t>454704000</t>
  </si>
  <si>
    <t>2019-12-16</t>
  </si>
  <si>
    <t>5.605250835418701</t>
  </si>
  <si>
    <t>5.628749847412109</t>
  </si>
  <si>
    <t>5.701499938964844</t>
  </si>
  <si>
    <t>5.6192498207092285</t>
  </si>
  <si>
    <t>5.647500038146973</t>
  </si>
  <si>
    <t>320976000</t>
  </si>
  <si>
    <t>2019-12-17</t>
  </si>
  <si>
    <t>5.68342399597168</t>
  </si>
  <si>
    <t>5.707250118255615</t>
  </si>
  <si>
    <t>5.730000019073486</t>
  </si>
  <si>
    <t>321196000</t>
  </si>
  <si>
    <t>2019-12-18</t>
  </si>
  <si>
    <t>5.713796138763428</t>
  </si>
  <si>
    <t>5.737750053405762</t>
  </si>
  <si>
    <t>5.798500061035156</t>
  </si>
  <si>
    <t>5.733749866485596</t>
  </si>
  <si>
    <t>5.742249965667725</t>
  </si>
  <si>
    <t>343548000</t>
  </si>
  <si>
    <t>2019-12-19</t>
  </si>
  <si>
    <t>5.861926078796387</t>
  </si>
  <si>
    <t>5.886499881744385</t>
  </si>
  <si>
    <t>5.900000095367432</t>
  </si>
  <si>
    <t>5.767499923706055</t>
  </si>
  <si>
    <t>5.772500038146973</t>
  </si>
  <si>
    <t>445360000</t>
  </si>
  <si>
    <t>2019-12-20</t>
  </si>
  <si>
    <t>5.959266662597656</t>
  </si>
  <si>
    <t>5.984250068664551</t>
  </si>
  <si>
    <t>6.009749889373779</t>
  </si>
  <si>
    <t>5.953249931335449</t>
  </si>
  <si>
    <t>603044000</t>
  </si>
  <si>
    <t>2019-12-23</t>
  </si>
  <si>
    <t>5.945576190948486</t>
  </si>
  <si>
    <t>5.9704999923706055</t>
  </si>
  <si>
    <t>6.045249938964844</t>
  </si>
  <si>
    <t>5.959750175476074</t>
  </si>
  <si>
    <t>6.013000011444092</t>
  </si>
  <si>
    <t>355060000</t>
  </si>
  <si>
    <t>2019-12-24</t>
  </si>
  <si>
    <t>5.940596103668213</t>
  </si>
  <si>
    <t>5.9654998779296875</t>
  </si>
  <si>
    <t>5.982749938964844</t>
  </si>
  <si>
    <t>5.920499801635742</t>
  </si>
  <si>
    <t>5.954999923706055</t>
  </si>
  <si>
    <t>138864000</t>
  </si>
  <si>
    <t>2019-12-26</t>
  </si>
  <si>
    <t>5.9547858238220215</t>
  </si>
  <si>
    <t>6.007999897003174</t>
  </si>
  <si>
    <t>5.968999862670898</t>
  </si>
  <si>
    <t>182852000</t>
  </si>
  <si>
    <t>2019-12-27</t>
  </si>
  <si>
    <t>5.897027015686035</t>
  </si>
  <si>
    <t>5.921750068664551</t>
  </si>
  <si>
    <t>5.895249843597412</t>
  </si>
  <si>
    <t>5.994999885559082</t>
  </si>
  <si>
    <t>254644000</t>
  </si>
  <si>
    <t>2019-12-30</t>
  </si>
  <si>
    <t>5.783754348754883</t>
  </si>
  <si>
    <t>5.808000087738037</t>
  </si>
  <si>
    <t>5.90500020980835</t>
  </si>
  <si>
    <t>5.776500225067139</t>
  </si>
  <si>
    <t>5.899750232696533</t>
  </si>
  <si>
    <t>258056000</t>
  </si>
  <si>
    <t>2019-12-31</t>
  </si>
  <si>
    <t>5.8579421043396</t>
  </si>
  <si>
    <t>5.882500171661377</t>
  </si>
  <si>
    <t>5.892000198364258</t>
  </si>
  <si>
    <t>5.7532501220703125</t>
  </si>
  <si>
    <t>231004000</t>
  </si>
  <si>
    <t>2020-01-02</t>
  </si>
  <si>
    <t>5.972710132598877</t>
  </si>
  <si>
    <t>5.918000221252441</t>
  </si>
  <si>
    <t>5.96875</t>
  </si>
  <si>
    <t>237536000</t>
  </si>
  <si>
    <t>2020-01-03</t>
  </si>
  <si>
    <t>5.87711238861084</t>
  </si>
  <si>
    <t>5.901750087738037</t>
  </si>
  <si>
    <t>5.9457502365112305</t>
  </si>
  <si>
    <t>5.852499961853027</t>
  </si>
  <si>
    <t>205384000</t>
  </si>
  <si>
    <t>2020-01-06</t>
  </si>
  <si>
    <t>5.90175724029541</t>
  </si>
  <si>
    <t>5.926499843597412</t>
  </si>
  <si>
    <t>5.9317498207092285</t>
  </si>
  <si>
    <t>5.781750202178955</t>
  </si>
  <si>
    <t>262636000</t>
  </si>
  <si>
    <t>2020-01-07</t>
  </si>
  <si>
    <t>5.973208904266357</t>
  </si>
  <si>
    <t>6.044250011444092</t>
  </si>
  <si>
    <t>5.909749984741211</t>
  </si>
  <si>
    <t>314856000</t>
  </si>
  <si>
    <t>2020-01-08</t>
  </si>
  <si>
    <t>5.98441219329834</t>
  </si>
  <si>
    <t>6.009500026702881</t>
  </si>
  <si>
    <t>6.051000118255615</t>
  </si>
  <si>
    <t>5.953750133514404</t>
  </si>
  <si>
    <t>5.99399995803833</t>
  </si>
  <si>
    <t>277108000</t>
  </si>
  <si>
    <t>2020-01-09</t>
  </si>
  <si>
    <t>6.050135612487793</t>
  </si>
  <si>
    <t>6.075500011444092</t>
  </si>
  <si>
    <t>6.096250057220459</t>
  </si>
  <si>
    <t>255112000</t>
  </si>
  <si>
    <t>2020-01-10</t>
  </si>
  <si>
    <t>6.082500457763672</t>
  </si>
  <si>
    <t>6.107999801635742</t>
  </si>
  <si>
    <t>316296000</t>
  </si>
  <si>
    <t>2020-01-13</t>
  </si>
  <si>
    <t>6.273200511932373</t>
  </si>
  <si>
    <t>6.191500186920166</t>
  </si>
  <si>
    <t>319840000</t>
  </si>
  <si>
    <t>2020-01-14</t>
  </si>
  <si>
    <t>6.156191349029541</t>
  </si>
  <si>
    <t>6.182000160217285</t>
  </si>
  <si>
    <t>6.2820000648498535</t>
  </si>
  <si>
    <t>6.256499767303467</t>
  </si>
  <si>
    <t>359088000</t>
  </si>
  <si>
    <t>2020-01-15</t>
  </si>
  <si>
    <t>6.113620281219482</t>
  </si>
  <si>
    <t>6.139249801635742</t>
  </si>
  <si>
    <t>6.19474983215332</t>
  </si>
  <si>
    <t>263104000</t>
  </si>
  <si>
    <t>2020-01-16</t>
  </si>
  <si>
    <t>6.197269439697266</t>
  </si>
  <si>
    <t>6.223249912261963</t>
  </si>
  <si>
    <t>6.229249954223633</t>
  </si>
  <si>
    <t>6.16949987411499</t>
  </si>
  <si>
    <t>6.192999839782715</t>
  </si>
  <si>
    <t>284192000</t>
  </si>
  <si>
    <t>2020-01-17</t>
  </si>
  <si>
    <t>6.205982685089111</t>
  </si>
  <si>
    <t>6.1842498779296875</t>
  </si>
  <si>
    <t>6.242499828338623</t>
  </si>
  <si>
    <t>253792000</t>
  </si>
  <si>
    <t>2020-01-21</t>
  </si>
  <si>
    <t>6.172623157501221</t>
  </si>
  <si>
    <t>6.198500156402588</t>
  </si>
  <si>
    <t>6.164249897003174</t>
  </si>
  <si>
    <t>6.195250034332275</t>
  </si>
  <si>
    <t>217916000</t>
  </si>
  <si>
    <t>2020-01-22</t>
  </si>
  <si>
    <t>6.226644992828369</t>
  </si>
  <si>
    <t>6.339749813079834</t>
  </si>
  <si>
    <t>6.224999904632568</t>
  </si>
  <si>
    <t>239240000</t>
  </si>
  <si>
    <t>2020-01-23</t>
  </si>
  <si>
    <t>6.295109272003174</t>
  </si>
  <si>
    <t>6.321499824523926</t>
  </si>
  <si>
    <t>6.203750133514404</t>
  </si>
  <si>
    <t>6.293000221252441</t>
  </si>
  <si>
    <t>244516000</t>
  </si>
  <si>
    <t>2020-01-24</t>
  </si>
  <si>
    <t>6.235857963562012</t>
  </si>
  <si>
    <t>6.487500190734863</t>
  </si>
  <si>
    <t>6.207499980926514</t>
  </si>
  <si>
    <t>6.4375</t>
  </si>
  <si>
    <t>373512000</t>
  </si>
  <si>
    <t>2020-01-27</t>
  </si>
  <si>
    <t>5.9799299240112305</t>
  </si>
  <si>
    <t>6.005000114440918</t>
  </si>
  <si>
    <t>6.056250095367432</t>
  </si>
  <si>
    <t>5.805749893188477</t>
  </si>
  <si>
    <t>5.955999851226807</t>
  </si>
  <si>
    <t>470536000</t>
  </si>
  <si>
    <t>2020-01-28</t>
  </si>
  <si>
    <t>6.17336893081665</t>
  </si>
  <si>
    <t>6.199250221252441</t>
  </si>
  <si>
    <t>6.017749786376953</t>
  </si>
  <si>
    <t>6.071249961853027</t>
  </si>
  <si>
    <t>310976000</t>
  </si>
  <si>
    <t>2020-01-29</t>
  </si>
  <si>
    <t>6.112873077392578</t>
  </si>
  <si>
    <t>6.138500213623047</t>
  </si>
  <si>
    <t>6.2210001945495605</t>
  </si>
  <si>
    <t>6.098499774932861</t>
  </si>
  <si>
    <t>258848000</t>
  </si>
  <si>
    <t>2020-01-30</t>
  </si>
  <si>
    <t>6.119595050811768</t>
  </si>
  <si>
    <t>6.145249843597412</t>
  </si>
  <si>
    <t>6.158750057220459</t>
  </si>
  <si>
    <t>5.985000133514404</t>
  </si>
  <si>
    <t>6.040249824523926</t>
  </si>
  <si>
    <t>290504000</t>
  </si>
  <si>
    <t>2020-01-31</t>
  </si>
  <si>
    <t>5.886073112487793</t>
  </si>
  <si>
    <t>5.910749912261963</t>
  </si>
  <si>
    <t>5.868750095367432</t>
  </si>
  <si>
    <t>6.099249839782715</t>
  </si>
  <si>
    <t>370420000</t>
  </si>
  <si>
    <t>2020-02-03</t>
  </si>
  <si>
    <t>5.9831671714782715</t>
  </si>
  <si>
    <t>6.0082502365112305</t>
  </si>
  <si>
    <t>5.886250019073486</t>
  </si>
  <si>
    <t>5.892499923706055</t>
  </si>
  <si>
    <t>255564000</t>
  </si>
  <si>
    <t>2020-02-04</t>
  </si>
  <si>
    <t>6.152456283569336</t>
  </si>
  <si>
    <t>6.178249835968018</t>
  </si>
  <si>
    <t>6.197500228881836</t>
  </si>
  <si>
    <t>6.100500106811523</t>
  </si>
  <si>
    <t>6.150750160217285</t>
  </si>
  <si>
    <t>271544000</t>
  </si>
  <si>
    <t>2020-02-05</t>
  </si>
  <si>
    <t>6.242827892303467</t>
  </si>
  <si>
    <t>6.269000053405762</t>
  </si>
  <si>
    <t>6.309999942779541</t>
  </si>
  <si>
    <t>6.299749851226807</t>
  </si>
  <si>
    <t>208220000</t>
  </si>
  <si>
    <t>2020-02-06</t>
  </si>
  <si>
    <t>6.329713344573975</t>
  </si>
  <si>
    <t>6.356249809265137</t>
  </si>
  <si>
    <t>6.2220001220703125</t>
  </si>
  <si>
    <t>6.303500175476074</t>
  </si>
  <si>
    <t>218284000</t>
  </si>
  <si>
    <t>2020-02-07</t>
  </si>
  <si>
    <t>6.263491630554199</t>
  </si>
  <si>
    <t>6.338250160217285</t>
  </si>
  <si>
    <t>6.264249801635742</t>
  </si>
  <si>
    <t>6.315999984741211</t>
  </si>
  <si>
    <t>189752000</t>
  </si>
  <si>
    <t>2020-02-10</t>
  </si>
  <si>
    <t>6.546803951263428</t>
  </si>
  <si>
    <t>6.574250221252441</t>
  </si>
  <si>
    <t>6.574999809265137</t>
  </si>
  <si>
    <t>6.307499885559082</t>
  </si>
  <si>
    <t>6.3125</t>
  </si>
  <si>
    <t>529608000</t>
  </si>
  <si>
    <t>2020-02-11</t>
  </si>
  <si>
    <t>6.669290065765381</t>
  </si>
  <si>
    <t>6.697249889373779</t>
  </si>
  <si>
    <t>6.8125</t>
  </si>
  <si>
    <t>6.6207499504089355</t>
  </si>
  <si>
    <t>6.683000087738037</t>
  </si>
  <si>
    <t>638556000</t>
  </si>
  <si>
    <t>2020-02-12</t>
  </si>
  <si>
    <t>6.7850565910339355</t>
  </si>
  <si>
    <t>6.813499927520752</t>
  </si>
  <si>
    <t>6.711249828338623</t>
  </si>
  <si>
    <t>6.750249862670898</t>
  </si>
  <si>
    <t>374644000</t>
  </si>
  <si>
    <t>2020-02-13</t>
  </si>
  <si>
    <t>6.741237640380859</t>
  </si>
  <si>
    <t>6.769499778747559</t>
  </si>
  <si>
    <t>6.836999893188477</t>
  </si>
  <si>
    <t>6.727749824523926</t>
  </si>
  <si>
    <t>6.755249977111816</t>
  </si>
  <si>
    <t>528016000</t>
  </si>
  <si>
    <t>2020-02-14</t>
  </si>
  <si>
    <t>7.214504241943359</t>
  </si>
  <si>
    <t>7.244750022888184</t>
  </si>
  <si>
    <t>7.3742499351501465</t>
  </si>
  <si>
    <t>7.150000095367432</t>
  </si>
  <si>
    <t>7.18149995803833</t>
  </si>
  <si>
    <t>1041924000</t>
  </si>
  <si>
    <t>2020-02-18</t>
  </si>
  <si>
    <t>7.383297920227051</t>
  </si>
  <si>
    <t>7.414249897003174</t>
  </si>
  <si>
    <t>7.432750225067139</t>
  </si>
  <si>
    <t>7.121500015258789</t>
  </si>
  <si>
    <t>7.140999794006348</t>
  </si>
  <si>
    <t>620164000</t>
  </si>
  <si>
    <t>2020-02-19</t>
  </si>
  <si>
    <t>7.834654808044434</t>
  </si>
  <si>
    <t>7.867499828338623</t>
  </si>
  <si>
    <t>7.885250091552734</t>
  </si>
  <si>
    <t>7.53725004196167</t>
  </si>
  <si>
    <t>694332000</t>
  </si>
  <si>
    <t>2020-02-20</t>
  </si>
  <si>
    <t>7.685279846191406</t>
  </si>
  <si>
    <t>7.71750020980835</t>
  </si>
  <si>
    <t>7.9079999923706055</t>
  </si>
  <si>
    <t>7.408750057220459</t>
  </si>
  <si>
    <t>7.819250106811523</t>
  </si>
  <si>
    <t>810052000</t>
  </si>
  <si>
    <t>2020-02-21</t>
  </si>
  <si>
    <t>7.3210577964782715</t>
  </si>
  <si>
    <t>7.351749897003174</t>
  </si>
  <si>
    <t>7.630000114440918</t>
  </si>
  <si>
    <t>7.266499996185303</t>
  </si>
  <si>
    <t>7.604750156402588</t>
  </si>
  <si>
    <t>768180000</t>
  </si>
  <si>
    <t>2020-02-24</t>
  </si>
  <si>
    <t>6.803477764129639</t>
  </si>
  <si>
    <t>6.831999778747559</t>
  </si>
  <si>
    <t>7.046750068664551</t>
  </si>
  <si>
    <t>6.699999809265137</t>
  </si>
  <si>
    <t>6.754749774932861</t>
  </si>
  <si>
    <t>856916000</t>
  </si>
  <si>
    <t>2020-02-25</t>
  </si>
  <si>
    <t>6.523900985717773</t>
  </si>
  <si>
    <t>6.551249980926514</t>
  </si>
  <si>
    <t>6.969749927520752</t>
  </si>
  <si>
    <t>6.448999881744385</t>
  </si>
  <si>
    <t>6.90749979019165</t>
  </si>
  <si>
    <t>1055496000</t>
  </si>
  <si>
    <t>2020-02-26</t>
  </si>
  <si>
    <t>6.663315773010254</t>
  </si>
  <si>
    <t>6.691249847412109</t>
  </si>
  <si>
    <t>6.886250019073486</t>
  </si>
  <si>
    <t>6.551499843597412</t>
  </si>
  <si>
    <t>747732000</t>
  </si>
  <si>
    <t>2020-02-27</t>
  </si>
  <si>
    <t>6.292398452758789</t>
  </si>
  <si>
    <t>6.315000057220459</t>
  </si>
  <si>
    <t>6.222249984741211</t>
  </si>
  <si>
    <t>6.372499942779541</t>
  </si>
  <si>
    <t>906416000</t>
  </si>
  <si>
    <t>2020-02-28</t>
  </si>
  <si>
    <t>6.727584362030029</t>
  </si>
  <si>
    <t>6.7517499923706055</t>
  </si>
  <si>
    <t>6.811500072479248</t>
  </si>
  <si>
    <t>6.044750213623047</t>
  </si>
  <si>
    <t>6.061500072479248</t>
  </si>
  <si>
    <t>1133252000</t>
  </si>
  <si>
    <t>2020-03-02</t>
  </si>
  <si>
    <t>6.88601541519165</t>
  </si>
  <si>
    <t>6.9397501945495605</t>
  </si>
  <si>
    <t>6.922500133514404</t>
  </si>
  <si>
    <t>890744000</t>
  </si>
  <si>
    <t>2020-03-03</t>
  </si>
  <si>
    <t>6.623458385467529</t>
  </si>
  <si>
    <t>6.647250175476074</t>
  </si>
  <si>
    <t>7.026750087738037</t>
  </si>
  <si>
    <t>6.561500072479248</t>
  </si>
  <si>
    <t>6.966750144958496</t>
  </si>
  <si>
    <t>652792000</t>
  </si>
  <si>
    <t>2020-03-04</t>
  </si>
  <si>
    <t>7.087292671203613</t>
  </si>
  <si>
    <t>7.112750053405762</t>
  </si>
  <si>
    <t>7.122250080108643</t>
  </si>
  <si>
    <t>6.679999828338623</t>
  </si>
  <si>
    <t>6.755000114440918</t>
  </si>
  <si>
    <t>597408000</t>
  </si>
  <si>
    <t>2020-03-05</t>
  </si>
  <si>
    <t>6.807796478271484</t>
  </si>
  <si>
    <t>6.832250118255615</t>
  </si>
  <si>
    <t>7.079999923706055</t>
  </si>
  <si>
    <t>6.787499904632568</t>
  </si>
  <si>
    <t>6.912499904632568</t>
  </si>
  <si>
    <t>540328000</t>
  </si>
  <si>
    <t>2020-03-06</t>
  </si>
  <si>
    <t>6.627195358276367</t>
  </si>
  <si>
    <t>6.651000022888184</t>
  </si>
  <si>
    <t>6.709750175476074</t>
  </si>
  <si>
    <t>6.449999809265137</t>
  </si>
  <si>
    <t>6.6519999504089355</t>
  </si>
  <si>
    <t>515412000</t>
  </si>
  <si>
    <t>2020-03-09</t>
  </si>
  <si>
    <t>6.114039421081543</t>
  </si>
  <si>
    <t>6.136000156402588</t>
  </si>
  <si>
    <t>6.485000133514404</t>
  </si>
  <si>
    <t>5.954500198364258</t>
  </si>
  <si>
    <t>5.997499942779541</t>
  </si>
  <si>
    <t>614160000</t>
  </si>
  <si>
    <t>2020-03-10</t>
  </si>
  <si>
    <t>6.503639221191406</t>
  </si>
  <si>
    <t>6.5269999504089355</t>
  </si>
  <si>
    <t>6.149750232696533</t>
  </si>
  <si>
    <t>6.41349983215332</t>
  </si>
  <si>
    <t>580648000</t>
  </si>
  <si>
    <t>2020-03-11</t>
  </si>
  <si>
    <t>6.139695644378662</t>
  </si>
  <si>
    <t>6.0642499923706055</t>
  </si>
  <si>
    <t>6.386499881744385</t>
  </si>
  <si>
    <t>499964000</t>
  </si>
  <si>
    <t>2020-03-12</t>
  </si>
  <si>
    <t>5.388394832611084</t>
  </si>
  <si>
    <t>5.407750129699707</t>
  </si>
  <si>
    <t>5.9029998779296875</t>
  </si>
  <si>
    <t>5.394999980926514</t>
  </si>
  <si>
    <t>5.636499881744385</t>
  </si>
  <si>
    <t>816540000</t>
  </si>
  <si>
    <t>2020-03-13</t>
  </si>
  <si>
    <t>5.999451160430908</t>
  </si>
  <si>
    <t>6.020999908447266</t>
  </si>
  <si>
    <t>6.0254998207092285</t>
  </si>
  <si>
    <t>5.490250110626221</t>
  </si>
  <si>
    <t>5.762499809265137</t>
  </si>
  <si>
    <t>634836000</t>
  </si>
  <si>
    <t>2020-03-16</t>
  </si>
  <si>
    <t>4.892426013946533</t>
  </si>
  <si>
    <t>4.909999847412109</t>
  </si>
  <si>
    <t>5.652500152587891</t>
  </si>
  <si>
    <t>4.849999904632568</t>
  </si>
  <si>
    <t>5.3102498054504395</t>
  </si>
  <si>
    <t>726972000</t>
  </si>
  <si>
    <t>2020-03-17</t>
  </si>
  <si>
    <t>5.412308692932129</t>
  </si>
  <si>
    <t>5.4317498207092285</t>
  </si>
  <si>
    <t>5.521500110626221</t>
  </si>
  <si>
    <t>5.022749900817871</t>
  </si>
  <si>
    <t>833632000</t>
  </si>
  <si>
    <t>2020-03-18</t>
  </si>
  <si>
    <t>5.0523529052734375</t>
  </si>
  <si>
    <t>5.070499897003174</t>
  </si>
  <si>
    <t>4.517000198364258</t>
  </si>
  <si>
    <t>874268000</t>
  </si>
  <si>
    <t>2020-03-19</t>
  </si>
  <si>
    <t>5.305194854736328</t>
  </si>
  <si>
    <t>5.324250221252441</t>
  </si>
  <si>
    <t>5.41825008392334</t>
  </si>
  <si>
    <t>4.834750175476074</t>
  </si>
  <si>
    <t>5.048999786376953</t>
  </si>
  <si>
    <t>765512000</t>
  </si>
  <si>
    <t>2020-03-20</t>
  </si>
  <si>
    <t>5.125339984893799</t>
  </si>
  <si>
    <t>5.143750190734863</t>
  </si>
  <si>
    <t>5.757999897003174</t>
  </si>
  <si>
    <t>5.1282501220703125</t>
  </si>
  <si>
    <t>5.474999904632568</t>
  </si>
  <si>
    <t>804636000</t>
  </si>
  <si>
    <t>2020-03-23</t>
  </si>
  <si>
    <t>5.298218250274658</t>
  </si>
  <si>
    <t>5.4120001792907715</t>
  </si>
  <si>
    <t>4.9629998207092285</t>
  </si>
  <si>
    <t>5.142749786376953</t>
  </si>
  <si>
    <t>643876000</t>
  </si>
  <si>
    <t>2020-03-24</t>
  </si>
  <si>
    <t>6.207204818725586</t>
  </si>
  <si>
    <t>6.229499816894531</t>
  </si>
  <si>
    <t>6.316500186920166</t>
  </si>
  <si>
    <t>5.701250076293945</t>
  </si>
  <si>
    <t>1101644000</t>
  </si>
  <si>
    <t>2020-03-25</t>
  </si>
  <si>
    <t>6.118523120880127</t>
  </si>
  <si>
    <t>6.140500068664551</t>
  </si>
  <si>
    <t>6.545499801635742</t>
  </si>
  <si>
    <t>6.0914998054504395</t>
  </si>
  <si>
    <t>6.34499979019165</t>
  </si>
  <si>
    <t>793432000</t>
  </si>
  <si>
    <t>2020-03-26</t>
  </si>
  <si>
    <t>6.407982349395752</t>
  </si>
  <si>
    <t>6.431000232696533</t>
  </si>
  <si>
    <t>6.555500030517578</t>
  </si>
  <si>
    <t>6.348499774932861</t>
  </si>
  <si>
    <t>696108000</t>
  </si>
  <si>
    <t>2020-03-27</t>
  </si>
  <si>
    <t>6.29563570022583</t>
  </si>
  <si>
    <t>6.3182501792907715</t>
  </si>
  <si>
    <t>6.578000068664551</t>
  </si>
  <si>
    <t>638828000</t>
  </si>
  <si>
    <t>2020-03-30</t>
  </si>
  <si>
    <t>6.615985870361328</t>
  </si>
  <si>
    <t>6.639750003814697</t>
  </si>
  <si>
    <t>6.64900016784668</t>
  </si>
  <si>
    <t>602252000</t>
  </si>
  <si>
    <t>2020-03-31</t>
  </si>
  <si>
    <t>6.566413879394531</t>
  </si>
  <si>
    <t>6.443749904632568</t>
  </si>
  <si>
    <t>949960000</t>
  </si>
  <si>
    <t>2020-04-01</t>
  </si>
  <si>
    <t>6.055001735687256</t>
  </si>
  <si>
    <t>6.076749801635742</t>
  </si>
  <si>
    <t>6.538249969482422</t>
  </si>
  <si>
    <t>6.0320000648498535</t>
  </si>
  <si>
    <t>6.391250133514404</t>
  </si>
  <si>
    <t>2020-04-02</t>
  </si>
  <si>
    <t>6.363891124725342</t>
  </si>
  <si>
    <t>6.386750221252441</t>
  </si>
  <si>
    <t>6.057750225067139</t>
  </si>
  <si>
    <t>675764000</t>
  </si>
  <si>
    <t>2020-04-03</t>
  </si>
  <si>
    <t>6.075925350189209</t>
  </si>
  <si>
    <t>6.097750186920166</t>
  </si>
  <si>
    <t>6.390749931335449</t>
  </si>
  <si>
    <t>6.348999977111816</t>
  </si>
  <si>
    <t>663212000</t>
  </si>
  <si>
    <t>2020-04-06</t>
  </si>
  <si>
    <t>6.685983180999756</t>
  </si>
  <si>
    <t>6.710000038146973</t>
  </si>
  <si>
    <t>6.747000217437744</t>
  </si>
  <si>
    <t>6.323249816894531</t>
  </si>
  <si>
    <t>6.38100004196167</t>
  </si>
  <si>
    <t>727884000</t>
  </si>
  <si>
    <t>2020-04-07</t>
  </si>
  <si>
    <t>6.452572822570801</t>
  </si>
  <si>
    <t>6.475749969482422</t>
  </si>
  <si>
    <t>6.956250190734863</t>
  </si>
  <si>
    <t>6.432499885559082</t>
  </si>
  <si>
    <t>6.932499885559082</t>
  </si>
  <si>
    <t>784520000</t>
  </si>
  <si>
    <t>2020-04-08</t>
  </si>
  <si>
    <t>6.649864673614502</t>
  </si>
  <si>
    <t>6.673749923706055</t>
  </si>
  <si>
    <t>6.698750019073486</t>
  </si>
  <si>
    <t>6.514999866485596</t>
  </si>
  <si>
    <t>6.585249900817871</t>
  </si>
  <si>
    <t>542444000</t>
  </si>
  <si>
    <t>2020-04-09</t>
  </si>
  <si>
    <t>6.550221920013428</t>
  </si>
  <si>
    <t>6.573750019073486</t>
  </si>
  <si>
    <t>6.822999954223633</t>
  </si>
  <si>
    <t>6.510499954223633</t>
  </si>
  <si>
    <t>6.800000190734863</t>
  </si>
  <si>
    <t>525564000</t>
  </si>
  <si>
    <t>2020-04-13</t>
  </si>
  <si>
    <t>6.722103595733643</t>
  </si>
  <si>
    <t>6.746250152587891</t>
  </si>
  <si>
    <t>6.513750076293945</t>
  </si>
  <si>
    <t>398408000</t>
  </si>
  <si>
    <t>2020-04-14</t>
  </si>
  <si>
    <t>7.073343276977539</t>
  </si>
  <si>
    <t>7.098750114440918</t>
  </si>
  <si>
    <t>7.132999897003174</t>
  </si>
  <si>
    <t>6.847249984741211</t>
  </si>
  <si>
    <t>530948000</t>
  </si>
  <si>
    <t>2020-04-15</t>
  </si>
  <si>
    <t>6.995870590209961</t>
  </si>
  <si>
    <t>7.020999908447266</t>
  </si>
  <si>
    <t>7.104249954223633</t>
  </si>
  <si>
    <t>6.884500026702881</t>
  </si>
  <si>
    <t>6.929999828338623</t>
  </si>
  <si>
    <t>366148000</t>
  </si>
  <si>
    <t>2020-04-16</t>
  </si>
  <si>
    <t>7.341131687164307</t>
  </si>
  <si>
    <t>7.367499828338623</t>
  </si>
  <si>
    <t>7.474999904632568</t>
  </si>
  <si>
    <t>7.163750171661377</t>
  </si>
  <si>
    <t>7.177000045776367</t>
  </si>
  <si>
    <t>745620000</t>
  </si>
  <si>
    <t>2020-04-17</t>
  </si>
  <si>
    <t>7.2818450927734375</t>
  </si>
  <si>
    <t>7.308000087738037</t>
  </si>
  <si>
    <t>7.471499919891357</t>
  </si>
  <si>
    <t>7.173500061035156</t>
  </si>
  <si>
    <t>7.449999809265137</t>
  </si>
  <si>
    <t>539120000</t>
  </si>
  <si>
    <t>2020-04-20</t>
  </si>
  <si>
    <t>7.150565147399902</t>
  </si>
  <si>
    <t>7.176249980926514</t>
  </si>
  <si>
    <t>7.337500095367432</t>
  </si>
  <si>
    <t>7.181000232696533</t>
  </si>
  <si>
    <t>449388000</t>
  </si>
  <si>
    <t>2020-04-21</t>
  </si>
  <si>
    <t>6.713634014129639</t>
  </si>
  <si>
    <t>6.737750053405762</t>
  </si>
  <si>
    <t>7.1192498207092285</t>
  </si>
  <si>
    <t>6.677750110626221</t>
  </si>
  <si>
    <t>7.057750225067139</t>
  </si>
  <si>
    <t>735160000</t>
  </si>
  <si>
    <t>2020-04-22</t>
  </si>
  <si>
    <t>7.128145694732666</t>
  </si>
  <si>
    <t>7.153749942779541</t>
  </si>
  <si>
    <t>7.196750164031982</t>
  </si>
  <si>
    <t>483356000</t>
  </si>
  <si>
    <t>2020-04-23</t>
  </si>
  <si>
    <t>7.074836254119873</t>
  </si>
  <si>
    <t>7.100249767303467</t>
  </si>
  <si>
    <t>7.328499794006348</t>
  </si>
  <si>
    <t>7.074999809265137</t>
  </si>
  <si>
    <t>7.196000099182129</t>
  </si>
  <si>
    <t>424160000</t>
  </si>
  <si>
    <t>2020-04-24</t>
  </si>
  <si>
    <t>7.213837623596191</t>
  </si>
  <si>
    <t>7.239749908447266</t>
  </si>
  <si>
    <t>7.2417497634887695</t>
  </si>
  <si>
    <t>7.014999866485596</t>
  </si>
  <si>
    <t>7.090000152587891</t>
  </si>
  <si>
    <t>352328000</t>
  </si>
  <si>
    <t>2020-04-27</t>
  </si>
  <si>
    <t>7.400418281555176</t>
  </si>
  <si>
    <t>7.427000045776367</t>
  </si>
  <si>
    <t>7.587500095367432</t>
  </si>
  <si>
    <t>7.349999904632568</t>
  </si>
  <si>
    <t>7.374750137329102</t>
  </si>
  <si>
    <t>479388000</t>
  </si>
  <si>
    <t>2020-04-28</t>
  </si>
  <si>
    <t>7.257929801940918</t>
  </si>
  <si>
    <t>7.283999919891357</t>
  </si>
  <si>
    <t>7.605000019073486</t>
  </si>
  <si>
    <t>7.278500080108643</t>
  </si>
  <si>
    <t>7.574999809265137</t>
  </si>
  <si>
    <t>442904000</t>
  </si>
  <si>
    <t>2020-04-29</t>
  </si>
  <si>
    <t>7.4347944259643555</t>
  </si>
  <si>
    <t>7.46150016784668</t>
  </si>
  <si>
    <t>7.514500141143799</t>
  </si>
  <si>
    <t>7.34375</t>
  </si>
  <si>
    <t>7.419250011444092</t>
  </si>
  <si>
    <t>379160000</t>
  </si>
  <si>
    <t>2020-04-30</t>
  </si>
  <si>
    <t>7.28084659576416</t>
  </si>
  <si>
    <t>7.307000160217285</t>
  </si>
  <si>
    <t>7.293000221252441</t>
  </si>
  <si>
    <t>7.407249927520752</t>
  </si>
  <si>
    <t>375916000</t>
  </si>
  <si>
    <t>2020-05-01</t>
  </si>
  <si>
    <t>7.044197082519531</t>
  </si>
  <si>
    <t>7.069499969482422</t>
  </si>
  <si>
    <t>7.222499847412109</t>
  </si>
  <si>
    <t>7.108749866485596</t>
  </si>
  <si>
    <t>342096000</t>
  </si>
  <si>
    <t>2020-05-04</t>
  </si>
  <si>
    <t>7.256185531616211</t>
  </si>
  <si>
    <t>7.282249927520752</t>
  </si>
  <si>
    <t>7.296000003814697</t>
  </si>
  <si>
    <t>7.021999835968018</t>
  </si>
  <si>
    <t>317556000</t>
  </si>
  <si>
    <t>2020-05-05</t>
  </si>
  <si>
    <t>7.3172173500061035</t>
  </si>
  <si>
    <t>7.343500137329102</t>
  </si>
  <si>
    <t>7.506750106811523</t>
  </si>
  <si>
    <t>7.386750221252441</t>
  </si>
  <si>
    <t>368896000</t>
  </si>
  <si>
    <t>2020-05-06</t>
  </si>
  <si>
    <t>7.41810417175293</t>
  </si>
  <si>
    <t>7.44474983215332</t>
  </si>
  <si>
    <t>7.550000190734863</t>
  </si>
  <si>
    <t>7.385250091552734</t>
  </si>
  <si>
    <t>7.423250198364258</t>
  </si>
  <si>
    <t>323464000</t>
  </si>
  <si>
    <t>2020-05-07</t>
  </si>
  <si>
    <t>7.594470500946045</t>
  </si>
  <si>
    <t>7.6217498779296875</t>
  </si>
  <si>
    <t>7.6852498054504395</t>
  </si>
  <si>
    <t>7.5329999923706055</t>
  </si>
  <si>
    <t>7.584499835968018</t>
  </si>
  <si>
    <t>373732000</t>
  </si>
  <si>
    <t>2020-05-08</t>
  </si>
  <si>
    <t>7.784538269042969</t>
  </si>
  <si>
    <t>7.8125</t>
  </si>
  <si>
    <t>7.818749904632568</t>
  </si>
  <si>
    <t>7.659749984741211</t>
  </si>
  <si>
    <t>7.693749904632568</t>
  </si>
  <si>
    <t>339216000</t>
  </si>
  <si>
    <t>2020-05-11</t>
  </si>
  <si>
    <t>8.036633491516113</t>
  </si>
  <si>
    <t>8.065500259399414</t>
  </si>
  <si>
    <t>8.112500190734863</t>
  </si>
  <si>
    <t>7.778749942779541</t>
  </si>
  <si>
    <t>7.807499885559082</t>
  </si>
  <si>
    <t>469060000</t>
  </si>
  <si>
    <t>2020-05-12</t>
  </si>
  <si>
    <t>7.77457332611084</t>
  </si>
  <si>
    <t>7.802499771118164</t>
  </si>
  <si>
    <t>8.172499656677246</t>
  </si>
  <si>
    <t>7.792749881744385</t>
  </si>
  <si>
    <t>8.123499870300293</t>
  </si>
  <si>
    <t>493060000</t>
  </si>
  <si>
    <t>2020-05-13</t>
  </si>
  <si>
    <t>7.7521538734436035</t>
  </si>
  <si>
    <t>7.78000020980835</t>
  </si>
  <si>
    <t>8.078499794006348</t>
  </si>
  <si>
    <t>7.594749927520752</t>
  </si>
  <si>
    <t>7.917500019073486</t>
  </si>
  <si>
    <t>625852000</t>
  </si>
  <si>
    <t>2020-05-14</t>
  </si>
  <si>
    <t>8.001760482788086</t>
  </si>
  <si>
    <t>8.030500411987305</t>
  </si>
  <si>
    <t>8.03600025177002</t>
  </si>
  <si>
    <t>7.6875</t>
  </si>
  <si>
    <t>7.841750144958496</t>
  </si>
  <si>
    <t>602312000</t>
  </si>
  <si>
    <t>2020-05-15</t>
  </si>
  <si>
    <t>8.460360527038574</t>
  </si>
  <si>
    <t>8.490750312805176</t>
  </si>
  <si>
    <t>8.500499725341797</t>
  </si>
  <si>
    <t>7.874000072479248</t>
  </si>
  <si>
    <t>7.889750003814697</t>
  </si>
  <si>
    <t>987660000</t>
  </si>
  <si>
    <t>2020-05-18</t>
  </si>
  <si>
    <t>8.718932151794434</t>
  </si>
  <si>
    <t>8.750249862670898</t>
  </si>
  <si>
    <t>8.916500091552734</t>
  </si>
  <si>
    <t>8.680500030517578</t>
  </si>
  <si>
    <t>8.760499954223633</t>
  </si>
  <si>
    <t>774460000</t>
  </si>
  <si>
    <t>2020-05-19</t>
  </si>
  <si>
    <t>8.7739839553833</t>
  </si>
  <si>
    <t>8.805500030517578</t>
  </si>
  <si>
    <t>9.087499618530273</t>
  </si>
  <si>
    <t>8.762749671936035</t>
  </si>
  <si>
    <t>8.790249824523926</t>
  </si>
  <si>
    <t>717320000</t>
  </si>
  <si>
    <t>2020-05-20</t>
  </si>
  <si>
    <t>8.937895774841309</t>
  </si>
  <si>
    <t>8.970000267028809</t>
  </si>
  <si>
    <t>9.043000221252441</t>
  </si>
  <si>
    <t>8.888750076293945</t>
  </si>
  <si>
    <t>8.991000175476074</t>
  </si>
  <si>
    <t>587536000</t>
  </si>
  <si>
    <t>2020-05-21</t>
  </si>
  <si>
    <t>8.743841171264648</t>
  </si>
  <si>
    <t>8.775250434875488</t>
  </si>
  <si>
    <t>9.052499771118164</t>
  </si>
  <si>
    <t>8.737500190734863</t>
  </si>
  <si>
    <t>9.05150032043457</t>
  </si>
  <si>
    <t>761068000</t>
  </si>
  <si>
    <t>2020-05-22</t>
  </si>
  <si>
    <t>8.99394416809082</t>
  </si>
  <si>
    <t>9.026249885559082</t>
  </si>
  <si>
    <t>9.093000411987305</t>
  </si>
  <si>
    <t>8.713250160217285</t>
  </si>
  <si>
    <t>8.825249671936035</t>
  </si>
  <si>
    <t>1038764000</t>
  </si>
  <si>
    <t>2020-05-26</t>
  </si>
  <si>
    <t>8.686548233032227</t>
  </si>
  <si>
    <t>8.71774959564209</t>
  </si>
  <si>
    <t>9.181750297546387</t>
  </si>
  <si>
    <t>8.67199993133545</t>
  </si>
  <si>
    <t>9.156749725341797</t>
  </si>
  <si>
    <t>770780000</t>
  </si>
  <si>
    <t>2020-05-27</t>
  </si>
  <si>
    <t>8.49473762512207</t>
  </si>
  <si>
    <t>8.525250434875488</t>
  </si>
  <si>
    <t>8.632749557495117</t>
  </si>
  <si>
    <t>7.9967498779296875</t>
  </si>
  <si>
    <t>8.625</t>
  </si>
  <si>
    <t>1175892000</t>
  </si>
  <si>
    <t>2020-05-28</t>
  </si>
  <si>
    <t>8.456624984741211</t>
  </si>
  <si>
    <t>8.487000465393066</t>
  </si>
  <si>
    <t>8.379249572753906</t>
  </si>
  <si>
    <t>8.412249565124512</t>
  </si>
  <si>
    <t>734896000</t>
  </si>
  <si>
    <t>2020-05-29</t>
  </si>
  <si>
    <t>8.843733787536621</t>
  </si>
  <si>
    <t>8.875499725341797</t>
  </si>
  <si>
    <t>8.484999656677246</t>
  </si>
  <si>
    <t>8.554499626159668</t>
  </si>
  <si>
    <t>745256000</t>
  </si>
  <si>
    <t>2020-06-01</t>
  </si>
  <si>
    <t>8.774731636047363</t>
  </si>
  <si>
    <t>8.806249618530273</t>
  </si>
  <si>
    <t>8.840749740600586</t>
  </si>
  <si>
    <t>8.689499855041504</t>
  </si>
  <si>
    <t>8.833250045776367</t>
  </si>
  <si>
    <t>389876000</t>
  </si>
  <si>
    <t>2020-06-02</t>
  </si>
  <si>
    <t>8.793663024902344</t>
  </si>
  <si>
    <t>8.837249755859375</t>
  </si>
  <si>
    <t>8.657999992370605</t>
  </si>
  <si>
    <t>8.796250343322754</t>
  </si>
  <si>
    <t>391320000</t>
  </si>
  <si>
    <t>2020-06-03</t>
  </si>
  <si>
    <t>8.738112449645996</t>
  </si>
  <si>
    <t>8.769499778747559</t>
  </si>
  <si>
    <t>8.866250038146973</t>
  </si>
  <si>
    <t>8.699999809265137</t>
  </si>
  <si>
    <t>8.822250366210938</t>
  </si>
  <si>
    <t>365440000</t>
  </si>
  <si>
    <t>2020-06-04</t>
  </si>
  <si>
    <t>8.739109992980957</t>
  </si>
  <si>
    <t>8.766500473022461</t>
  </si>
  <si>
    <t>8.943249702453613</t>
  </si>
  <si>
    <t>8.677499771118164</t>
  </si>
  <si>
    <t>8.727999687194824</t>
  </si>
  <si>
    <t>424280000</t>
  </si>
  <si>
    <t>2020-06-05</t>
  </si>
  <si>
    <t>8.892128944396973</t>
  </si>
  <si>
    <t>8.920000076293945</t>
  </si>
  <si>
    <t>8.996999740600586</t>
  </si>
  <si>
    <t>8.708000183105469</t>
  </si>
  <si>
    <t>8.794500350952148</t>
  </si>
  <si>
    <t>481748000</t>
  </si>
  <si>
    <t>2020-06-08</t>
  </si>
  <si>
    <t>8.777490615844727</t>
  </si>
  <si>
    <t>8.805000305175781</t>
  </si>
  <si>
    <t>8.889749526977539</t>
  </si>
  <si>
    <t>8.685750007629395</t>
  </si>
  <si>
    <t>8.877249717712402</t>
  </si>
  <si>
    <t>387736000</t>
  </si>
  <si>
    <t>2020-06-09</t>
  </si>
  <si>
    <t>9.017736434936523</t>
  </si>
  <si>
    <t>9.045999526977539</t>
  </si>
  <si>
    <t>9.109749794006348</t>
  </si>
  <si>
    <t>8.751250267028809</t>
  </si>
  <si>
    <t>8.800000190734863</t>
  </si>
  <si>
    <t>468488000</t>
  </si>
  <si>
    <t>2020-06-10</t>
  </si>
  <si>
    <t>9.337482452392578</t>
  </si>
  <si>
    <t>9.36674976348877</t>
  </si>
  <si>
    <t>9.5</t>
  </si>
  <si>
    <t>9.153499603271484</t>
  </si>
  <si>
    <t>9.167750358581543</t>
  </si>
  <si>
    <t>632180000</t>
  </si>
  <si>
    <t>2020-06-11</t>
  </si>
  <si>
    <t>8.768768310546875</t>
  </si>
  <si>
    <t>9.261249542236328</t>
  </si>
  <si>
    <t>8.78600025177002</t>
  </si>
  <si>
    <t>9.149999618530273</t>
  </si>
  <si>
    <t>583652000</t>
  </si>
  <si>
    <t>2020-06-12</t>
  </si>
  <si>
    <t>8.90459156036377</t>
  </si>
  <si>
    <t>8.932499885559082</t>
  </si>
  <si>
    <t>9.187250137329102</t>
  </si>
  <si>
    <t>8.70324993133545</t>
  </si>
  <si>
    <t>9.162500381469727</t>
  </si>
  <si>
    <t>570908000</t>
  </si>
  <si>
    <t>2020-06-15</t>
  </si>
  <si>
    <t>9.145087242126465</t>
  </si>
  <si>
    <t>9.173749923706055</t>
  </si>
  <si>
    <t>9.182250022888184</t>
  </si>
  <si>
    <t>8.743749618530273</t>
  </si>
  <si>
    <t>8.815250396728516</t>
  </si>
  <si>
    <t>400004000</t>
  </si>
  <si>
    <t>2020-06-16</t>
  </si>
  <si>
    <t>9.040167808532715</t>
  </si>
  <si>
    <t>9.068499565124512</t>
  </si>
  <si>
    <t>9.26675033569336</t>
  </si>
  <si>
    <t>8.838749885559082</t>
  </si>
  <si>
    <t>9.225000381469727</t>
  </si>
  <si>
    <t>535716000</t>
  </si>
  <si>
    <t>2020-06-17</t>
  </si>
  <si>
    <t>9.207143783569336</t>
  </si>
  <si>
    <t>9.236000061035156</t>
  </si>
  <si>
    <t>9.298999786376953</t>
  </si>
  <si>
    <t>9.070249557495117</t>
  </si>
  <si>
    <t>9.113750457763672</t>
  </si>
  <si>
    <t>408304000</t>
  </si>
  <si>
    <t>2020-06-18</t>
  </si>
  <si>
    <t>9.189200401306152</t>
  </si>
  <si>
    <t>9.218000411987305</t>
  </si>
  <si>
    <t>9.282500267028809</t>
  </si>
  <si>
    <t>9.114500045776367</t>
  </si>
  <si>
    <t>9.22700023651123</t>
  </si>
  <si>
    <t>254408000</t>
  </si>
  <si>
    <t>2020-06-19</t>
  </si>
  <si>
    <t>9.23231315612793</t>
  </si>
  <si>
    <t>9.444999694824219</t>
  </si>
  <si>
    <t>9.227250099182129</t>
  </si>
  <si>
    <t>9.242500305175781</t>
  </si>
  <si>
    <t>524160000</t>
  </si>
  <si>
    <t>2020-06-22</t>
  </si>
  <si>
    <t>9.496984481811523</t>
  </si>
  <si>
    <t>9.526749610900879</t>
  </si>
  <si>
    <t>9.53125</t>
  </si>
  <si>
    <t>9.273249626159668</t>
  </si>
  <si>
    <t>9.300000190734863</t>
  </si>
  <si>
    <t>398468000</t>
  </si>
  <si>
    <t>2020-06-23</t>
  </si>
  <si>
    <t>9.420472145080566</t>
  </si>
  <si>
    <t>9.449999809265137</t>
  </si>
  <si>
    <t>9.642499923706055</t>
  </si>
  <si>
    <t>9.407500267028809</t>
  </si>
  <si>
    <t>9.550999641418457</t>
  </si>
  <si>
    <t>375108000</t>
  </si>
  <si>
    <t>2020-06-24</t>
  </si>
  <si>
    <t>9.206645965576172</t>
  </si>
  <si>
    <t>9.23550033569336</t>
  </si>
  <si>
    <t>9.556500434875488</t>
  </si>
  <si>
    <t>9.144499778747559</t>
  </si>
  <si>
    <t>9.476249694824219</t>
  </si>
  <si>
    <t>449372000</t>
  </si>
  <si>
    <t>2020-06-25</t>
  </si>
  <si>
    <t>9.460348129272461</t>
  </si>
  <si>
    <t>9.489999771118164</t>
  </si>
  <si>
    <t>9.505000114440918</t>
  </si>
  <si>
    <t>9.35575008392334</t>
  </si>
  <si>
    <t>376072000</t>
  </si>
  <si>
    <t>2020-06-26</t>
  </si>
  <si>
    <t>9.126398086547852</t>
  </si>
  <si>
    <t>9.154999732971191</t>
  </si>
  <si>
    <t>9.125</t>
  </si>
  <si>
    <t>592084000</t>
  </si>
  <si>
    <t>2020-06-29</t>
  </si>
  <si>
    <t>9.171256065368652</t>
  </si>
  <si>
    <t>9.199999809265137</t>
  </si>
  <si>
    <t>9.204500198364258</t>
  </si>
  <si>
    <t>8.899999618530273</t>
  </si>
  <si>
    <t>9.169750213623047</t>
  </si>
  <si>
    <t>342248000</t>
  </si>
  <si>
    <t>2020-06-30</t>
  </si>
  <si>
    <t>9.468077659606934</t>
  </si>
  <si>
    <t>9.497750282287598</t>
  </si>
  <si>
    <t>9.526249885559082</t>
  </si>
  <si>
    <t>9.266500473022461</t>
  </si>
  <si>
    <t>9.314000129699707</t>
  </si>
  <si>
    <t>367892000</t>
  </si>
  <si>
    <t>2020-07-01</t>
  </si>
  <si>
    <t>9.500223159790039</t>
  </si>
  <si>
    <t>9.529999732971191</t>
  </si>
  <si>
    <t>9.575750350952148</t>
  </si>
  <si>
    <t>9.413000106811523</t>
  </si>
  <si>
    <t>9.520750045776367</t>
  </si>
  <si>
    <t>326648000</t>
  </si>
  <si>
    <t>2020-07-02</t>
  </si>
  <si>
    <t>9.58221435546875</t>
  </si>
  <si>
    <t>9.612250328063965</t>
  </si>
  <si>
    <t>9.737500190734863</t>
  </si>
  <si>
    <t>9.57824993133545</t>
  </si>
  <si>
    <t>9.638999938964844</t>
  </si>
  <si>
    <t>364056000</t>
  </si>
  <si>
    <t>2020-07-06</t>
  </si>
  <si>
    <t>9.80850601196289</t>
  </si>
  <si>
    <t>9.839249610900879</t>
  </si>
  <si>
    <t>9.9087495803833</t>
  </si>
  <si>
    <t>9.712499618530273</t>
  </si>
  <si>
    <t>9.74174976348877</t>
  </si>
  <si>
    <t>315892000</t>
  </si>
  <si>
    <t>2020-07-07</t>
  </si>
  <si>
    <t>9.84090518951416</t>
  </si>
  <si>
    <t>9.871749877929688</t>
  </si>
  <si>
    <t>10.069999694824219</t>
  </si>
  <si>
    <t>9.850749969482422</t>
  </si>
  <si>
    <t>9.946249961853027</t>
  </si>
  <si>
    <t>357800000</t>
  </si>
  <si>
    <t>2020-07-08</t>
  </si>
  <si>
    <t>10.18407917022705</t>
  </si>
  <si>
    <t>10.215999603271484</t>
  </si>
  <si>
    <t>10.225000381469727</t>
  </si>
  <si>
    <t>9.965499877929688</t>
  </si>
  <si>
    <t>9.993749618530273</t>
  </si>
  <si>
    <t>365480000</t>
  </si>
  <si>
    <t>2020-07-09</t>
  </si>
  <si>
    <t>10.476164817810059</t>
  </si>
  <si>
    <t>10.508999824523926</t>
  </si>
  <si>
    <t>10.569999694824219</t>
  </si>
  <si>
    <t>10.233499526977539</t>
  </si>
  <si>
    <t>10.380249977111816</t>
  </si>
  <si>
    <t>494548000</t>
  </si>
  <si>
    <t>2020-07-10</t>
  </si>
  <si>
    <t>10.44650936126709</t>
  </si>
  <si>
    <t>10.479249954223633</t>
  </si>
  <si>
    <t>10.65524959564209</t>
  </si>
  <si>
    <t>10.37874984741211</t>
  </si>
  <si>
    <t>10.588749885559082</t>
  </si>
  <si>
    <t>497676000</t>
  </si>
  <si>
    <t>2020-07-13</t>
  </si>
  <si>
    <t>10.020840644836426</t>
  </si>
  <si>
    <t>10.052249908447266</t>
  </si>
  <si>
    <t>10.79224967956543</t>
  </si>
  <si>
    <t>10.024999618530273</t>
  </si>
  <si>
    <t>10.595000267028809</t>
  </si>
  <si>
    <t>457076000</t>
  </si>
  <si>
    <t>2020-07-14</t>
  </si>
  <si>
    <t>10.34457778930664</t>
  </si>
  <si>
    <t>10.376999855041504</t>
  </si>
  <si>
    <t>10.402750015258789</t>
  </si>
  <si>
    <t>9.785499572753906</t>
  </si>
  <si>
    <t>10.074999809265137</t>
  </si>
  <si>
    <t>542676000</t>
  </si>
  <si>
    <t>2020-07-15</t>
  </si>
  <si>
    <t>10.195295333862305</t>
  </si>
  <si>
    <t>10.227250099182129</t>
  </si>
  <si>
    <t>10.432999610900879</t>
  </si>
  <si>
    <t>10.055749893188477</t>
  </si>
  <si>
    <t>10.414250373840332</t>
  </si>
  <si>
    <t>403984000</t>
  </si>
  <si>
    <t>2020-07-16</t>
  </si>
  <si>
    <t>10.103086471557617</t>
  </si>
  <si>
    <t>10.134750366210938</t>
  </si>
  <si>
    <t>10.20674991607666</t>
  </si>
  <si>
    <t>9.895500183105469</t>
  </si>
  <si>
    <t>10.015000343322754</t>
  </si>
  <si>
    <t>344964000</t>
  </si>
  <si>
    <t>2020-07-17</t>
  </si>
  <si>
    <t>10.169628143310547</t>
  </si>
  <si>
    <t>10.201499938964844</t>
  </si>
  <si>
    <t>10.248499870300293</t>
  </si>
  <si>
    <t>10.087750434875488</t>
  </si>
  <si>
    <t>10.225500106811523</t>
  </si>
  <si>
    <t>266284000</t>
  </si>
  <si>
    <t>2020-07-20</t>
  </si>
  <si>
    <t>10.477911949157715</t>
  </si>
  <si>
    <t>10.510749816894531</t>
  </si>
  <si>
    <t>10.53125</t>
  </si>
  <si>
    <t>10.156749725341797</t>
  </si>
  <si>
    <t>10.274250030517578</t>
  </si>
  <si>
    <t>284852000</t>
  </si>
  <si>
    <t>2020-07-21</t>
  </si>
  <si>
    <t>10.296229362487793</t>
  </si>
  <si>
    <t>10.328499794006348</t>
  </si>
  <si>
    <t>10.5600004196167</t>
  </si>
  <si>
    <t>10.286749839782715</t>
  </si>
  <si>
    <t>10.512999534606934</t>
  </si>
  <si>
    <t>277036000</t>
  </si>
  <si>
    <t>2020-07-22</t>
  </si>
  <si>
    <t>10.406135559082031</t>
  </si>
  <si>
    <t>10.438750267028809</t>
  </si>
  <si>
    <t>10.602499961853027</t>
  </si>
  <si>
    <t>10.291500091552734</t>
  </si>
  <si>
    <t>10.367500305175781</t>
  </si>
  <si>
    <t>367292000</t>
  </si>
  <si>
    <t>2020-07-23</t>
  </si>
  <si>
    <t>10.098098754882812</t>
  </si>
  <si>
    <t>10.12975025177002</t>
  </si>
  <si>
    <t>10.54699993133545</t>
  </si>
  <si>
    <t>10.03125</t>
  </si>
  <si>
    <t>10.449999809265137</t>
  </si>
  <si>
    <t>411660000</t>
  </si>
  <si>
    <t>2020-07-24</t>
  </si>
  <si>
    <t>10.16264820098877</t>
  </si>
  <si>
    <t>10.194499969482422</t>
  </si>
  <si>
    <t>10.364749908447266</t>
  </si>
  <si>
    <t>9.777000427246094</t>
  </si>
  <si>
    <t>9.875</t>
  </si>
  <si>
    <t>473292000</t>
  </si>
  <si>
    <t>2020-07-27</t>
  </si>
  <si>
    <t>10.388938903808594</t>
  </si>
  <si>
    <t>10.421500205993652</t>
  </si>
  <si>
    <t>10.441749572753906</t>
  </si>
  <si>
    <t>10.21774959564209</t>
  </si>
  <si>
    <t>10.232250213623047</t>
  </si>
  <si>
    <t>292132000</t>
  </si>
  <si>
    <t>2020-07-28</t>
  </si>
  <si>
    <t>10.18358039855957</t>
  </si>
  <si>
    <t>10.215499877929688</t>
  </si>
  <si>
    <t>10.381999969482422</t>
  </si>
  <si>
    <t>10.209250450134277</t>
  </si>
  <si>
    <t>10.374250411987305</t>
  </si>
  <si>
    <t>271636000</t>
  </si>
  <si>
    <t>2020-07-29</t>
  </si>
  <si>
    <t>10.432801246643066</t>
  </si>
  <si>
    <t>10.465499877929688</t>
  </si>
  <si>
    <t>10.516249656677246</t>
  </si>
  <si>
    <t>10.347000122070312</t>
  </si>
  <si>
    <t>10.39074993133545</t>
  </si>
  <si>
    <t>284508000</t>
  </si>
  <si>
    <t>2020-07-30</t>
  </si>
  <si>
    <t>10.58083724975586</t>
  </si>
  <si>
    <t>10.61400032043457</t>
  </si>
  <si>
    <t>10.623000144958496</t>
  </si>
  <si>
    <t>10.295249938964844</t>
  </si>
  <si>
    <t>10.375</t>
  </si>
  <si>
    <t>308880000</t>
  </si>
  <si>
    <t>2020-07-31</t>
  </si>
  <si>
    <t>10.581583976745605</t>
  </si>
  <si>
    <t>10.614749908447266</t>
  </si>
  <si>
    <t>10.766500473022461</t>
  </si>
  <si>
    <t>10.563249588012695</t>
  </si>
  <si>
    <t>386080000</t>
  </si>
  <si>
    <t>2020-08-03</t>
  </si>
  <si>
    <t>10.975848197937012</t>
  </si>
  <si>
    <t>11.010250091552734</t>
  </si>
  <si>
    <t>11.098750114440918</t>
  </si>
  <si>
    <t>10.715250015258789</t>
  </si>
  <si>
    <t>10.732500076293945</t>
  </si>
  <si>
    <t>412720000</t>
  </si>
  <si>
    <t>2020-08-04</t>
  </si>
  <si>
    <t>11.192670822143555</t>
  </si>
  <si>
    <t>11.227749824523926</t>
  </si>
  <si>
    <t>10.906000137329102</t>
  </si>
  <si>
    <t>11.050000190734863</t>
  </si>
  <si>
    <t>310336000</t>
  </si>
  <si>
    <t>2020-08-05</t>
  </si>
  <si>
    <t>11.251484870910645</t>
  </si>
  <si>
    <t>11.286749839782715</t>
  </si>
  <si>
    <t>11.371749877929688</t>
  </si>
  <si>
    <t>11.166250228881836</t>
  </si>
  <si>
    <t>11.244000434875488</t>
  </si>
  <si>
    <t>249924000</t>
  </si>
  <si>
    <t>2020-08-06</t>
  </si>
  <si>
    <t>11.30008316040039</t>
  </si>
  <si>
    <t>11.33549976348877</t>
  </si>
  <si>
    <t>11.357999801635742</t>
  </si>
  <si>
    <t>11.178750038146973</t>
  </si>
  <si>
    <t>11.349749565124512</t>
  </si>
  <si>
    <t>244316000</t>
  </si>
  <si>
    <t>2020-08-07</t>
  </si>
  <si>
    <t>11.164508819580078</t>
  </si>
  <si>
    <t>11.19950008392334</t>
  </si>
  <si>
    <t>11.50475025177002</t>
  </si>
  <si>
    <t>11.037500381469727</t>
  </si>
  <si>
    <t>11.3125</t>
  </si>
  <si>
    <t>342516000</t>
  </si>
  <si>
    <t>2020-08-10</t>
  </si>
  <si>
    <t>11.130117416381836</t>
  </si>
  <si>
    <t>11.164999961853027</t>
  </si>
  <si>
    <t>11.408249855041504</t>
  </si>
  <si>
    <t>10.856499671936035</t>
  </si>
  <si>
    <t>11.334250450134277</t>
  </si>
  <si>
    <t>427796000</t>
  </si>
  <si>
    <t>2020-08-11</t>
  </si>
  <si>
    <t>10.816100120544434</t>
  </si>
  <si>
    <t>10.850000381469727</t>
  </si>
  <si>
    <t>11.136750221252441</t>
  </si>
  <si>
    <t>10.79574966430664</t>
  </si>
  <si>
    <t>11.073749542236328</t>
  </si>
  <si>
    <t>354512000</t>
  </si>
  <si>
    <t>2020-08-12</t>
  </si>
  <si>
    <t>11.404508590698242</t>
  </si>
  <si>
    <t>11.440250396728516</t>
  </si>
  <si>
    <t>11.467000007629395</t>
  </si>
  <si>
    <t>10.958250045776367</t>
  </si>
  <si>
    <t>10.990750312805176</t>
  </si>
  <si>
    <t>464412000</t>
  </si>
  <si>
    <t>2020-08-13</t>
  </si>
  <si>
    <t>11.407245635986328</t>
  </si>
  <si>
    <t>11.442999839782715</t>
  </si>
  <si>
    <t>11.721750259399414</t>
  </si>
  <si>
    <t>11.35575008392334</t>
  </si>
  <si>
    <t>11.545999526977539</t>
  </si>
  <si>
    <t>374460000</t>
  </si>
  <si>
    <t>2020-08-14</t>
  </si>
  <si>
    <t>11.527870178222656</t>
  </si>
  <si>
    <t>11.564000129699707</t>
  </si>
  <si>
    <t>11.704750061035156</t>
  </si>
  <si>
    <t>11.440500259399414</t>
  </si>
  <si>
    <t>11.529999732971191</t>
  </si>
  <si>
    <t>366436000</t>
  </si>
  <si>
    <t>2020-08-17</t>
  </si>
  <si>
    <t>12.298454284667969</t>
  </si>
  <si>
    <t>12.336999893188477</t>
  </si>
  <si>
    <t>12.409749984741211</t>
  </si>
  <si>
    <t>11.81725025177002</t>
  </si>
  <si>
    <t>11.851249694824219</t>
  </si>
  <si>
    <t>621300000</t>
  </si>
  <si>
    <t>2020-08-18</t>
  </si>
  <si>
    <t>12.222442626953125</t>
  </si>
  <si>
    <t>12.260749816894531</t>
  </si>
  <si>
    <t>12.496000289916992</t>
  </si>
  <si>
    <t>12.086250305175781</t>
  </si>
  <si>
    <t>12.449999809265137</t>
  </si>
  <si>
    <t>503448000</t>
  </si>
  <si>
    <t>2020-08-19</t>
  </si>
  <si>
    <t>12.100574493408203</t>
  </si>
  <si>
    <t>12.138500213623047</t>
  </si>
  <si>
    <t>12.3149995803833</t>
  </si>
  <si>
    <t>12.097999572753906</t>
  </si>
  <si>
    <t>12.296500205993652</t>
  </si>
  <si>
    <t>622624000</t>
  </si>
  <si>
    <t>2020-08-20</t>
  </si>
  <si>
    <t>12.103068351745605</t>
  </si>
  <si>
    <t>12.140999794006348</t>
  </si>
  <si>
    <t>12.375</t>
  </si>
  <si>
    <t>11.87874984741211</t>
  </si>
  <si>
    <t>11.975000381469727</t>
  </si>
  <si>
    <t>921388000</t>
  </si>
  <si>
    <t>2020-08-21</t>
  </si>
  <si>
    <t>12.64387321472168</t>
  </si>
  <si>
    <t>12.683500289916992</t>
  </si>
  <si>
    <t>12.80875015258789</t>
  </si>
  <si>
    <t>12.195249557495117</t>
  </si>
  <si>
    <t>12.201749801635742</t>
  </si>
  <si>
    <t>999868000</t>
  </si>
  <si>
    <t>2020-08-24</t>
  </si>
  <si>
    <t>12.680509567260742</t>
  </si>
  <si>
    <t>12.720250129699707</t>
  </si>
  <si>
    <t>12.912500381469727</t>
  </si>
  <si>
    <t>12.507499694824219</t>
  </si>
  <si>
    <t>12.883749961853027</t>
  </si>
  <si>
    <t>490564000</t>
  </si>
  <si>
    <t>2020-08-25</t>
  </si>
  <si>
    <t>12.710164070129395</t>
  </si>
  <si>
    <t>12.75</t>
  </si>
  <si>
    <t>12.761249542236328</t>
  </si>
  <si>
    <t>12.573749542236328</t>
  </si>
  <si>
    <t>12.630749702453613</t>
  </si>
  <si>
    <t>289076000</t>
  </si>
  <si>
    <t>2020-08-26</t>
  </si>
  <si>
    <t>12.73309326171875</t>
  </si>
  <si>
    <t>12.77299976348877</t>
  </si>
  <si>
    <t>12.868499755859375</t>
  </si>
  <si>
    <t>12.677749633789062</t>
  </si>
  <si>
    <t>12.799249649047852</t>
  </si>
  <si>
    <t>321244000</t>
  </si>
  <si>
    <t>2020-08-27</t>
  </si>
  <si>
    <t>12.588794708251953</t>
  </si>
  <si>
    <t>12.628250122070312</t>
  </si>
  <si>
    <t>12.850000381469727</t>
  </si>
  <si>
    <t>12.566499710083008</t>
  </si>
  <si>
    <t>12.781499862670898</t>
  </si>
  <si>
    <t>317604000</t>
  </si>
  <si>
    <t>2020-08-28</t>
  </si>
  <si>
    <t>13.106671333312988</t>
  </si>
  <si>
    <t>13.147749900817871</t>
  </si>
  <si>
    <t>13.14799976348877</t>
  </si>
  <si>
    <t>12.642499923706055</t>
  </si>
  <si>
    <t>12.675000190734863</t>
  </si>
  <si>
    <t>537160000</t>
  </si>
  <si>
    <t>2020-08-31</t>
  </si>
  <si>
    <t>13.33271312713623</t>
  </si>
  <si>
    <t>13.374500274658203</t>
  </si>
  <si>
    <t>13.574999809265137</t>
  </si>
  <si>
    <t>13.037750244140625</t>
  </si>
  <si>
    <t>13.18274974822998</t>
  </si>
  <si>
    <t>500840000</t>
  </si>
  <si>
    <t>2020-09-01</t>
  </si>
  <si>
    <t>13.781940460205078</t>
  </si>
  <si>
    <t>13.821000099182129</t>
  </si>
  <si>
    <t>13.993749618530273</t>
  </si>
  <si>
    <t>13.43649959564209</t>
  </si>
  <si>
    <t>13.479999542236328</t>
  </si>
  <si>
    <t>511316000</t>
  </si>
  <si>
    <t>2020-09-02</t>
  </si>
  <si>
    <t>14.30595588684082</t>
  </si>
  <si>
    <t>14.346500396728516</t>
  </si>
  <si>
    <t>14.726750373840332</t>
  </si>
  <si>
    <t>13.899999618530273</t>
  </si>
  <si>
    <t>14.703749656677246</t>
  </si>
  <si>
    <t>874012000</t>
  </si>
  <si>
    <t>2020-09-03</t>
  </si>
  <si>
    <t>12.978714942932129</t>
  </si>
  <si>
    <t>13.01550006866455</t>
  </si>
  <si>
    <t>13.884499549865723</t>
  </si>
  <si>
    <t>12.87874984741211</t>
  </si>
  <si>
    <t>13.828749656677246</t>
  </si>
  <si>
    <t>945128000</t>
  </si>
  <si>
    <t>2020-09-04</t>
  </si>
  <si>
    <t>12.58682632446289</t>
  </si>
  <si>
    <t>12.6225004196167</t>
  </si>
  <si>
    <t>13.175000190734863</t>
  </si>
  <si>
    <t>12.7837495803833</t>
  </si>
  <si>
    <t>1463684000</t>
  </si>
  <si>
    <t>2020-09-08</t>
  </si>
  <si>
    <t>11.879331588745117</t>
  </si>
  <si>
    <t>11.913000106811523</t>
  </si>
  <si>
    <t>12.550000190734863</t>
  </si>
  <si>
    <t>11.70425033569336</t>
  </si>
  <si>
    <t>11.73449993133545</t>
  </si>
  <si>
    <t>795728000</t>
  </si>
  <si>
    <t>2020-09-09</t>
  </si>
  <si>
    <t>12.67906379699707</t>
  </si>
  <si>
    <t>12.71500015258789</t>
  </si>
  <si>
    <t>12.809249877929688</t>
  </si>
  <si>
    <t>12.231749534606934</t>
  </si>
  <si>
    <t>12.399999618530273</t>
  </si>
  <si>
    <t>736200000</t>
  </si>
  <si>
    <t>2020-09-10</t>
  </si>
  <si>
    <t>12.276955604553223</t>
  </si>
  <si>
    <t>12.311750411987305</t>
  </si>
  <si>
    <t>13.065250396728516</t>
  </si>
  <si>
    <t>12.166999816894531</t>
  </si>
  <si>
    <t>12.989250183105469</t>
  </si>
  <si>
    <t>698684000</t>
  </si>
  <si>
    <t>2020-09-11</t>
  </si>
  <si>
    <t>12.130123138427734</t>
  </si>
  <si>
    <t>12.16450023651123</t>
  </si>
  <si>
    <t>12.65250015258789</t>
  </si>
  <si>
    <t>11.895750045776367</t>
  </si>
  <si>
    <t>12.48550033569336</t>
  </si>
  <si>
    <t>636928000</t>
  </si>
  <si>
    <t>2020-09-14</t>
  </si>
  <si>
    <t>12.835870742797852</t>
  </si>
  <si>
    <t>12.872249603271484</t>
  </si>
  <si>
    <t>13.3149995803833</t>
  </si>
  <si>
    <t>12.631250381469727</t>
  </si>
  <si>
    <t>13.081000328063965</t>
  </si>
  <si>
    <t>1201744000</t>
  </si>
  <si>
    <t>2020-09-15</t>
  </si>
  <si>
    <t>12.9542875289917</t>
  </si>
  <si>
    <t>12.991000175476074</t>
  </si>
  <si>
    <t>13.298749923706055</t>
  </si>
  <si>
    <t>12.827750205993652</t>
  </si>
  <si>
    <t>13.279999732971191</t>
  </si>
  <si>
    <t>727556000</t>
  </si>
  <si>
    <t>2020-09-16</t>
  </si>
  <si>
    <t>12.479132652282715</t>
  </si>
  <si>
    <t>12.51449966430664</t>
  </si>
  <si>
    <t>13.09274959564209</t>
  </si>
  <si>
    <t>12.513750076293945</t>
  </si>
  <si>
    <t>12.957249641418457</t>
  </si>
  <si>
    <t>556384000</t>
  </si>
  <si>
    <t>2020-09-17</t>
  </si>
  <si>
    <t>12.428276062011719</t>
  </si>
  <si>
    <t>12.463500022888184</t>
  </si>
  <si>
    <t>12.589750289916992</t>
  </si>
  <si>
    <t>12.034749984741211</t>
  </si>
  <si>
    <t>12.13224983215332</t>
  </si>
  <si>
    <t>792512000</t>
  </si>
  <si>
    <t>2020-09-18</t>
  </si>
  <si>
    <t>12.154799461364746</t>
  </si>
  <si>
    <t>12.189249992370605</t>
  </si>
  <si>
    <t>12.632499694824219</t>
  </si>
  <si>
    <t>11.988750457763672</t>
  </si>
  <si>
    <t>12.59375</t>
  </si>
  <si>
    <t>698460000</t>
  </si>
  <si>
    <t>2020-09-21</t>
  </si>
  <si>
    <t>12.4818754196167</t>
  </si>
  <si>
    <t>12.517250061035156</t>
  </si>
  <si>
    <t>12.522500038146973</t>
  </si>
  <si>
    <t>11.904500007629395</t>
  </si>
  <si>
    <t>11.925000190734863</t>
  </si>
  <si>
    <t>721044000</t>
  </si>
  <si>
    <t>2020-09-22</t>
  </si>
  <si>
    <t>12.602033615112305</t>
  </si>
  <si>
    <t>12.637749671936035</t>
  </si>
  <si>
    <t>12.64799976348877</t>
  </si>
  <si>
    <t>12.155500411987305</t>
  </si>
  <si>
    <t>12.574999809265137</t>
  </si>
  <si>
    <t>646452000</t>
  </si>
  <si>
    <t>2020-09-23</t>
  </si>
  <si>
    <t>12.089486122131348</t>
  </si>
  <si>
    <t>12.123749732971191</t>
  </si>
  <si>
    <t>12.72700023651123</t>
  </si>
  <si>
    <t>12.07925033569336</t>
  </si>
  <si>
    <t>12.575499534606934</t>
  </si>
  <si>
    <t>647012000</t>
  </si>
  <si>
    <t>2020-09-24</t>
  </si>
  <si>
    <t>12.313101768493652</t>
  </si>
  <si>
    <t>12.347999572753906</t>
  </si>
  <si>
    <t>12.569499969482422</t>
  </si>
  <si>
    <t>12.013999938964844</t>
  </si>
  <si>
    <t>12.072250366210938</t>
  </si>
  <si>
    <t>731240000</t>
  </si>
  <si>
    <t>2020-09-25</t>
  </si>
  <si>
    <t>12.83736801147461</t>
  </si>
  <si>
    <t>12.873749732971191</t>
  </si>
  <si>
    <t>12.883500099182129</t>
  </si>
  <si>
    <t>12.245750427246094</t>
  </si>
  <si>
    <t>12.447500228881836</t>
  </si>
  <si>
    <t>588016000</t>
  </si>
  <si>
    <t>2020-09-28</t>
  </si>
  <si>
    <t>12.998161315917969</t>
  </si>
  <si>
    <t>13.03499984741211</t>
  </si>
  <si>
    <t>13.051750183105469</t>
  </si>
  <si>
    <t>13.040249824523926</t>
  </si>
  <si>
    <t>573808000</t>
  </si>
  <si>
    <t>2020-09-29</t>
  </si>
  <si>
    <t>13.188374519348145</t>
  </si>
  <si>
    <t>13.225749969482422</t>
  </si>
  <si>
    <t>13.442749977111816</t>
  </si>
  <si>
    <t>12.933250427246094</t>
  </si>
  <si>
    <t>12.9375</t>
  </si>
  <si>
    <t>621460000</t>
  </si>
  <si>
    <t>2020-09-30</t>
  </si>
  <si>
    <t>13.492263793945312</t>
  </si>
  <si>
    <t>13.530500411987305</t>
  </si>
  <si>
    <t>13.6225004196167</t>
  </si>
  <si>
    <t>13.150250434875488</t>
  </si>
  <si>
    <t>13.157500267028809</t>
  </si>
  <si>
    <t>689184000</t>
  </si>
  <si>
    <t>2020-10-01</t>
  </si>
  <si>
    <t>13.576025009155273</t>
  </si>
  <si>
    <t>13.614500045776367</t>
  </si>
  <si>
    <t>13.762749671936035</t>
  </si>
  <si>
    <t>13.460749626159668</t>
  </si>
  <si>
    <t>13.758000373840332</t>
  </si>
  <si>
    <t>525004000</t>
  </si>
  <si>
    <t>2020-10-02</t>
  </si>
  <si>
    <t>13.025334358215332</t>
  </si>
  <si>
    <t>13.062250137329102</t>
  </si>
  <si>
    <t>13.519499778747559</t>
  </si>
  <si>
    <t>13.050999641418457</t>
  </si>
  <si>
    <t>13.225000381469727</t>
  </si>
  <si>
    <t>552496000</t>
  </si>
  <si>
    <t>2020-10-05</t>
  </si>
  <si>
    <t>13.603944778442383</t>
  </si>
  <si>
    <t>13.642499923706055</t>
  </si>
  <si>
    <t>13.64424991607666</t>
  </si>
  <si>
    <t>13.222749710083008</t>
  </si>
  <si>
    <t>13.236000061035156</t>
  </si>
  <si>
    <t>479820000</t>
  </si>
  <si>
    <t>2020-10-06</t>
  </si>
  <si>
    <t>13.697678565979004</t>
  </si>
  <si>
    <t>13.736499786376953</t>
  </si>
  <si>
    <t>14.142000198364258</t>
  </si>
  <si>
    <t>13.664999961853027</t>
  </si>
  <si>
    <t>13.829999923706055</t>
  </si>
  <si>
    <t>784420000</t>
  </si>
  <si>
    <t>2020-10-07</t>
  </si>
  <si>
    <t>13.924534797668457</t>
  </si>
  <si>
    <t>13.96399974822998</t>
  </si>
  <si>
    <t>14.119250297546387</t>
  </si>
  <si>
    <t>13.863499641418457</t>
  </si>
  <si>
    <t>13.999750137329102</t>
  </si>
  <si>
    <t>418084000</t>
  </si>
  <si>
    <t>2020-10-08</t>
  </si>
  <si>
    <t>13.799638748168945</t>
  </si>
  <si>
    <t>13.838749885559082</t>
  </si>
  <si>
    <t>14.084500312805176</t>
  </si>
  <si>
    <t>14.074999809265137</t>
  </si>
  <si>
    <t>378900000</t>
  </si>
  <si>
    <t>2020-10-09</t>
  </si>
  <si>
    <t>13.72385311126709</t>
  </si>
  <si>
    <t>13.824250221252441</t>
  </si>
  <si>
    <t>13.660750389099121</t>
  </si>
  <si>
    <t>13.767000198364258</t>
  </si>
  <si>
    <t>346892000</t>
  </si>
  <si>
    <t>2020-10-12</t>
  </si>
  <si>
    <t>14.185797691345215</t>
  </si>
  <si>
    <t>14.22599983215332</t>
  </si>
  <si>
    <t>14.347000122070312</t>
  </si>
  <si>
    <t>13.912500381469727</t>
  </si>
  <si>
    <t>13.989500045776367</t>
  </si>
  <si>
    <t>434744000</t>
  </si>
  <si>
    <t>2020-10-13</t>
  </si>
  <si>
    <t>14.20798397064209</t>
  </si>
  <si>
    <t>14.248250007629395</t>
  </si>
  <si>
    <t>14.34850025177002</t>
  </si>
  <si>
    <t>14.018750190734863</t>
  </si>
  <si>
    <t>14.296500205993652</t>
  </si>
  <si>
    <t>344604000</t>
  </si>
  <si>
    <t>2020-10-14</t>
  </si>
  <si>
    <t>14.055415153503418</t>
  </si>
  <si>
    <t>14.095250129699707</t>
  </si>
  <si>
    <t>14.34274959564209</t>
  </si>
  <si>
    <t>13.960000038146973</t>
  </si>
  <si>
    <t>14.290499687194824</t>
  </si>
  <si>
    <t>276100000</t>
  </si>
  <si>
    <t>2020-10-15</t>
  </si>
  <si>
    <t>13.930517196655273</t>
  </si>
  <si>
    <t>13.970000267028809</t>
  </si>
  <si>
    <t>14.005749702453613</t>
  </si>
  <si>
    <t>13.767749786376953</t>
  </si>
  <si>
    <t>13.810750007629395</t>
  </si>
  <si>
    <t>267224000</t>
  </si>
  <si>
    <t>2020-10-16</t>
  </si>
  <si>
    <t>13.772464752197266</t>
  </si>
  <si>
    <t>13.81149959564209</t>
  </si>
  <si>
    <t>14.121500015258789</t>
  </si>
  <si>
    <t>13.792499542236328</t>
  </si>
  <si>
    <t>14.036749839782715</t>
  </si>
  <si>
    <t>242392000</t>
  </si>
  <si>
    <t>2020-10-19</t>
  </si>
  <si>
    <t>13.459602355957031</t>
  </si>
  <si>
    <t>13.497750282287598</t>
  </si>
  <si>
    <t>13.983499526977539</t>
  </si>
  <si>
    <t>13.406749725341797</t>
  </si>
  <si>
    <t>13.902999877929688</t>
  </si>
  <si>
    <t>298068000</t>
  </si>
  <si>
    <t>2020-10-20</t>
  </si>
  <si>
    <t>13.606934547424316</t>
  </si>
  <si>
    <t>13.645500183105469</t>
  </si>
  <si>
    <t>13.799750328063965</t>
  </si>
  <si>
    <t>13.506999969482422</t>
  </si>
  <si>
    <t>13.583499908447266</t>
  </si>
  <si>
    <t>229212000</t>
  </si>
  <si>
    <t>2020-10-21</t>
  </si>
  <si>
    <t>13.486527442932129</t>
  </si>
  <si>
    <t>13.524749755859375</t>
  </si>
  <si>
    <t>13.791500091552734</t>
  </si>
  <si>
    <t>13.477499961853027</t>
  </si>
  <si>
    <t>13.625</t>
  </si>
  <si>
    <t>219596000</t>
  </si>
  <si>
    <t>2020-10-22</t>
  </si>
  <si>
    <t>13.323240280151367</t>
  </si>
  <si>
    <t>13.361000061035156</t>
  </si>
  <si>
    <t>13.611749649047852</t>
  </si>
  <si>
    <t>13.231749534606934</t>
  </si>
  <si>
    <t>13.522500038146973</t>
  </si>
  <si>
    <t>290480000</t>
  </si>
  <si>
    <t>2020-10-23</t>
  </si>
  <si>
    <t>13.551840782165527</t>
  </si>
  <si>
    <t>13.590250015258789</t>
  </si>
  <si>
    <t>13.593250274658203</t>
  </si>
  <si>
    <t>13.291250228881836</t>
  </si>
  <si>
    <t>13.449999809265137</t>
  </si>
  <si>
    <t>233484000</t>
  </si>
  <si>
    <t>2020-10-26</t>
  </si>
  <si>
    <t>13.104111671447754</t>
  </si>
  <si>
    <t>13.141249656677246</t>
  </si>
  <si>
    <t>13.692749977111816</t>
  </si>
  <si>
    <t>13.03849983215332</t>
  </si>
  <si>
    <t>13.427000045776367</t>
  </si>
  <si>
    <t>336896000</t>
  </si>
  <si>
    <t>2020-10-27</t>
  </si>
  <si>
    <t>13.35888671875</t>
  </si>
  <si>
    <t>13.396750450134277</t>
  </si>
  <si>
    <t>13.442000389099121</t>
  </si>
  <si>
    <t>13.191499710083008</t>
  </si>
  <si>
    <t>13.305999755859375</t>
  </si>
  <si>
    <t>250520000</t>
  </si>
  <si>
    <t>2020-10-28</t>
  </si>
  <si>
    <t>12.591314315795898</t>
  </si>
  <si>
    <t>12.626999855041504</t>
  </si>
  <si>
    <t>13.260000228881836</t>
  </si>
  <si>
    <t>12.609000205993652</t>
  </si>
  <si>
    <t>13.197999954223633</t>
  </si>
  <si>
    <t>376520000</t>
  </si>
  <si>
    <t>2020-10-29</t>
  </si>
  <si>
    <t>12.987194061279297</t>
  </si>
  <si>
    <t>13.02400016784668</t>
  </si>
  <si>
    <t>13.192749977111816</t>
  </si>
  <si>
    <t>12.838500022888184</t>
  </si>
  <si>
    <t>320080000</t>
  </si>
  <si>
    <t>2020-10-30</t>
  </si>
  <si>
    <t>12.498578071594238</t>
  </si>
  <si>
    <t>12.534000396728516</t>
  </si>
  <si>
    <t>12.93649959564209</t>
  </si>
  <si>
    <t>12.300000190734863</t>
  </si>
  <si>
    <t>416820000</t>
  </si>
  <si>
    <t>2020-11-02</t>
  </si>
  <si>
    <t>12.545194625854492</t>
  </si>
  <si>
    <t>12.580750465393066</t>
  </si>
  <si>
    <t>12.836750030517578</t>
  </si>
  <si>
    <t>12.395000457763672</t>
  </si>
  <si>
    <t>12.657750129699707</t>
  </si>
  <si>
    <t>299652000</t>
  </si>
  <si>
    <t>2020-11-03</t>
  </si>
  <si>
    <t>12.982707023620605</t>
  </si>
  <si>
    <t>13.019499778747559</t>
  </si>
  <si>
    <t>13.104999542236328</t>
  </si>
  <si>
    <t>12.602749824523926</t>
  </si>
  <si>
    <t>12.708499908447266</t>
  </si>
  <si>
    <t>272900000</t>
  </si>
  <si>
    <t>2020-11-04</t>
  </si>
  <si>
    <t>13.755266189575195</t>
  </si>
  <si>
    <t>13.794249534606934</t>
  </si>
  <si>
    <t>13.827500343322754</t>
  </si>
  <si>
    <t>13.336999893188477</t>
  </si>
  <si>
    <t>13.389249801635742</t>
  </si>
  <si>
    <t>410228000</t>
  </si>
  <si>
    <t>2020-11-05</t>
  </si>
  <si>
    <t>14.119980812072754</t>
  </si>
  <si>
    <t>14.15999984741211</t>
  </si>
  <si>
    <t>14.33899974822998</t>
  </si>
  <si>
    <t>13.991000175476074</t>
  </si>
  <si>
    <t>14.162500381469727</t>
  </si>
  <si>
    <t>319028000</t>
  </si>
  <si>
    <t>2020-11-06</t>
  </si>
  <si>
    <t>14.520846366882324</t>
  </si>
  <si>
    <t>14.562000274658203</t>
  </si>
  <si>
    <t>14.588749885559082</t>
  </si>
  <si>
    <t>13.895000457763672</t>
  </si>
  <si>
    <t>14.109749794006348</t>
  </si>
  <si>
    <t>383348000</t>
  </si>
  <si>
    <t>2020-11-09</t>
  </si>
  <si>
    <t>13.592227935791016</t>
  </si>
  <si>
    <t>13.630749702453613</t>
  </si>
  <si>
    <t>14.691499710083008</t>
  </si>
  <si>
    <t>13.610750198364258</t>
  </si>
  <si>
    <t>14.552499771118164</t>
  </si>
  <si>
    <t>582976000</t>
  </si>
  <si>
    <t>2020-11-10</t>
  </si>
  <si>
    <t>12.733909606933594</t>
  </si>
  <si>
    <t>12.770000457763672</t>
  </si>
  <si>
    <t>13.606499671936035</t>
  </si>
  <si>
    <t>644068000</t>
  </si>
  <si>
    <t>2020-11-11</t>
  </si>
  <si>
    <t>13.380078315734863</t>
  </si>
  <si>
    <t>13.418000221252441</t>
  </si>
  <si>
    <t>13.4350004196167</t>
  </si>
  <si>
    <t>12.948249816894531</t>
  </si>
  <si>
    <t>13.053750038146973</t>
  </si>
  <si>
    <t>404744000</t>
  </si>
  <si>
    <t>2020-11-12</t>
  </si>
  <si>
    <t>13.418719291687012</t>
  </si>
  <si>
    <t>13.45674991607666</t>
  </si>
  <si>
    <t>13.765999794006348</t>
  </si>
  <si>
    <t>13.315999984741211</t>
  </si>
  <si>
    <t>13.479000091552734</t>
  </si>
  <si>
    <t>365812000</t>
  </si>
  <si>
    <t>2020-11-13</t>
  </si>
  <si>
    <t>13.259417533874512</t>
  </si>
  <si>
    <t>13.29699993133545</t>
  </si>
  <si>
    <t>13.668749809265137</t>
  </si>
  <si>
    <t>13.059249877929688</t>
  </si>
  <si>
    <t>13.627249717712402</t>
  </si>
  <si>
    <t>346312000</t>
  </si>
  <si>
    <t>2020-11-16</t>
  </si>
  <si>
    <t>13.477055549621582</t>
  </si>
  <si>
    <t>13.515250205993652</t>
  </si>
  <si>
    <t>13.649499893188477</t>
  </si>
  <si>
    <t>13.156000137329102</t>
  </si>
  <si>
    <t>13.172499656677246</t>
  </si>
  <si>
    <t>413776000</t>
  </si>
  <si>
    <t>2020-11-17</t>
  </si>
  <si>
    <t>13.384317398071289</t>
  </si>
  <si>
    <t>13.422249794006348</t>
  </si>
  <si>
    <t>13.5962495803833</t>
  </si>
  <si>
    <t>13.303750038146973</t>
  </si>
  <si>
    <t>13.552499771118164</t>
  </si>
  <si>
    <t>312028000</t>
  </si>
  <si>
    <t>2020-11-18</t>
  </si>
  <si>
    <t>13.390800476074219</t>
  </si>
  <si>
    <t>13.428750038146973</t>
  </si>
  <si>
    <t>13.60575008392334</t>
  </si>
  <si>
    <t>13.1850004196167</t>
  </si>
  <si>
    <t>13.465250015258789</t>
  </si>
  <si>
    <t>510924000</t>
  </si>
  <si>
    <t>2020-11-19</t>
  </si>
  <si>
    <t>13.402265548706055</t>
  </si>
  <si>
    <t>13.440250396728516</t>
  </si>
  <si>
    <t>13.487500190734863</t>
  </si>
  <si>
    <t>13.100000381469727</t>
  </si>
  <si>
    <t>13.212750434875488</t>
  </si>
  <si>
    <t>565936000</t>
  </si>
  <si>
    <t>2020-11-20</t>
  </si>
  <si>
    <t>13.050764083862305</t>
  </si>
  <si>
    <t>13.087750434875488</t>
  </si>
  <si>
    <t>13.494500160217285</t>
  </si>
  <si>
    <t>13.0649995803833</t>
  </si>
  <si>
    <t>13.454000473022461</t>
  </si>
  <si>
    <t>341088000</t>
  </si>
  <si>
    <t>2020-11-23</t>
  </si>
  <si>
    <t>13.102864265441895</t>
  </si>
  <si>
    <t>13.140000343322754</t>
  </si>
  <si>
    <t>13.382499694824219</t>
  </si>
  <si>
    <t>13.171250343322754</t>
  </si>
  <si>
    <t>361356000</t>
  </si>
  <si>
    <t>2020-11-24</t>
  </si>
  <si>
    <t>12.921131134033203</t>
  </si>
  <si>
    <t>12.95775032043457</t>
  </si>
  <si>
    <t>13.161999702453613</t>
  </si>
  <si>
    <t>12.885000228881836</t>
  </si>
  <si>
    <t>13.142499923706055</t>
  </si>
  <si>
    <t>346500000</t>
  </si>
  <si>
    <t>2020-11-25</t>
  </si>
  <si>
    <t>13.197345733642578</t>
  </si>
  <si>
    <t>13.234749794006348</t>
  </si>
  <si>
    <t>13.269499778747559</t>
  </si>
  <si>
    <t>13.020000457763672</t>
  </si>
  <si>
    <t>13.032500267028809</t>
  </si>
  <si>
    <t>259916000</t>
  </si>
  <si>
    <t>2020-11-27</t>
  </si>
  <si>
    <t>13.223772048950195</t>
  </si>
  <si>
    <t>13.261249542236328</t>
  </si>
  <si>
    <t>13.407500267028809</t>
  </si>
  <si>
    <t>13.170499801635742</t>
  </si>
  <si>
    <t>13.375</t>
  </si>
  <si>
    <t>167276000</t>
  </si>
  <si>
    <t>2020-11-30</t>
  </si>
  <si>
    <t>13.363625526428223</t>
  </si>
  <si>
    <t>13.40149974822998</t>
  </si>
  <si>
    <t>13.412500381469727</t>
  </si>
  <si>
    <t>12.972249984741211</t>
  </si>
  <si>
    <t>13.265000343322754</t>
  </si>
  <si>
    <t>286952000</t>
  </si>
  <si>
    <t>2020-12-01</t>
  </si>
  <si>
    <t>13.352161407470703</t>
  </si>
  <si>
    <t>13.390000343322754</t>
  </si>
  <si>
    <t>13.5287504196167</t>
  </si>
  <si>
    <t>13.228249549865723</t>
  </si>
  <si>
    <t>13.492250442504883</t>
  </si>
  <si>
    <t>296948000</t>
  </si>
  <si>
    <t>2020-12-02</t>
  </si>
  <si>
    <t>13.50622272491455</t>
  </si>
  <si>
    <t>13.544500350952148</t>
  </si>
  <si>
    <t>13.673500061035156</t>
  </si>
  <si>
    <t>13.23425006866455</t>
  </si>
  <si>
    <t>13.350500106811523</t>
  </si>
  <si>
    <t>283360000</t>
  </si>
  <si>
    <t>2020-12-03</t>
  </si>
  <si>
    <t>13.36208724975586</t>
  </si>
  <si>
    <t>13.395999908447266</t>
  </si>
  <si>
    <t>13.65999984741211</t>
  </si>
  <si>
    <t>13.329000473022461</t>
  </si>
  <si>
    <t>13.587499618530273</t>
  </si>
  <si>
    <t>199520000</t>
  </si>
  <si>
    <t>2020-12-04</t>
  </si>
  <si>
    <t>13.523927688598633</t>
  </si>
  <si>
    <t>13.558250427246094</t>
  </si>
  <si>
    <t>13.5600004196167</t>
  </si>
  <si>
    <t>13.388750076293945</t>
  </si>
  <si>
    <t>13.44849967956543</t>
  </si>
  <si>
    <t>202244000</t>
  </si>
  <si>
    <t>2020-12-07</t>
  </si>
  <si>
    <t>13.57230281829834</t>
  </si>
  <si>
    <t>13.606749534606934</t>
  </si>
  <si>
    <t>13.731249809265137</t>
  </si>
  <si>
    <t>13.5</t>
  </si>
  <si>
    <t>13.601249694824219</t>
  </si>
  <si>
    <t>223244000</t>
  </si>
  <si>
    <t>2020-12-08</t>
  </si>
  <si>
    <t>13.316205978393555</t>
  </si>
  <si>
    <t>13.350000381469727</t>
  </si>
  <si>
    <t>13.598750114440918</t>
  </si>
  <si>
    <t>13.281499862670898</t>
  </si>
  <si>
    <t>13.585000038146973</t>
  </si>
  <si>
    <t>271920000</t>
  </si>
  <si>
    <t>2020-12-09</t>
  </si>
  <si>
    <t>12.898015022277832</t>
  </si>
  <si>
    <t>12.930749893188477</t>
  </si>
  <si>
    <t>13.413999557495117</t>
  </si>
  <si>
    <t>12.868249893188477</t>
  </si>
  <si>
    <t>13.30049991607666</t>
  </si>
  <si>
    <t>401300000</t>
  </si>
  <si>
    <t>2020-12-10</t>
  </si>
  <si>
    <t>12.939408302307129</t>
  </si>
  <si>
    <t>13.068750381469727</t>
  </si>
  <si>
    <t>12.849499702453613</t>
  </si>
  <si>
    <t>12.869000434875488</t>
  </si>
  <si>
    <t>207764000</t>
  </si>
  <si>
    <t>2020-12-11</t>
  </si>
  <si>
    <t>12.980307579040527</t>
  </si>
  <si>
    <t>13.013250350952148</t>
  </si>
  <si>
    <t>12.822999954223633</t>
  </si>
  <si>
    <t>12.967249870300293</t>
  </si>
  <si>
    <t>209264000</t>
  </si>
  <si>
    <t>2020-12-14</t>
  </si>
  <si>
    <t>13.275055885314941</t>
  </si>
  <si>
    <t>13.30875015258789</t>
  </si>
  <si>
    <t>13.077500343322754</t>
  </si>
  <si>
    <t>13.088000297546387</t>
  </si>
  <si>
    <t>270156000</t>
  </si>
  <si>
    <t>2020-12-15</t>
  </si>
  <si>
    <t>13.326677322387695</t>
  </si>
  <si>
    <t>13.36050033569336</t>
  </si>
  <si>
    <t>13.46399974822998</t>
  </si>
  <si>
    <t>13.186750411987305</t>
  </si>
  <si>
    <t>13.439749717712402</t>
  </si>
  <si>
    <t>193016000</t>
  </si>
  <si>
    <t>2020-12-16</t>
  </si>
  <si>
    <t>13.208975791931152</t>
  </si>
  <si>
    <t>13.242500305175781</t>
  </si>
  <si>
    <t>13.437250137329102</t>
  </si>
  <si>
    <t>13.212499618530273</t>
  </si>
  <si>
    <t>13.422499656677246</t>
  </si>
  <si>
    <t>223116000</t>
  </si>
  <si>
    <t>2020-12-17</t>
  </si>
  <si>
    <t>13.307474136352539</t>
  </si>
  <si>
    <t>13.3412504196167</t>
  </si>
  <si>
    <t>13.379500389099121</t>
  </si>
  <si>
    <t>13.178500175476074</t>
  </si>
  <si>
    <t>13.36674976348877</t>
  </si>
  <si>
    <t>231384000</t>
  </si>
  <si>
    <t>2020-12-18</t>
  </si>
  <si>
    <t>13.23840045928955</t>
  </si>
  <si>
    <t>13.272000312805176</t>
  </si>
  <si>
    <t>13.404999732971191</t>
  </si>
  <si>
    <t>13.070500373840332</t>
  </si>
  <si>
    <t>13.378999710083008</t>
  </si>
  <si>
    <t>342064000</t>
  </si>
  <si>
    <t>2020-12-21</t>
  </si>
  <si>
    <t>13.29849624633789</t>
  </si>
  <si>
    <t>13.332249641418457</t>
  </si>
  <si>
    <t>13.369999885559082</t>
  </si>
  <si>
    <t>12.967499732971191</t>
  </si>
  <si>
    <t>13.074749946594238</t>
  </si>
  <si>
    <t>302332000</t>
  </si>
  <si>
    <t>2020-12-22</t>
  </si>
  <si>
    <t>13.244634628295898</t>
  </si>
  <si>
    <t>13.278249740600586</t>
  </si>
  <si>
    <t>13.337249755859375</t>
  </si>
  <si>
    <t>13.053999900817871</t>
  </si>
  <si>
    <t>13.319250106811523</t>
  </si>
  <si>
    <t>185580000</t>
  </si>
  <si>
    <t>2020-12-23</t>
  </si>
  <si>
    <t>12.976317405700684</t>
  </si>
  <si>
    <t>13.009249687194824</t>
  </si>
  <si>
    <t>13.274999618530273</t>
  </si>
  <si>
    <t>13.005000114440918</t>
  </si>
  <si>
    <t>13.255999565124512</t>
  </si>
  <si>
    <t>179144000</t>
  </si>
  <si>
    <t>2020-12-24</t>
  </si>
  <si>
    <t>12.960853576660156</t>
  </si>
  <si>
    <t>12.993749618530273</t>
  </si>
  <si>
    <t>13.132499694824219</t>
  </si>
  <si>
    <t>12.938750267028809</t>
  </si>
  <si>
    <t>13.037249565124512</t>
  </si>
  <si>
    <t>97884000</t>
  </si>
  <si>
    <t>2020-12-28</t>
  </si>
  <si>
    <t>12.867342948913574</t>
  </si>
  <si>
    <t>12.899999618530273</t>
  </si>
  <si>
    <t>13.0625</t>
  </si>
  <si>
    <t>12.763250350952148</t>
  </si>
  <si>
    <t>212564000</t>
  </si>
  <si>
    <t>2020-12-29</t>
  </si>
  <si>
    <t>12.910484313964844</t>
  </si>
  <si>
    <t>12.943249702453613</t>
  </si>
  <si>
    <t>13.072500228881836</t>
  </si>
  <si>
    <t>12.842249870300293</t>
  </si>
  <si>
    <t>12.925000190734863</t>
  </si>
  <si>
    <t>170372000</t>
  </si>
  <si>
    <t>2020-12-30</t>
  </si>
  <si>
    <t>13.112469673156738</t>
  </si>
  <si>
    <t>13.145750045776367</t>
  </si>
  <si>
    <t>13.213749885559082</t>
  </si>
  <si>
    <t>12.896750450134277</t>
  </si>
  <si>
    <t>12.990249633789062</t>
  </si>
  <si>
    <t>225396000</t>
  </si>
  <si>
    <t>2020-12-31</t>
  </si>
  <si>
    <t>13.021950721740723</t>
  </si>
  <si>
    <t>13.055000305175781</t>
  </si>
  <si>
    <t>13.151000022888184</t>
  </si>
  <si>
    <t>12.914999961853027</t>
  </si>
  <si>
    <t>13.136500358581543</t>
  </si>
  <si>
    <t>192424000</t>
  </si>
  <si>
    <t>2021-01-04</t>
  </si>
  <si>
    <t>13.080301284790039</t>
  </si>
  <si>
    <t>13.113499641418457</t>
  </si>
  <si>
    <t>13.65250015258789</t>
  </si>
  <si>
    <t>12.962499618530273</t>
  </si>
  <si>
    <t>13.104249954223633</t>
  </si>
  <si>
    <t>560640000</t>
  </si>
  <si>
    <t>2021-01-05</t>
  </si>
  <si>
    <t>13.370814323425293</t>
  </si>
  <si>
    <t>13.404749870300293</t>
  </si>
  <si>
    <t>13.443499565124512</t>
  </si>
  <si>
    <t>13.086999893188477</t>
  </si>
  <si>
    <t>13.099749565124512</t>
  </si>
  <si>
    <t>322760000</t>
  </si>
  <si>
    <t>2021-01-06</t>
  </si>
  <si>
    <t>12.582563400268555</t>
  </si>
  <si>
    <t>12.614500045776367</t>
  </si>
  <si>
    <t>13.244999885559082</t>
  </si>
  <si>
    <t>12.586000442504883</t>
  </si>
  <si>
    <t>13.22249984741211</t>
  </si>
  <si>
    <t>580424000</t>
  </si>
  <si>
    <t>2021-01-07</t>
  </si>
  <si>
    <t>13.310219764709473</t>
  </si>
  <si>
    <t>13.343999862670898</t>
  </si>
  <si>
    <t>13.377750396728516</t>
  </si>
  <si>
    <t>12.886500358581543</t>
  </si>
  <si>
    <t>461480000</t>
  </si>
  <si>
    <t>2021-01-08</t>
  </si>
  <si>
    <t>13.243139266967773</t>
  </si>
  <si>
    <t>13.276749610900879</t>
  </si>
  <si>
    <t>13.420999526977539</t>
  </si>
  <si>
    <t>13.041999816894531</t>
  </si>
  <si>
    <t>13.362500190734863</t>
  </si>
  <si>
    <t>292528000</t>
  </si>
  <si>
    <t>2021-01-11</t>
  </si>
  <si>
    <t>13.587016105651855</t>
  </si>
  <si>
    <t>13.621500015258789</t>
  </si>
  <si>
    <t>13.961000442504883</t>
  </si>
  <si>
    <t>13.418749809265137</t>
  </si>
  <si>
    <t>518344000</t>
  </si>
  <si>
    <t>2021-01-12</t>
  </si>
  <si>
    <t>13.450613021850586</t>
  </si>
  <si>
    <t>13.484749794006348</t>
  </si>
  <si>
    <t>13.754500389099121</t>
  </si>
  <si>
    <t>13.345000267028809</t>
  </si>
  <si>
    <t>13.7524995803833</t>
  </si>
  <si>
    <t>291476000</t>
  </si>
  <si>
    <t>2021-01-13</t>
  </si>
  <si>
    <t>13.497493743896484</t>
  </si>
  <si>
    <t>13.531749725341797</t>
  </si>
  <si>
    <t>13.385000228881836</t>
  </si>
  <si>
    <t>13.489999771118164</t>
  </si>
  <si>
    <t>210028000</t>
  </si>
  <si>
    <t>2021-01-14</t>
  </si>
  <si>
    <t>13.166833877563477</t>
  </si>
  <si>
    <t>13.200249671936035</t>
  </si>
  <si>
    <t>13.599749565124512</t>
  </si>
  <si>
    <t>13.180500030517578</t>
  </si>
  <si>
    <t>283120000</t>
  </si>
  <si>
    <t>2021-01-15</t>
  </si>
  <si>
    <t>12.826944351196289</t>
  </si>
  <si>
    <t>12.85949993133545</t>
  </si>
  <si>
    <t>13.325249671936035</t>
  </si>
  <si>
    <t>12.84850025177002</t>
  </si>
  <si>
    <t>13.227999687194824</t>
  </si>
  <si>
    <t>277780000</t>
  </si>
  <si>
    <t>2021-01-19</t>
  </si>
  <si>
    <t>12.992276191711426</t>
  </si>
  <si>
    <t>13.025250434875488</t>
  </si>
  <si>
    <t>13.093999862670898</t>
  </si>
  <si>
    <t>12.843999862670898</t>
  </si>
  <si>
    <t>13.016249656677246</t>
  </si>
  <si>
    <t>226188000</t>
  </si>
  <si>
    <t>2021-01-20</t>
  </si>
  <si>
    <t>13.331913948059082</t>
  </si>
  <si>
    <t>13.365750312805176</t>
  </si>
  <si>
    <t>13.430500030517578</t>
  </si>
  <si>
    <t>13.056750297546387</t>
  </si>
  <si>
    <t>13.111749649047852</t>
  </si>
  <si>
    <t>258572000</t>
  </si>
  <si>
    <t>2021-01-21</t>
  </si>
  <si>
    <t>13.83239459991455</t>
  </si>
  <si>
    <t>13.867500305175781</t>
  </si>
  <si>
    <t>13.999250411987305</t>
  </si>
  <si>
    <t>13.253000259399414</t>
  </si>
  <si>
    <t>13.418499946594238</t>
  </si>
  <si>
    <t>337780000</t>
  </si>
  <si>
    <t>2021-01-22</t>
  </si>
  <si>
    <t>13.67778491973877</t>
  </si>
  <si>
    <t>13.712499618530273</t>
  </si>
  <si>
    <t>13.841750144958496</t>
  </si>
  <si>
    <t>13.739999771118164</t>
  </si>
  <si>
    <t>246820000</t>
  </si>
  <si>
    <t>2021-01-25</t>
  </si>
  <si>
    <t>13.618687629699707</t>
  </si>
  <si>
    <t>13.653249740600586</t>
  </si>
  <si>
    <t>13.828499794006348</t>
  </si>
  <si>
    <t>13.236499786376953</t>
  </si>
  <si>
    <t>13.781749725341797</t>
  </si>
  <si>
    <t>251112000</t>
  </si>
  <si>
    <t>2021-01-26</t>
  </si>
  <si>
    <t>13.401237487792969</t>
  </si>
  <si>
    <t>13.435250282287598</t>
  </si>
  <si>
    <t>13.644749641418457</t>
  </si>
  <si>
    <t>13.387499809265137</t>
  </si>
  <si>
    <t>13.580499649047852</t>
  </si>
  <si>
    <t>163980000</t>
  </si>
  <si>
    <t>2021-01-27</t>
  </si>
  <si>
    <t>12.885048866271973</t>
  </si>
  <si>
    <t>12.917750358581543</t>
  </si>
  <si>
    <t>13.232749938964844</t>
  </si>
  <si>
    <t>12.793749809265137</t>
  </si>
  <si>
    <t>13.229999542236328</t>
  </si>
  <si>
    <t>371272000</t>
  </si>
  <si>
    <t>2021-01-28</t>
  </si>
  <si>
    <t>13.017959594726562</t>
  </si>
  <si>
    <t>13.339750289916992</t>
  </si>
  <si>
    <t>12.96049976348877</t>
  </si>
  <si>
    <t>12.99625015258789</t>
  </si>
  <si>
    <t>228316000</t>
  </si>
  <si>
    <t>2021-01-29</t>
  </si>
  <si>
    <t>12.956865310668945</t>
  </si>
  <si>
    <t>12.989749908447266</t>
  </si>
  <si>
    <t>13.334750175476074</t>
  </si>
  <si>
    <t>12.911499977111816</t>
  </si>
  <si>
    <t>13.074999809265137</t>
  </si>
  <si>
    <t>271552000</t>
  </si>
  <si>
    <t>2021-02-01</t>
  </si>
  <si>
    <t>13.2034912109375</t>
  </si>
  <si>
    <t>13.237000465393066</t>
  </si>
  <si>
    <t>13.270750045776367</t>
  </si>
  <si>
    <t>12.902750015258789</t>
  </si>
  <si>
    <t>13.053250312805176</t>
  </si>
  <si>
    <t>217204000</t>
  </si>
  <si>
    <t>2021-02-02</t>
  </si>
  <si>
    <t>13.522430419921875</t>
  </si>
  <si>
    <t>13.556750297546387</t>
  </si>
  <si>
    <t>13.571999549865723</t>
  </si>
  <si>
    <t>13.285499572753906</t>
  </si>
  <si>
    <t>13.398750305175781</t>
  </si>
  <si>
    <t>220440000</t>
  </si>
  <si>
    <t>2021-02-03</t>
  </si>
  <si>
    <t>13.496248245239258</t>
  </si>
  <si>
    <t>13.931750297546387</t>
  </si>
  <si>
    <t>13.516500473022461</t>
  </si>
  <si>
    <t>13.63599967956543</t>
  </si>
  <si>
    <t>245408000</t>
  </si>
  <si>
    <t>2021-02-04</t>
  </si>
  <si>
    <t>13.629658699035645</t>
  </si>
  <si>
    <t>13.664250373840332</t>
  </si>
  <si>
    <t>13.337750434875488</t>
  </si>
  <si>
    <t>13.531000137329102</t>
  </si>
  <si>
    <t>201340000</t>
  </si>
  <si>
    <t>2021-02-05</t>
  </si>
  <si>
    <t>13.556591987609863</t>
  </si>
  <si>
    <t>13.590999603271484</t>
  </si>
  <si>
    <t>13.737250328063965</t>
  </si>
  <si>
    <t>13.54574966430664</t>
  </si>
  <si>
    <t>13.725000381469727</t>
  </si>
  <si>
    <t>169152000</t>
  </si>
  <si>
    <t>2021-02-08</t>
  </si>
  <si>
    <t>14.40219783782959</t>
  </si>
  <si>
    <t>14.438750267028809</t>
  </si>
  <si>
    <t>14.473750114440918</t>
  </si>
  <si>
    <t>13.727250099182129</t>
  </si>
  <si>
    <t>434624000</t>
  </si>
  <si>
    <t>2021-02-09</t>
  </si>
  <si>
    <t>14.227143287658691</t>
  </si>
  <si>
    <t>14.263250350952148</t>
  </si>
  <si>
    <t>14.583250045776367</t>
  </si>
  <si>
    <t>14.22249984741211</t>
  </si>
  <si>
    <t>14.340749740600586</t>
  </si>
  <si>
    <t>287560000</t>
  </si>
  <si>
    <t>2021-02-10</t>
  </si>
  <si>
    <t>14.726873397827148</t>
  </si>
  <si>
    <t>14.764249801635742</t>
  </si>
  <si>
    <t>14.904999732971191</t>
  </si>
  <si>
    <t>14.341500282287598</t>
  </si>
  <si>
    <t>14.463250160217285</t>
  </si>
  <si>
    <t>485352000</t>
  </si>
  <si>
    <t>2021-02-11</t>
  </si>
  <si>
    <t>15.212141036987305</t>
  </si>
  <si>
    <t>15.250749588012695</t>
  </si>
  <si>
    <t>15.272250175476074</t>
  </si>
  <si>
    <t>14.925000190734863</t>
  </si>
  <si>
    <t>14.980250358581543</t>
  </si>
  <si>
    <t>450828000</t>
  </si>
  <si>
    <t>2021-02-12</t>
  </si>
  <si>
    <t>14.923375129699707</t>
  </si>
  <si>
    <t>14.961250305175781</t>
  </si>
  <si>
    <t>15.291250228881836</t>
  </si>
  <si>
    <t>14.774999618530273</t>
  </si>
  <si>
    <t>15.050000190734863</t>
  </si>
  <si>
    <t>374756000</t>
  </si>
  <si>
    <t>2021-02-16</t>
  </si>
  <si>
    <t>15.291440963745117</t>
  </si>
  <si>
    <t>15.330249786376953</t>
  </si>
  <si>
    <t>15.3725004196167</t>
  </si>
  <si>
    <t>14.949999809265137</t>
  </si>
  <si>
    <t>15.064249992370605</t>
  </si>
  <si>
    <t>321960000</t>
  </si>
  <si>
    <t>2021-02-17</t>
  </si>
  <si>
    <t>14.868265151977539</t>
  </si>
  <si>
    <t>14.906000137329102</t>
  </si>
  <si>
    <t>15.22350025177002</t>
  </si>
  <si>
    <t>14.779999732971191</t>
  </si>
  <si>
    <t>15.170999526977539</t>
  </si>
  <si>
    <t>274756000</t>
  </si>
  <si>
    <t>2021-02-18</t>
  </si>
  <si>
    <t>14.791460037231445</t>
  </si>
  <si>
    <t>14.829000473022461</t>
  </si>
  <si>
    <t>14.873250007629395</t>
  </si>
  <si>
    <t>14.574999809265137</t>
  </si>
  <si>
    <t>14.729000091552734</t>
  </si>
  <si>
    <t>233868000</t>
  </si>
  <si>
    <t>2021-02-19</t>
  </si>
  <si>
    <t>14.888713836669922</t>
  </si>
  <si>
    <t>14.92650032043457</t>
  </si>
  <si>
    <t>15.177000045776367</t>
  </si>
  <si>
    <t>14.846750259399414</t>
  </si>
  <si>
    <t>15.024499893188477</t>
  </si>
  <si>
    <t>271724000</t>
  </si>
  <si>
    <t>2021-02-22</t>
  </si>
  <si>
    <t>14.319406509399414</t>
  </si>
  <si>
    <t>14.35575008392334</t>
  </si>
  <si>
    <t>15.13325023651123</t>
  </si>
  <si>
    <t>14.324999809265137</t>
  </si>
  <si>
    <t>14.774749755859375</t>
  </si>
  <si>
    <t>325884000</t>
  </si>
  <si>
    <t>2021-02-23</t>
  </si>
  <si>
    <t>14.106199264526367</t>
  </si>
  <si>
    <t>14.238750457763672</t>
  </si>
  <si>
    <t>13.38949966430664</t>
  </si>
  <si>
    <t>14.075249671936035</t>
  </si>
  <si>
    <t>391780000</t>
  </si>
  <si>
    <t>2021-02-24</t>
  </si>
  <si>
    <t>14.462294578552246</t>
  </si>
  <si>
    <t>14.49899959564209</t>
  </si>
  <si>
    <t>14.506750106811523</t>
  </si>
  <si>
    <t>13.755999565124512</t>
  </si>
  <si>
    <t>14.122750282287598</t>
  </si>
  <si>
    <t>448320000</t>
  </si>
  <si>
    <t>2021-02-25</t>
  </si>
  <si>
    <t>13.273811340332031</t>
  </si>
  <si>
    <t>13.307499885559082</t>
  </si>
  <si>
    <t>14.374750137329102</t>
  </si>
  <si>
    <t>13.2162504196167</t>
  </si>
  <si>
    <t>14.045499801635742</t>
  </si>
  <si>
    <t>824436000</t>
  </si>
  <si>
    <t>2021-02-26</t>
  </si>
  <si>
    <t>13.679780960083008</t>
  </si>
  <si>
    <t>13.714500427246094</t>
  </si>
  <si>
    <t>13.854499816894531</t>
  </si>
  <si>
    <t>500932000</t>
  </si>
  <si>
    <t>2021-03-01</t>
  </si>
  <si>
    <t>13.806707382202148</t>
  </si>
  <si>
    <t>13.925000190734863</t>
  </si>
  <si>
    <t>13.553250312805176</t>
  </si>
  <si>
    <t>13.875</t>
  </si>
  <si>
    <t>353184000</t>
  </si>
  <si>
    <t>2021-03-02</t>
  </si>
  <si>
    <t>13.372309684753418</t>
  </si>
  <si>
    <t>13.40625</t>
  </si>
  <si>
    <t>13.920499801635742</t>
  </si>
  <si>
    <t>264116000</t>
  </si>
  <si>
    <t>2021-03-03</t>
  </si>
  <si>
    <t>12.772335052490234</t>
  </si>
  <si>
    <t>12.804750442504883</t>
  </si>
  <si>
    <t>13.451499938964844</t>
  </si>
  <si>
    <t>12.798749923706055</t>
  </si>
  <si>
    <t>13.426250457763672</t>
  </si>
  <si>
    <t>377592000</t>
  </si>
  <si>
    <t>2021-03-04</t>
  </si>
  <si>
    <t>12.338934898376465</t>
  </si>
  <si>
    <t>12.37024974822998</t>
  </si>
  <si>
    <t>12.975000381469727</t>
  </si>
  <si>
    <t>12.083749771118164</t>
  </si>
  <si>
    <t>12.800749778747559</t>
  </si>
  <si>
    <t>573344000</t>
  </si>
  <si>
    <t>2021-03-05</t>
  </si>
  <si>
    <t>12.429952621459961</t>
  </si>
  <si>
    <t>12.46150016784668</t>
  </si>
  <si>
    <t>11.67924976348877</t>
  </si>
  <si>
    <t>542840000</t>
  </si>
  <si>
    <t>2021-03-08</t>
  </si>
  <si>
    <t>11.563899993896484</t>
  </si>
  <si>
    <t>11.593250274658203</t>
  </si>
  <si>
    <t>12.4712495803833</t>
  </si>
  <si>
    <t>11.566499710083008</t>
  </si>
  <si>
    <t>543112000</t>
  </si>
  <si>
    <t>2021-03-09</t>
  </si>
  <si>
    <t>12.492864608764648</t>
  </si>
  <si>
    <t>12.52025032043457</t>
  </si>
  <si>
    <t>12.61674976348877</t>
  </si>
  <si>
    <t>12.059249877929688</t>
  </si>
  <si>
    <t>12.130249977111816</t>
  </si>
  <si>
    <t>521824000</t>
  </si>
  <si>
    <t>2021-03-10</t>
  </si>
  <si>
    <t>12.440979957580566</t>
  </si>
  <si>
    <t>12.468250274658203</t>
  </si>
  <si>
    <t>12.979999542236328</t>
  </si>
  <si>
    <t>12.457500457763672</t>
  </si>
  <si>
    <t>12.840499877929688</t>
  </si>
  <si>
    <t>384376000</t>
  </si>
  <si>
    <t>2021-03-11</t>
  </si>
  <si>
    <t>12.96507740020752</t>
  </si>
  <si>
    <t>12.993499755859375</t>
  </si>
  <si>
    <t>13.046250343322754</t>
  </si>
  <si>
    <t>12.73449993133545</t>
  </si>
  <si>
    <t>12.949999809265137</t>
  </si>
  <si>
    <t>299916000</t>
  </si>
  <si>
    <t>2021-03-12</t>
  </si>
  <si>
    <t>12.827880859375</t>
  </si>
  <si>
    <t>12.855999946594238</t>
  </si>
  <si>
    <t>12.888750076293945</t>
  </si>
  <si>
    <t>12.59000015258789</t>
  </si>
  <si>
    <t>12.648249626159668</t>
  </si>
  <si>
    <t>243964000</t>
  </si>
  <si>
    <t>2021-03-15</t>
  </si>
  <si>
    <t>13.162398338317871</t>
  </si>
  <si>
    <t>13.19124984741211</t>
  </si>
  <si>
    <t>13.20674991607666</t>
  </si>
  <si>
    <t>12.767250061035156</t>
  </si>
  <si>
    <t>12.864749908447266</t>
  </si>
  <si>
    <t>221988000</t>
  </si>
  <si>
    <t>2021-03-16</t>
  </si>
  <si>
    <t>13.26218032836914</t>
  </si>
  <si>
    <t>13.512499809265137</t>
  </si>
  <si>
    <t>13.11674976348877</t>
  </si>
  <si>
    <t>13.356499671936035</t>
  </si>
  <si>
    <t>272128000</t>
  </si>
  <si>
    <t>2021-03-17</t>
  </si>
  <si>
    <t>13.312067985534668</t>
  </si>
  <si>
    <t>13.45324993133545</t>
  </si>
  <si>
    <t>12.989500045776367</t>
  </si>
  <si>
    <t>13.039750099182129</t>
  </si>
  <si>
    <t>243864000</t>
  </si>
  <si>
    <t>2021-03-18</t>
  </si>
  <si>
    <t>12.694672584533691</t>
  </si>
  <si>
    <t>12.72249984741211</t>
  </si>
  <si>
    <t>13.184000015258789</t>
  </si>
  <si>
    <t>12.717000007629395</t>
  </si>
  <si>
    <t>293896000</t>
  </si>
  <si>
    <t>2021-03-19</t>
  </si>
  <si>
    <t>12.817652702331543</t>
  </si>
  <si>
    <t>12.845749855041504</t>
  </si>
  <si>
    <t>12.921500205993652</t>
  </si>
  <si>
    <t>12.612500190734863</t>
  </si>
  <si>
    <t>299208000</t>
  </si>
  <si>
    <t>2021-03-22</t>
  </si>
  <si>
    <t>13.157407760620117</t>
  </si>
  <si>
    <t>13.186249732971191</t>
  </si>
  <si>
    <t>13.394499778747559</t>
  </si>
  <si>
    <t>12.906749725341797</t>
  </si>
  <si>
    <t>12.912750244140625</t>
  </si>
  <si>
    <t>297804000</t>
  </si>
  <si>
    <t>2021-03-23</t>
  </si>
  <si>
    <t>13.042160034179688</t>
  </si>
  <si>
    <t>13.07075023651123</t>
  </si>
  <si>
    <t>13.344499588012695</t>
  </si>
  <si>
    <t>13.021249771118164</t>
  </si>
  <si>
    <t>13.254249572753906</t>
  </si>
  <si>
    <t>222048000</t>
  </si>
  <si>
    <t>2021-03-24</t>
  </si>
  <si>
    <t>12.615344047546387</t>
  </si>
  <si>
    <t>12.642999649047852</t>
  </si>
  <si>
    <t>13.159250259399414</t>
  </si>
  <si>
    <t>12.636750221252441</t>
  </si>
  <si>
    <t>13.151249885559082</t>
  </si>
  <si>
    <t>245840000</t>
  </si>
  <si>
    <t>2021-03-25</t>
  </si>
  <si>
    <t>12.507832527160645</t>
  </si>
  <si>
    <t>12.535249710083008</t>
  </si>
  <si>
    <t>12.714750289916992</t>
  </si>
  <si>
    <t>12.272000312805176</t>
  </si>
  <si>
    <t>12.499500274658203</t>
  </si>
  <si>
    <t>295144000</t>
  </si>
  <si>
    <t>2021-03-26</t>
  </si>
  <si>
    <t>12.811166763305664</t>
  </si>
  <si>
    <t>12.839249610900879</t>
  </si>
  <si>
    <t>12.856249809265137</t>
  </si>
  <si>
    <t>12.373499870300293</t>
  </si>
  <si>
    <t>12.554499626159668</t>
  </si>
  <si>
    <t>363968000</t>
  </si>
  <si>
    <t>2021-03-29</t>
  </si>
  <si>
    <t>12.919927597045898</t>
  </si>
  <si>
    <t>12.699999809265137</t>
  </si>
  <si>
    <t>12.820249557495117</t>
  </si>
  <si>
    <t>273520000</t>
  </si>
  <si>
    <t>2021-03-30</t>
  </si>
  <si>
    <t>12.843597412109375</t>
  </si>
  <si>
    <t>12.871749877929688</t>
  </si>
  <si>
    <t>12.975250244140625</t>
  </si>
  <si>
    <t>12.704999923706055</t>
  </si>
  <si>
    <t>12.842000007629395</t>
  </si>
  <si>
    <t>200204000</t>
  </si>
  <si>
    <t>2021-03-31</t>
  </si>
  <si>
    <t>13.31905460357666</t>
  </si>
  <si>
    <t>13.348250389099121</t>
  </si>
  <si>
    <t>13.470499992370605</t>
  </si>
  <si>
    <t>12.982500076293945</t>
  </si>
  <si>
    <t>314776000</t>
  </si>
  <si>
    <t>2021-04-01</t>
  </si>
  <si>
    <t>13.78154182434082</t>
  </si>
  <si>
    <t>13.811750411987305</t>
  </si>
  <si>
    <t>13.869999885559082</t>
  </si>
  <si>
    <t>13.511249542236328</t>
  </si>
  <si>
    <t>13.572250366210938</t>
  </si>
  <si>
    <t>308276000</t>
  </si>
  <si>
    <t>2021-04-05</t>
  </si>
  <si>
    <t>13.956905364990234</t>
  </si>
  <si>
    <t>13.987500190734863</t>
  </si>
  <si>
    <t>14.013999938964844</t>
  </si>
  <si>
    <t>13.732999801635742</t>
  </si>
  <si>
    <t>255672000</t>
  </si>
  <si>
    <t>2021-04-06</t>
  </si>
  <si>
    <t>13.83117961883545</t>
  </si>
  <si>
    <t>13.861499786376953</t>
  </si>
  <si>
    <t>14.05424976348877</t>
  </si>
  <si>
    <t>13.773500442504883</t>
  </si>
  <si>
    <t>191744000</t>
  </si>
  <si>
    <t>2021-04-07</t>
  </si>
  <si>
    <t>14.112563133239746</t>
  </si>
  <si>
    <t>14.143500328063965</t>
  </si>
  <si>
    <t>14.243499755859375</t>
  </si>
  <si>
    <t>13.71150016784668</t>
  </si>
  <si>
    <t>13.880749702453613</t>
  </si>
  <si>
    <t>251284000</t>
  </si>
  <si>
    <t>2021-04-08</t>
  </si>
  <si>
    <t>14.285687446594238</t>
  </si>
  <si>
    <t>14.317000389099121</t>
  </si>
  <si>
    <t>14.471500396728516</t>
  </si>
  <si>
    <t>14.24899959564209</t>
  </si>
  <si>
    <t>14.252750396728516</t>
  </si>
  <si>
    <t>244416000</t>
  </si>
  <si>
    <t>2021-04-09</t>
  </si>
  <si>
    <t>14.36850357055664</t>
  </si>
  <si>
    <t>14.399999618530273</t>
  </si>
  <si>
    <t>14.407999992370605</t>
  </si>
  <si>
    <t>14.175000190734863</t>
  </si>
  <si>
    <t>14.21399974822998</t>
  </si>
  <si>
    <t>195172000</t>
  </si>
  <si>
    <t>2021-04-12</t>
  </si>
  <si>
    <t>15.17573356628418</t>
  </si>
  <si>
    <t>15.208999633789062</t>
  </si>
  <si>
    <t>15.352499961853027</t>
  </si>
  <si>
    <t>14.139249801635742</t>
  </si>
  <si>
    <t>14.289750099182129</t>
  </si>
  <si>
    <t>869324000</t>
  </si>
  <si>
    <t>2021-04-13</t>
  </si>
  <si>
    <t>15.645206451416016</t>
  </si>
  <si>
    <t>15.679499626159668</t>
  </si>
  <si>
    <t>15.699999809265137</t>
  </si>
  <si>
    <t>15.125749588012695</t>
  </si>
  <si>
    <t>15.231499671936035</t>
  </si>
  <si>
    <t>676212000</t>
  </si>
  <si>
    <t>2021-04-14</t>
  </si>
  <si>
    <t>15.243586540222168</t>
  </si>
  <si>
    <t>15.277000427246094</t>
  </si>
  <si>
    <t>15.720499992370605</t>
  </si>
  <si>
    <t>15.227499961853027</t>
  </si>
  <si>
    <t>15.625</t>
  </si>
  <si>
    <t>385500000</t>
  </si>
  <si>
    <t>2021-04-15</t>
  </si>
  <si>
    <t>16.101951599121094</t>
  </si>
  <si>
    <t>16.137250900268555</t>
  </si>
  <si>
    <t>16.214250564575195</t>
  </si>
  <si>
    <t>15.631500244140625</t>
  </si>
  <si>
    <t>15.662500381469727</t>
  </si>
  <si>
    <t>598480000</t>
  </si>
  <si>
    <t>2021-04-16</t>
  </si>
  <si>
    <t>15.877695083618164</t>
  </si>
  <si>
    <t>15.912500381469727</t>
  </si>
  <si>
    <t>16.16575050354004</t>
  </si>
  <si>
    <t>15.865249633789062</t>
  </si>
  <si>
    <t>16.05299949645996</t>
  </si>
  <si>
    <t>335208000</t>
  </si>
  <si>
    <t>2021-04-19</t>
  </si>
  <si>
    <t>15.32814884185791</t>
  </si>
  <si>
    <t>15.361749649047852</t>
  </si>
  <si>
    <t>15.807499885559082</t>
  </si>
  <si>
    <t>15.232999801635742</t>
  </si>
  <si>
    <t>15.536499977111816</t>
  </si>
  <si>
    <t>404420000</t>
  </si>
  <si>
    <t>2021-04-20</t>
  </si>
  <si>
    <t>15.138068199157715</t>
  </si>
  <si>
    <t>15.171250343322754</t>
  </si>
  <si>
    <t>15.496999740600586</t>
  </si>
  <si>
    <t>14.963000297546387</t>
  </si>
  <si>
    <t>15.323249816894531</t>
  </si>
  <si>
    <t>334132000</t>
  </si>
  <si>
    <t>2021-04-21</t>
  </si>
  <si>
    <t>15.32690143585205</t>
  </si>
  <si>
    <t>15.36050033569336</t>
  </si>
  <si>
    <t>15.362500190734863</t>
  </si>
  <si>
    <t>15.102250099182129</t>
  </si>
  <si>
    <t>15.118749618530273</t>
  </si>
  <si>
    <t>216776000</t>
  </si>
  <si>
    <t>2021-04-22</t>
  </si>
  <si>
    <t>14.817770957946777</t>
  </si>
  <si>
    <t>14.850250244140625</t>
  </si>
  <si>
    <t>15.43850040435791</t>
  </si>
  <si>
    <t>14.783499717712402</t>
  </si>
  <si>
    <t>15.375</t>
  </si>
  <si>
    <t>277788000</t>
  </si>
  <si>
    <t>2021-04-23</t>
  </si>
  <si>
    <t>15.231861114501953</t>
  </si>
  <si>
    <t>15.265250205993652</t>
  </si>
  <si>
    <t>15.335000038146973</t>
  </si>
  <si>
    <t>14.900250434875488</t>
  </si>
  <si>
    <t>14.934249877929688</t>
  </si>
  <si>
    <t>227500000</t>
  </si>
  <si>
    <t>2021-04-26</t>
  </si>
  <si>
    <t>15.444146156311035</t>
  </si>
  <si>
    <t>15.477999687194824</t>
  </si>
  <si>
    <t>15.479000091552734</t>
  </si>
  <si>
    <t>15.125</t>
  </si>
  <si>
    <t>15.1850004196167</t>
  </si>
  <si>
    <t>197796000</t>
  </si>
  <si>
    <t>2021-04-27</t>
  </si>
  <si>
    <t>15.348105430603027</t>
  </si>
  <si>
    <t>15.381750106811523</t>
  </si>
  <si>
    <t>15.670499801635742</t>
  </si>
  <si>
    <t>15.354499816894531</t>
  </si>
  <si>
    <t>15.578499794006348</t>
  </si>
  <si>
    <t>164572000</t>
  </si>
  <si>
    <t>2021-04-28</t>
  </si>
  <si>
    <t>15.243335723876953</t>
  </si>
  <si>
    <t>15.276749610900879</t>
  </si>
  <si>
    <t>15.53225040435791</t>
  </si>
  <si>
    <t>15.215499877929688</t>
  </si>
  <si>
    <t>15.364500045776367</t>
  </si>
  <si>
    <t>209416000</t>
  </si>
  <si>
    <t>2021-04-29</t>
  </si>
  <si>
    <t>15.291229248046875</t>
  </si>
  <si>
    <t>15.324749946594238</t>
  </si>
  <si>
    <t>15.43649959564209</t>
  </si>
  <si>
    <t>15.071499824523926</t>
  </si>
  <si>
    <t>15.399999618530273</t>
  </si>
  <si>
    <t>173196000</t>
  </si>
  <si>
    <t>2021-04-30</t>
  </si>
  <si>
    <t>14.976669311523438</t>
  </si>
  <si>
    <t>15.009499549865723</t>
  </si>
  <si>
    <t>15.364999771118164</t>
  </si>
  <si>
    <t>14.996999740600586</t>
  </si>
  <si>
    <t>15.174500465393066</t>
  </si>
  <si>
    <t>201912000</t>
  </si>
  <si>
    <t>2021-05-03</t>
  </si>
  <si>
    <t>14.80429744720459</t>
  </si>
  <si>
    <t>14.836750030517578</t>
  </si>
  <si>
    <t>15.246749877929688</t>
  </si>
  <si>
    <t>14.787500381469727</t>
  </si>
  <si>
    <t>203912000</t>
  </si>
  <si>
    <t>2021-05-04</t>
  </si>
  <si>
    <t>14.319859504699707</t>
  </si>
  <si>
    <t>14.351249694824219</t>
  </si>
  <si>
    <t>14.637499809265137</t>
  </si>
  <si>
    <t>14.010250091552734</t>
  </si>
  <si>
    <t>14.637249946594238</t>
  </si>
  <si>
    <t>405324000</t>
  </si>
  <si>
    <t>2021-05-05</t>
  </si>
  <si>
    <t>14.426875114440918</t>
  </si>
  <si>
    <t>14.458499908447266</t>
  </si>
  <si>
    <t>14.81350040435791</t>
  </si>
  <si>
    <t>14.387499809265137</t>
  </si>
  <si>
    <t>14.708999633789062</t>
  </si>
  <si>
    <t>292024000</t>
  </si>
  <si>
    <t>2021-05-06</t>
  </si>
  <si>
    <t>14.491232872009277</t>
  </si>
  <si>
    <t>14.52299976348877</t>
  </si>
  <si>
    <t>14.571249961853027</t>
  </si>
  <si>
    <t>14.218000411987305</t>
  </si>
  <si>
    <t>14.49524974822998</t>
  </si>
  <si>
    <t>193380000</t>
  </si>
  <si>
    <t>2021-05-07</t>
  </si>
  <si>
    <t>14.779850959777832</t>
  </si>
  <si>
    <t>14.812250137329102</t>
  </si>
  <si>
    <t>14.970749855041504</t>
  </si>
  <si>
    <t>14.67175006866455</t>
  </si>
  <si>
    <t>14.808250427246094</t>
  </si>
  <si>
    <t>229328000</t>
  </si>
  <si>
    <t>2021-05-10</t>
  </si>
  <si>
    <t>14.234545707702637</t>
  </si>
  <si>
    <t>14.26574993133545</t>
  </si>
  <si>
    <t>14.805999755859375</t>
  </si>
  <si>
    <t>14.25</t>
  </si>
  <si>
    <t>14.787249565124512</t>
  </si>
  <si>
    <t>268904000</t>
  </si>
  <si>
    <t>2021-05-11</t>
  </si>
  <si>
    <t>14.274958610534668</t>
  </si>
  <si>
    <t>14.306249618530273</t>
  </si>
  <si>
    <t>14.35474967956543</t>
  </si>
  <si>
    <t>13.75</t>
  </si>
  <si>
    <t>13.824999809265137</t>
  </si>
  <si>
    <t>285584000</t>
  </si>
  <si>
    <t>2021-05-12</t>
  </si>
  <si>
    <t>13.728404998779297</t>
  </si>
  <si>
    <t>13.758500099182129</t>
  </si>
  <si>
    <t>14.260250091552734</t>
  </si>
  <si>
    <t>13.709250450134277</t>
  </si>
  <si>
    <t>14.009499549865723</t>
  </si>
  <si>
    <t>303408000</t>
  </si>
  <si>
    <t>2021-05-13</t>
  </si>
  <si>
    <t>13.635358810424805</t>
  </si>
  <si>
    <t>13.665249824523926</t>
  </si>
  <si>
    <t>14.080750465393066</t>
  </si>
  <si>
    <t>13.458999633789062</t>
  </si>
  <si>
    <t>14.0337495803833</t>
  </si>
  <si>
    <t>285404000</t>
  </si>
  <si>
    <t>2021-05-14</t>
  </si>
  <si>
    <t>14.211847305297852</t>
  </si>
  <si>
    <t>14.243000030517578</t>
  </si>
  <si>
    <t>14.32800006866455</t>
  </si>
  <si>
    <t>13.748499870300293</t>
  </si>
  <si>
    <t>13.890000343322754</t>
  </si>
  <si>
    <t>258616000</t>
  </si>
  <si>
    <t>2021-05-17</t>
  </si>
  <si>
    <t>14.134514808654785</t>
  </si>
  <si>
    <t>14.165499687194824</t>
  </si>
  <si>
    <t>14.169249534606934</t>
  </si>
  <si>
    <t>13.853500366210938</t>
  </si>
  <si>
    <t>14.156999588012695</t>
  </si>
  <si>
    <t>216980000</t>
  </si>
  <si>
    <t>2021-05-18</t>
  </si>
  <si>
    <t>13.985092163085938</t>
  </si>
  <si>
    <t>14.01574993133545</t>
  </si>
  <si>
    <t>14.404250144958496</t>
  </si>
  <si>
    <t>14.003999710083008</t>
  </si>
  <si>
    <t>14.267000198364258</t>
  </si>
  <si>
    <t>186256000</t>
  </si>
  <si>
    <t>2021-05-19</t>
  </si>
  <si>
    <t>14.034984588623047</t>
  </si>
  <si>
    <t>14.065750122070312</t>
  </si>
  <si>
    <t>14.079500198364258</t>
  </si>
  <si>
    <t>13.54325008392334</t>
  </si>
  <si>
    <t>13.566499710083008</t>
  </si>
  <si>
    <t>344000000</t>
  </si>
  <si>
    <t>2021-05-20</t>
  </si>
  <si>
    <t>14.58053970336914</t>
  </si>
  <si>
    <t>14.612500190734863</t>
  </si>
  <si>
    <t>14.68375015258789</t>
  </si>
  <si>
    <t>14.270500183105469</t>
  </si>
  <si>
    <t>14.302499771118164</t>
  </si>
  <si>
    <t>321592000</t>
  </si>
  <si>
    <t>2021-05-21</t>
  </si>
  <si>
    <t>14.95896053314209</t>
  </si>
  <si>
    <t>14.99174976348877</t>
  </si>
  <si>
    <t>15.222000122070312</t>
  </si>
  <si>
    <t>14.869500160217285</t>
  </si>
  <si>
    <t>15.163749694824219</t>
  </si>
  <si>
    <t>672992000</t>
  </si>
  <si>
    <t>2021-05-24</t>
  </si>
  <si>
    <t>15.577853202819824</t>
  </si>
  <si>
    <t>15.612000465393066</t>
  </si>
  <si>
    <t>15.744999885559082</t>
  </si>
  <si>
    <t>15.175999641418457</t>
  </si>
  <si>
    <t>15.212499618530273</t>
  </si>
  <si>
    <t>554816000</t>
  </si>
  <si>
    <t>2021-05-25</t>
  </si>
  <si>
    <t>15.61352252960205</t>
  </si>
  <si>
    <t>15.647749900817871</t>
  </si>
  <si>
    <t>15.818499565124512</t>
  </si>
  <si>
    <t>15.482500076293945</t>
  </si>
  <si>
    <t>15.765999794006348</t>
  </si>
  <si>
    <t>435408000</t>
  </si>
  <si>
    <t>2021-05-26</t>
  </si>
  <si>
    <t>15.665661811828613</t>
  </si>
  <si>
    <t>15.793749809265137</t>
  </si>
  <si>
    <t>15.586250305175781</t>
  </si>
  <si>
    <t>15.73425006866455</t>
  </si>
  <si>
    <t>370440000</t>
  </si>
  <si>
    <t>2021-05-27</t>
  </si>
  <si>
    <t>15.454124450683594</t>
  </si>
  <si>
    <t>15.48799991607666</t>
  </si>
  <si>
    <t>15.75</t>
  </si>
  <si>
    <t>15.460000038146973</t>
  </si>
  <si>
    <t>15.699749946594238</t>
  </si>
  <si>
    <t>581476000</t>
  </si>
  <si>
    <t>2021-05-28</t>
  </si>
  <si>
    <t>16.208967208862305</t>
  </si>
  <si>
    <t>16.24449920654297</t>
  </si>
  <si>
    <t>16.27750015258789</t>
  </si>
  <si>
    <t>15.50100040435791</t>
  </si>
  <si>
    <t>644536000</t>
  </si>
  <si>
    <t>2021-06-01</t>
  </si>
  <si>
    <t>16.228923797607422</t>
  </si>
  <si>
    <t>16.26449966430664</t>
  </si>
  <si>
    <t>16.38825035095215</t>
  </si>
  <si>
    <t>15.903249740600586</t>
  </si>
  <si>
    <t>16.270000457763672</t>
  </si>
  <si>
    <t>472804000</t>
  </si>
  <si>
    <t>2021-06-02</t>
  </si>
  <si>
    <t>16.741548538208008</t>
  </si>
  <si>
    <t>16.778249740600586</t>
  </si>
  <si>
    <t>16.918750762939453</t>
  </si>
  <si>
    <t>16.23550033569336</t>
  </si>
  <si>
    <t>16.25225067138672</t>
  </si>
  <si>
    <t>594168000</t>
  </si>
  <si>
    <t>2021-06-03</t>
  </si>
  <si>
    <t>16.93263053894043</t>
  </si>
  <si>
    <t>16.969749450683594</t>
  </si>
  <si>
    <t>17.259000778198242</t>
  </si>
  <si>
    <t>16.58300018310547</t>
  </si>
  <si>
    <t>16.70075035095215</t>
  </si>
  <si>
    <t>580008000</t>
  </si>
  <si>
    <t>2021-06-04</t>
  </si>
  <si>
    <t>17.5398006439209</t>
  </si>
  <si>
    <t>17.578250885009766</t>
  </si>
  <si>
    <t>17.660999298095703</t>
  </si>
  <si>
    <t>17.095500946044922</t>
  </si>
  <si>
    <t>17.112499237060547</t>
  </si>
  <si>
    <t>617120000</t>
  </si>
  <si>
    <t>2021-06-07</t>
  </si>
  <si>
    <t>17.580461502075195</t>
  </si>
  <si>
    <t>17.618999481201172</t>
  </si>
  <si>
    <t>17.8125</t>
  </si>
  <si>
    <t>17.192750930786133</t>
  </si>
  <si>
    <t>17.571250915527344</t>
  </si>
  <si>
    <t>575756000</t>
  </si>
  <si>
    <t>2021-06-08</t>
  </si>
  <si>
    <t>17.418819427490234</t>
  </si>
  <si>
    <t>17.457000732421875</t>
  </si>
  <si>
    <t>17.62150001525879</t>
  </si>
  <si>
    <t>17.250999450683594</t>
  </si>
  <si>
    <t>17.527250289916992</t>
  </si>
  <si>
    <t>323848000</t>
  </si>
  <si>
    <t>2021-06-09</t>
  </si>
  <si>
    <t>17.324254989624023</t>
  </si>
  <si>
    <t>17.35824966430664</t>
  </si>
  <si>
    <t>17.575000762939453</t>
  </si>
  <si>
    <t>17.25575065612793</t>
  </si>
  <si>
    <t>17.515750885009766</t>
  </si>
  <si>
    <t>381656000</t>
  </si>
  <si>
    <t>2021-06-10</t>
  </si>
  <si>
    <t>17.390869140625</t>
  </si>
  <si>
    <t>17.424999237060547</t>
  </si>
  <si>
    <t>17.492000579833984</t>
  </si>
  <si>
    <t>17.176000595092773</t>
  </si>
  <si>
    <t>17.350000381469727</t>
  </si>
  <si>
    <t>287772000</t>
  </si>
  <si>
    <t>2021-06-11</t>
  </si>
  <si>
    <t>17.79034423828125</t>
  </si>
  <si>
    <t>17.82525062561035</t>
  </si>
  <si>
    <t>17.939250946044922</t>
  </si>
  <si>
    <t>17.443750381469727</t>
  </si>
  <si>
    <t>17.47949981689453</t>
  </si>
  <si>
    <t>416308000</t>
  </si>
  <si>
    <t>2021-06-14</t>
  </si>
  <si>
    <t>17.983455657958984</t>
  </si>
  <si>
    <t>18.018749237060547</t>
  </si>
  <si>
    <t>18.039499282836914</t>
  </si>
  <si>
    <t>17.662750244140625</t>
  </si>
  <si>
    <t>17.9060001373291</t>
  </si>
  <si>
    <t>321376000</t>
  </si>
  <si>
    <t>2021-06-15</t>
  </si>
  <si>
    <t>17.753658294677734</t>
  </si>
  <si>
    <t>17.78849983215332</t>
  </si>
  <si>
    <t>18.016250610351562</t>
  </si>
  <si>
    <t>17.72800064086914</t>
  </si>
  <si>
    <t>17.915000915527344</t>
  </si>
  <si>
    <t>243032000</t>
  </si>
  <si>
    <t>2021-06-16</t>
  </si>
  <si>
    <t>17.77536392211914</t>
  </si>
  <si>
    <t>17.81024932861328</t>
  </si>
  <si>
    <t>17.954750061035156</t>
  </si>
  <si>
    <t>17.58449935913086</t>
  </si>
  <si>
    <t>17.79075050354004</t>
  </si>
  <si>
    <t>307124000</t>
  </si>
  <si>
    <t>2021-06-17</t>
  </si>
  <si>
    <t>18.620712280273438</t>
  </si>
  <si>
    <t>18.657249450683594</t>
  </si>
  <si>
    <t>18.834999084472656</t>
  </si>
  <si>
    <t>17.756250381469727</t>
  </si>
  <si>
    <t>17.774499893188477</t>
  </si>
  <si>
    <t>809656000</t>
  </si>
  <si>
    <t>2021-06-18</t>
  </si>
  <si>
    <t>18.602249145507812</t>
  </si>
  <si>
    <t>18.638750076293945</t>
  </si>
  <si>
    <t>19.375</t>
  </si>
  <si>
    <t>18.583999633789062</t>
  </si>
  <si>
    <t>18.784000396728516</t>
  </si>
  <si>
    <t>968856000</t>
  </si>
  <si>
    <t>2021-06-21</t>
  </si>
  <si>
    <t>18.391157150268555</t>
  </si>
  <si>
    <t>18.427249908447266</t>
  </si>
  <si>
    <t>18.536500930786133</t>
  </si>
  <si>
    <t>17.822750091552734</t>
  </si>
  <si>
    <t>18.43524932861328</t>
  </si>
  <si>
    <t>672384000</t>
  </si>
  <si>
    <t>2021-06-22</t>
  </si>
  <si>
    <t>18.849760055541992</t>
  </si>
  <si>
    <t>18.886749267578125</t>
  </si>
  <si>
    <t>18.9637508392334</t>
  </si>
  <si>
    <t>18.38599967956543</t>
  </si>
  <si>
    <t>18.471500396728516</t>
  </si>
  <si>
    <t>580144000</t>
  </si>
  <si>
    <t>2021-06-23</t>
  </si>
  <si>
    <t>19.019926071166992</t>
  </si>
  <si>
    <t>19.057249069213867</t>
  </si>
  <si>
    <t>19.15275001525879</t>
  </si>
  <si>
    <t>18.90774917602539</t>
  </si>
  <si>
    <t>19.007749557495117</t>
  </si>
  <si>
    <t>332356000</t>
  </si>
  <si>
    <t>2021-06-24</t>
  </si>
  <si>
    <t>19.16788101196289</t>
  </si>
  <si>
    <t>19.20549964904785</t>
  </si>
  <si>
    <t>19.420000076293945</t>
  </si>
  <si>
    <t>19.08824920654297</t>
  </si>
  <si>
    <t>19.227750778198242</t>
  </si>
  <si>
    <t>320924000</t>
  </si>
  <si>
    <t>2021-06-25</t>
  </si>
  <si>
    <t>18.99372673034668</t>
  </si>
  <si>
    <t>19.0310001373291</t>
  </si>
  <si>
    <t>19.345500946044922</t>
  </si>
  <si>
    <t>18.894500732421875</t>
  </si>
  <si>
    <t>19.280500411987305</t>
  </si>
  <si>
    <t>278364000</t>
  </si>
  <si>
    <t>2021-06-28</t>
  </si>
  <si>
    <t>19.945859909057617</t>
  </si>
  <si>
    <t>19.985000610351562</t>
  </si>
  <si>
    <t>20.078750610351562</t>
  </si>
  <si>
    <t>19.319000244140625</t>
  </si>
  <si>
    <t>19.361249923706055</t>
  </si>
  <si>
    <t>495436000</t>
  </si>
  <si>
    <t>2021-06-29</t>
  </si>
  <si>
    <t>19.987525939941406</t>
  </si>
  <si>
    <t>20.026750564575195</t>
  </si>
  <si>
    <t>20.0987491607666</t>
  </si>
  <si>
    <t>19.656999588012695</t>
  </si>
  <si>
    <t>19.88249969482422</t>
  </si>
  <si>
    <t>367632000</t>
  </si>
  <si>
    <t>2021-06-30</t>
  </si>
  <si>
    <t>19.96332359313965</t>
  </si>
  <si>
    <t>20.002500534057617</t>
  </si>
  <si>
    <t>20.162500381469727</t>
  </si>
  <si>
    <t>19.863750457763672</t>
  </si>
  <si>
    <t>19.999250411987305</t>
  </si>
  <si>
    <t>326568000</t>
  </si>
  <si>
    <t>2021-07-01</t>
  </si>
  <si>
    <t>20.17241668701172</t>
  </si>
  <si>
    <t>20.211999893188477</t>
  </si>
  <si>
    <t>20.45599937438965</t>
  </si>
  <si>
    <t>20.018999099731445</t>
  </si>
  <si>
    <t>20.125</t>
  </si>
  <si>
    <t>480136000</t>
  </si>
  <si>
    <t>2021-07-02</t>
  </si>
  <si>
    <t>20.446874618530273</t>
  </si>
  <si>
    <t>20.48699951171875</t>
  </si>
  <si>
    <t>20.505250930786133</t>
  </si>
  <si>
    <t>20.287750244140625</t>
  </si>
  <si>
    <t>20.440250396728516</t>
  </si>
  <si>
    <t>342764000</t>
  </si>
  <si>
    <t>2021-07-06</t>
  </si>
  <si>
    <t>20.657958984375</t>
  </si>
  <si>
    <t>20.69849967956543</t>
  </si>
  <si>
    <t>20.841999053955078</t>
  </si>
  <si>
    <t>20.350250244140625</t>
  </si>
  <si>
    <t>20.737499237060547</t>
  </si>
  <si>
    <t>446708000</t>
  </si>
  <si>
    <t>2021-07-07</t>
  </si>
  <si>
    <t>20.331850051879883</t>
  </si>
  <si>
    <t>20.371749877929688</t>
  </si>
  <si>
    <t>20.875</t>
  </si>
  <si>
    <t>20.332000732421875</t>
  </si>
  <si>
    <t>20.853500366210938</t>
  </si>
  <si>
    <t>418428000</t>
  </si>
  <si>
    <t>2021-07-08</t>
  </si>
  <si>
    <t>19.86376953125</t>
  </si>
  <si>
    <t>19.90275001525879</t>
  </si>
  <si>
    <t>20.132999420166016</t>
  </si>
  <si>
    <t>19.70075035095215</t>
  </si>
  <si>
    <t>19.85650062561035</t>
  </si>
  <si>
    <t>503300000</t>
  </si>
  <si>
    <t>2021-07-09</t>
  </si>
  <si>
    <t>20.01097869873047</t>
  </si>
  <si>
    <t>20.050249099731445</t>
  </si>
  <si>
    <t>20.080249786376953</t>
  </si>
  <si>
    <t>19.754249572753906</t>
  </si>
  <si>
    <t>19.962499618530273</t>
  </si>
  <si>
    <t>296624000</t>
  </si>
  <si>
    <t>2021-07-12</t>
  </si>
  <si>
    <t>20.472326278686523</t>
  </si>
  <si>
    <t>20.512500762939453</t>
  </si>
  <si>
    <t>20.53274917602539</t>
  </si>
  <si>
    <t>20.1877498626709</t>
  </si>
  <si>
    <t>20.239999771118164</t>
  </si>
  <si>
    <t>321984000</t>
  </si>
  <si>
    <t>2021-07-13</t>
  </si>
  <si>
    <t>20.21034049987793</t>
  </si>
  <si>
    <t>20.25</t>
  </si>
  <si>
    <t>20.46125030517578</t>
  </si>
  <si>
    <t>20.11400032043457</t>
  </si>
  <si>
    <t>20.40049934387207</t>
  </si>
  <si>
    <t>290708000</t>
  </si>
  <si>
    <t>2021-07-14</t>
  </si>
  <si>
    <t>19.80263900756836</t>
  </si>
  <si>
    <t>19.84149932861328</t>
  </si>
  <si>
    <t>20.417749404907227</t>
  </si>
  <si>
    <t>19.752750396728516</t>
  </si>
  <si>
    <t>20.357749938964844</t>
  </si>
  <si>
    <t>380100000</t>
  </si>
  <si>
    <t>2021-07-15</t>
  </si>
  <si>
    <t>18.929101943969727</t>
  </si>
  <si>
    <t>18.966249465942383</t>
  </si>
  <si>
    <t>19.847000122070312</t>
  </si>
  <si>
    <t>18.85849952697754</t>
  </si>
  <si>
    <t>19.811750411987305</t>
  </si>
  <si>
    <t>550564000</t>
  </si>
  <si>
    <t>2021-07-16</t>
  </si>
  <si>
    <t>18.125431060791016</t>
  </si>
  <si>
    <t>18.160999298095703</t>
  </si>
  <si>
    <t>19.156999588012695</t>
  </si>
  <si>
    <t>18.072999954223633</t>
  </si>
  <si>
    <t>19.030500411987305</t>
  </si>
  <si>
    <t>688224000</t>
  </si>
  <si>
    <t>2021-07-19</t>
  </si>
  <si>
    <t>18.742969512939453</t>
  </si>
  <si>
    <t>18.77975082397461</t>
  </si>
  <si>
    <t>19.04199981689453</t>
  </si>
  <si>
    <t>17.86549949645996</t>
  </si>
  <si>
    <t>17.915250778198242</t>
  </si>
  <si>
    <t>749060000</t>
  </si>
  <si>
    <t>2021-07-20</t>
  </si>
  <si>
    <t>18.57554817199707</t>
  </si>
  <si>
    <t>18.61199951171875</t>
  </si>
  <si>
    <t>18.83799934387207</t>
  </si>
  <si>
    <t>18.163999557495117</t>
  </si>
  <si>
    <t>18.729999542236328</t>
  </si>
  <si>
    <t>434687000</t>
  </si>
  <si>
    <t>2021-07-21</t>
  </si>
  <si>
    <t>19.371978759765625</t>
  </si>
  <si>
    <t>19.40999984741211</t>
  </si>
  <si>
    <t>19.527000427246094</t>
  </si>
  <si>
    <t>18.742000579833984</t>
  </si>
  <si>
    <t>18.881999969482422</t>
  </si>
  <si>
    <t>371017000</t>
  </si>
  <si>
    <t>2021-07-22</t>
  </si>
  <si>
    <t>19.55562400817871</t>
  </si>
  <si>
    <t>19.5939998626709</t>
  </si>
  <si>
    <t>19.886999130249023</t>
  </si>
  <si>
    <t>19.275999069213867</t>
  </si>
  <si>
    <t>19.642000198364258</t>
  </si>
  <si>
    <t>323826000</t>
  </si>
  <si>
    <t>2021-07-23</t>
  </si>
  <si>
    <t>19.519697189331055</t>
  </si>
  <si>
    <t>19.558000564575195</t>
  </si>
  <si>
    <t>19.700000762939453</t>
  </si>
  <si>
    <t>19.25</t>
  </si>
  <si>
    <t>19.6560001373291</t>
  </si>
  <si>
    <t>195672000</t>
  </si>
  <si>
    <t>2021-07-26</t>
  </si>
  <si>
    <t>19.256208419799805</t>
  </si>
  <si>
    <t>19.29400062561035</t>
  </si>
  <si>
    <t>19.441999435424805</t>
  </si>
  <si>
    <t>18.913999557495117</t>
  </si>
  <si>
    <t>19.31100082397461</t>
  </si>
  <si>
    <t>203943000</t>
  </si>
  <si>
    <t>2021-07-27</t>
  </si>
  <si>
    <t>19.170379638671875</t>
  </si>
  <si>
    <t>19.20800018310547</t>
  </si>
  <si>
    <t>19.621999740600586</t>
  </si>
  <si>
    <t>18.740999221801758</t>
  </si>
  <si>
    <t>19.264999389648438</t>
  </si>
  <si>
    <t>248863000</t>
  </si>
  <si>
    <t>2021-07-28</t>
  </si>
  <si>
    <t>19.464801788330078</t>
  </si>
  <si>
    <t>19.503000259399414</t>
  </si>
  <si>
    <t>19.645999908447266</t>
  </si>
  <si>
    <t>18.9950008392334</t>
  </si>
  <si>
    <t>202191000</t>
  </si>
  <si>
    <t>2021-07-29</t>
  </si>
  <si>
    <t>19.623491287231445</t>
  </si>
  <si>
    <t>19.66200065612793</t>
  </si>
  <si>
    <t>19.85300064086914</t>
  </si>
  <si>
    <t>19.327999114990234</t>
  </si>
  <si>
    <t>19.518999099731445</t>
  </si>
  <si>
    <t>190781000</t>
  </si>
  <si>
    <t>2021-07-30</t>
  </si>
  <si>
    <t>19.460811614990234</t>
  </si>
  <si>
    <t>19.499000549316406</t>
  </si>
  <si>
    <t>19.6299991607666</t>
  </si>
  <si>
    <t>19.26300048828125</t>
  </si>
  <si>
    <t>19.417999267578125</t>
  </si>
  <si>
    <t>183497000</t>
  </si>
  <si>
    <t>2021-08-02</t>
  </si>
  <si>
    <t>19.71132469177246</t>
  </si>
  <si>
    <t>19.75</t>
  </si>
  <si>
    <t>19.961000442504883</t>
  </si>
  <si>
    <t>19.361000061035156</t>
  </si>
  <si>
    <t>217444000</t>
  </si>
  <si>
    <t>2021-08-03</t>
  </si>
  <si>
    <t>19.77619171142578</t>
  </si>
  <si>
    <t>19.815000534057617</t>
  </si>
  <si>
    <t>20.222000122070312</t>
  </si>
  <si>
    <t>19.219999313354492</t>
  </si>
  <si>
    <t>19.739999771118164</t>
  </si>
  <si>
    <t>301811000</t>
  </si>
  <si>
    <t>2021-08-04</t>
  </si>
  <si>
    <t>20.234291076660156</t>
  </si>
  <si>
    <t>20.27400016784668</t>
  </si>
  <si>
    <t>20.31800079345703</t>
  </si>
  <si>
    <t>19.827999114990234</t>
  </si>
  <si>
    <t>19.989999771118164</t>
  </si>
  <si>
    <t>231309000</t>
  </si>
  <si>
    <t>2021-08-05</t>
  </si>
  <si>
    <t>20.59658432006836</t>
  </si>
  <si>
    <t>20.636999130249023</t>
  </si>
  <si>
    <t>20.732999801635742</t>
  </si>
  <si>
    <t>20.341999053955078</t>
  </si>
  <si>
    <t>20.5</t>
  </si>
  <si>
    <t>211435000</t>
  </si>
  <si>
    <t>2021-08-06</t>
  </si>
  <si>
    <t>20.32611083984375</t>
  </si>
  <si>
    <t>20.365999221801758</t>
  </si>
  <si>
    <t>20.56999969482422</t>
  </si>
  <si>
    <t>20.209999084472656</t>
  </si>
  <si>
    <t>20.52400016784668</t>
  </si>
  <si>
    <t>178497000</t>
  </si>
  <si>
    <t>2021-08-09</t>
  </si>
  <si>
    <t>20.2552490234375</t>
  </si>
  <si>
    <t>20.295000076293945</t>
  </si>
  <si>
    <t>20.507999420166016</t>
  </si>
  <si>
    <t>20.14299964904785</t>
  </si>
  <si>
    <t>20.445999145507812</t>
  </si>
  <si>
    <t>146443000</t>
  </si>
  <si>
    <t>2021-08-10</t>
  </si>
  <si>
    <t>19.896957397460938</t>
  </si>
  <si>
    <t>19.93600082397461</t>
  </si>
  <si>
    <t>20.43000030517578</t>
  </si>
  <si>
    <t>19.834999084472656</t>
  </si>
  <si>
    <t>20.32200050354004</t>
  </si>
  <si>
    <t>179238000</t>
  </si>
  <si>
    <t>2021-08-11</t>
  </si>
  <si>
    <t>19.66041374206543</t>
  </si>
  <si>
    <t>19.698999404907227</t>
  </si>
  <si>
    <t>20.048999786376953</t>
  </si>
  <si>
    <t>19.43000030517578</t>
  </si>
  <si>
    <t>20.042999267578125</t>
  </si>
  <si>
    <t>185925000</t>
  </si>
  <si>
    <t>2021-08-12</t>
  </si>
  <si>
    <t>19.866016387939453</t>
  </si>
  <si>
    <t>19.905000686645508</t>
  </si>
  <si>
    <t>20.02899932861328</t>
  </si>
  <si>
    <t>19.6200008392334</t>
  </si>
  <si>
    <t>19.8700008392334</t>
  </si>
  <si>
    <t>151652000</t>
  </si>
  <si>
    <t>2021-08-13</t>
  </si>
  <si>
    <t>20.148460388183594</t>
  </si>
  <si>
    <t>20.187999725341797</t>
  </si>
  <si>
    <t>20.214000701904297</t>
  </si>
  <si>
    <t>19.85099983215332</t>
  </si>
  <si>
    <t>183063000</t>
  </si>
  <si>
    <t>2021-08-16</t>
  </si>
  <si>
    <t>19.910926818847656</t>
  </si>
  <si>
    <t>19.950000762939453</t>
  </si>
  <si>
    <t>20.28700065612793</t>
  </si>
  <si>
    <t>19.452999114990234</t>
  </si>
  <si>
    <t>20.135000228881836</t>
  </si>
  <si>
    <t>210876000</t>
  </si>
  <si>
    <t>2021-08-17</t>
  </si>
  <si>
    <t>19.419889450073242</t>
  </si>
  <si>
    <t>19.45800018310547</t>
  </si>
  <si>
    <t>19.770000457763672</t>
  </si>
  <si>
    <t>19.267000198364258</t>
  </si>
  <si>
    <t>19.684999465942383</t>
  </si>
  <si>
    <t>204585000</t>
  </si>
  <si>
    <t>2021-08-18</t>
  </si>
  <si>
    <t>19.002708435058594</t>
  </si>
  <si>
    <t>19.040000915527344</t>
  </si>
  <si>
    <t>19.634000778198242</t>
  </si>
  <si>
    <t>19.0</t>
  </si>
  <si>
    <t>19.5</t>
  </si>
  <si>
    <t>285913000</t>
  </si>
  <si>
    <t>2021-08-19</t>
  </si>
  <si>
    <t>19.759225845336914</t>
  </si>
  <si>
    <t>19.79800033569336</t>
  </si>
  <si>
    <t>20.4950008392334</t>
  </si>
  <si>
    <t>18.761999130249023</t>
  </si>
  <si>
    <t>19.493999481201172</t>
  </si>
  <si>
    <t>766555000</t>
  </si>
  <si>
    <t>2021-08-20</t>
  </si>
  <si>
    <t>20.77523422241211</t>
  </si>
  <si>
    <t>20.81599998474121</t>
  </si>
  <si>
    <t>20.864999771118164</t>
  </si>
  <si>
    <t>19.933000564575195</t>
  </si>
  <si>
    <t>19.990999221801758</t>
  </si>
  <si>
    <t>675741000</t>
  </si>
  <si>
    <t>2021-08-23</t>
  </si>
  <si>
    <t>21.914997100830078</t>
  </si>
  <si>
    <t>21.95800018310547</t>
  </si>
  <si>
    <t>21.996999740600586</t>
  </si>
  <si>
    <t>20.950000762939453</t>
  </si>
  <si>
    <t>20.97100067138672</t>
  </si>
  <si>
    <t>575807000</t>
  </si>
  <si>
    <t>2021-08-24</t>
  </si>
  <si>
    <t>21.750320434570312</t>
  </si>
  <si>
    <t>21.792999267578125</t>
  </si>
  <si>
    <t>21.958999633789062</t>
  </si>
  <si>
    <t>21.53499984741211</t>
  </si>
  <si>
    <t>21.753000259399414</t>
  </si>
  <si>
    <t>297299000</t>
  </si>
  <si>
    <t>2021-08-25</t>
  </si>
  <si>
    <t>22.16948890686035</t>
  </si>
  <si>
    <t>22.21299934387207</t>
  </si>
  <si>
    <t>22.469999313354492</t>
  </si>
  <si>
    <t>21.722000122070312</t>
  </si>
  <si>
    <t>21.73699951171875</t>
  </si>
  <si>
    <t>347701000</t>
  </si>
  <si>
    <t>2021-08-26</t>
  </si>
  <si>
    <t>22.0247802734375</t>
  </si>
  <si>
    <t>22.06800079345703</t>
  </si>
  <si>
    <t>22.34000015258789</t>
  </si>
  <si>
    <t>21.790000915527344</t>
  </si>
  <si>
    <t>22.200000762939453</t>
  </si>
  <si>
    <t>237940000</t>
  </si>
  <si>
    <t>2021-08-27</t>
  </si>
  <si>
    <t>22.59166717529297</t>
  </si>
  <si>
    <t>22.63599967956543</t>
  </si>
  <si>
    <t>22.722000122070312</t>
  </si>
  <si>
    <t>22.16699981689453</t>
  </si>
  <si>
    <t>22.18400001525879</t>
  </si>
  <si>
    <t>304722000</t>
  </si>
  <si>
    <t>2021-08-30</t>
  </si>
  <si>
    <t>22.643564224243164</t>
  </si>
  <si>
    <t>22.687999725341797</t>
  </si>
  <si>
    <t>23.042999267578125</t>
  </si>
  <si>
    <t>22.551000595092773</t>
  </si>
  <si>
    <t>22.829999923706055</t>
  </si>
  <si>
    <t>262580000</t>
  </si>
  <si>
    <t>2021-08-31</t>
  </si>
  <si>
    <t>22.3450927734375</t>
  </si>
  <si>
    <t>22.385000228881836</t>
  </si>
  <si>
    <t>22.69499969482422</t>
  </si>
  <si>
    <t>22.1200008392334</t>
  </si>
  <si>
    <t>259850000</t>
  </si>
  <si>
    <t>2021-09-01</t>
  </si>
  <si>
    <t>22.4009952545166</t>
  </si>
  <si>
    <t>22.44099998474121</t>
  </si>
  <si>
    <t>22.69700050354004</t>
  </si>
  <si>
    <t>22.35700035095215</t>
  </si>
  <si>
    <t>22.485000610351562</t>
  </si>
  <si>
    <t>201767000</t>
  </si>
  <si>
    <t>2021-09-02</t>
  </si>
  <si>
    <t>22.356077194213867</t>
  </si>
  <si>
    <t>22.395999908447266</t>
  </si>
  <si>
    <t>22.593000411987305</t>
  </si>
  <si>
    <t>22.295000076293945</t>
  </si>
  <si>
    <t>22.51799964904785</t>
  </si>
  <si>
    <t>187834000</t>
  </si>
  <si>
    <t>2021-09-03</t>
  </si>
  <si>
    <t>22.80228042602539</t>
  </si>
  <si>
    <t>22.843000411987305</t>
  </si>
  <si>
    <t>22.986000061035156</t>
  </si>
  <si>
    <t>22.325000762939453</t>
  </si>
  <si>
    <t>280532000</t>
  </si>
  <si>
    <t>2021-09-07</t>
  </si>
  <si>
    <t>22.621601104736328</t>
  </si>
  <si>
    <t>22.66200065612793</t>
  </si>
  <si>
    <t>22.89900016784668</t>
  </si>
  <si>
    <t>22.52199935913086</t>
  </si>
  <si>
    <t>22.83300018310547</t>
  </si>
  <si>
    <t>198107000</t>
  </si>
  <si>
    <t>2021-09-08</t>
  </si>
  <si>
    <t>22.299175262451172</t>
  </si>
  <si>
    <t>22.339000701904297</t>
  </si>
  <si>
    <t>22.610000610351562</t>
  </si>
  <si>
    <t>21.976999282836914</t>
  </si>
  <si>
    <t>22.51300048828125</t>
  </si>
  <si>
    <t>254434000</t>
  </si>
  <si>
    <t>2021-09-09</t>
  </si>
  <si>
    <t>22.137468338012695</t>
  </si>
  <si>
    <t>22.177000045776367</t>
  </si>
  <si>
    <t>22.538000106811523</t>
  </si>
  <si>
    <t>22.131000518798828</t>
  </si>
  <si>
    <t>22.312000274658203</t>
  </si>
  <si>
    <t>196856000</t>
  </si>
  <si>
    <t>2021-09-10</t>
  </si>
  <si>
    <t>22.43793296813965</t>
  </si>
  <si>
    <t>22.47800064086914</t>
  </si>
  <si>
    <t>22.625999450683594</t>
  </si>
  <si>
    <t>22.270000457763672</t>
  </si>
  <si>
    <t>22.347999572753906</t>
  </si>
  <si>
    <t>248376000</t>
  </si>
  <si>
    <t>2021-09-13</t>
  </si>
  <si>
    <t>22.112512588500977</t>
  </si>
  <si>
    <t>22.152000427246094</t>
  </si>
  <si>
    <t>22.964000701904297</t>
  </si>
  <si>
    <t>21.857999801635742</t>
  </si>
  <si>
    <t>22.68400001525879</t>
  </si>
  <si>
    <t>297500000</t>
  </si>
  <si>
    <t>2021-09-14</t>
  </si>
  <si>
    <t>22.202354431152344</t>
  </si>
  <si>
    <t>22.242000579833984</t>
  </si>
  <si>
    <t>22.40999984741211</t>
  </si>
  <si>
    <t>22.086000442504883</t>
  </si>
  <si>
    <t>22.274999618530273</t>
  </si>
  <si>
    <t>199755000</t>
  </si>
  <si>
    <t>2021-09-15</t>
  </si>
  <si>
    <t>22.30117416381836</t>
  </si>
  <si>
    <t>22.340999603271484</t>
  </si>
  <si>
    <t>22.367000579833984</t>
  </si>
  <si>
    <t>21.965999603271484</t>
  </si>
  <si>
    <t>22.30900001525879</t>
  </si>
  <si>
    <t>166538000</t>
  </si>
  <si>
    <t>2021-09-16</t>
  </si>
  <si>
    <t>22.277000427246094</t>
  </si>
  <si>
    <t>21.927000045776367</t>
  </si>
  <si>
    <t>22.183000564575195</t>
  </si>
  <si>
    <t>156033000</t>
  </si>
  <si>
    <t>2021-09-17</t>
  </si>
  <si>
    <t>21.860963821411133</t>
  </si>
  <si>
    <t>21.899999618530273</t>
  </si>
  <si>
    <t>22.320999145507812</t>
  </si>
  <si>
    <t>21.829999923706055</t>
  </si>
  <si>
    <t>22.299999237060547</t>
  </si>
  <si>
    <t>294503000</t>
  </si>
  <si>
    <t>2021-09-20</t>
  </si>
  <si>
    <t>21.07536506652832</t>
  </si>
  <si>
    <t>21.113000869750977</t>
  </si>
  <si>
    <t>21.433000564575195</t>
  </si>
  <si>
    <t>20.66200065612793</t>
  </si>
  <si>
    <t>21.145999908447266</t>
  </si>
  <si>
    <t>349440000</t>
  </si>
  <si>
    <t>2021-09-21</t>
  </si>
  <si>
    <t>21.2081241607666</t>
  </si>
  <si>
    <t>21.246000289916992</t>
  </si>
  <si>
    <t>21.424999237060547</t>
  </si>
  <si>
    <t>21.41699981689453</t>
  </si>
  <si>
    <t>204688000</t>
  </si>
  <si>
    <t>2021-09-22</t>
  </si>
  <si>
    <t>21.90188980102539</t>
  </si>
  <si>
    <t>21.94099998474121</t>
  </si>
  <si>
    <t>21.959999084472656</t>
  </si>
  <si>
    <t>21.195999145507812</t>
  </si>
  <si>
    <t>21.365999221801758</t>
  </si>
  <si>
    <t>268726000</t>
  </si>
  <si>
    <t>2021-09-23</t>
  </si>
  <si>
    <t>22.441923141479492</t>
  </si>
  <si>
    <t>22.48200035095215</t>
  </si>
  <si>
    <t>22.53499984741211</t>
  </si>
  <si>
    <t>21.889999389648438</t>
  </si>
  <si>
    <t>22.139999389648438</t>
  </si>
  <si>
    <t>248555000</t>
  </si>
  <si>
    <t>2021-09-24</t>
  </si>
  <si>
    <t>22.0416316986084</t>
  </si>
  <si>
    <t>22.08099937438965</t>
  </si>
  <si>
    <t>22.14900016784668</t>
  </si>
  <si>
    <t>21.861000061035156</t>
  </si>
  <si>
    <t>22.06999969482422</t>
  </si>
  <si>
    <t>217655000</t>
  </si>
  <si>
    <t>2021-09-27</t>
  </si>
  <si>
    <t>21.62139320373535</t>
  </si>
  <si>
    <t>21.65999984741211</t>
  </si>
  <si>
    <t>21.798999786376953</t>
  </si>
  <si>
    <t>21.325000762939453</t>
  </si>
  <si>
    <t>21.709999084472656</t>
  </si>
  <si>
    <t>245215000</t>
  </si>
  <si>
    <t>2021-09-28</t>
  </si>
  <si>
    <t>20.662097930908203</t>
  </si>
  <si>
    <t>20.698999404907227</t>
  </si>
  <si>
    <t>21.41900062561035</t>
  </si>
  <si>
    <t>20.650999069213867</t>
  </si>
  <si>
    <t>21.214000701904297</t>
  </si>
  <si>
    <t>343069000</t>
  </si>
  <si>
    <t>2021-09-29</t>
  </si>
  <si>
    <t>20.480426788330078</t>
  </si>
  <si>
    <t>20.517000198364258</t>
  </si>
  <si>
    <t>21.017000198364258</t>
  </si>
  <si>
    <t>20.466999053955078</t>
  </si>
  <si>
    <t>20.940000534057617</t>
  </si>
  <si>
    <t>218394000</t>
  </si>
  <si>
    <t>2021-09-30</t>
  </si>
  <si>
    <t>20.679073333740234</t>
  </si>
  <si>
    <t>20.715999603271484</t>
  </si>
  <si>
    <t>21.06599998474121</t>
  </si>
  <si>
    <t>20.687999725341797</t>
  </si>
  <si>
    <t>20.76799964904785</t>
  </si>
  <si>
    <t>221009000</t>
  </si>
  <si>
    <t>2021-10-01</t>
  </si>
  <si>
    <t>20.705028533935547</t>
  </si>
  <si>
    <t>20.742000579833984</t>
  </si>
  <si>
    <t>20.858999252319336</t>
  </si>
  <si>
    <t>20.202999114990234</t>
  </si>
  <si>
    <t>20.75</t>
  </si>
  <si>
    <t>240978000</t>
  </si>
  <si>
    <t>2021-10-04</t>
  </si>
  <si>
    <t>19.69682502746582</t>
  </si>
  <si>
    <t>19.73200035095215</t>
  </si>
  <si>
    <t>20.54199981689453</t>
  </si>
  <si>
    <t>19.55500030517578</t>
  </si>
  <si>
    <t>20.503999710083008</t>
  </si>
  <si>
    <t>345635000</t>
  </si>
  <si>
    <t>2021-10-05</t>
  </si>
  <si>
    <t>20.41454315185547</t>
  </si>
  <si>
    <t>20.451000213623047</t>
  </si>
  <si>
    <t>20.648000717163086</t>
  </si>
  <si>
    <t>19.854000091552734</t>
  </si>
  <si>
    <t>279282000</t>
  </si>
  <si>
    <t>2021-10-06</t>
  </si>
  <si>
    <t>20.66309928894043</t>
  </si>
  <si>
    <t>20.700000762939453</t>
  </si>
  <si>
    <t>20.719999313354492</t>
  </si>
  <si>
    <t>20.079999923706055</t>
  </si>
  <si>
    <t>20.1200008392334</t>
  </si>
  <si>
    <t>297202000</t>
  </si>
  <si>
    <t>2021-10-07</t>
  </si>
  <si>
    <t>21.037431716918945</t>
  </si>
  <si>
    <t>21.075000762939453</t>
  </si>
  <si>
    <t>21.32200050354004</t>
  </si>
  <si>
    <t>20.972000122070312</t>
  </si>
  <si>
    <t>21.091999053955078</t>
  </si>
  <si>
    <t>256919000</t>
  </si>
  <si>
    <t>2021-10-08</t>
  </si>
  <si>
    <t>20.793865203857422</t>
  </si>
  <si>
    <t>20.83099937438965</t>
  </si>
  <si>
    <t>21.20599937438965</t>
  </si>
  <si>
    <t>20.774999618530273</t>
  </si>
  <si>
    <t>21.10099983215332</t>
  </si>
  <si>
    <t>151258000</t>
  </si>
  <si>
    <t>2021-10-11</t>
  </si>
  <si>
    <t>20.658109664916992</t>
  </si>
  <si>
    <t>20.69499969482422</t>
  </si>
  <si>
    <t>21.062999725341797</t>
  </si>
  <si>
    <t>20.51099967956543</t>
  </si>
  <si>
    <t>20.575000762939453</t>
  </si>
  <si>
    <t>163388000</t>
  </si>
  <si>
    <t>2021-10-12</t>
  </si>
  <si>
    <t>20.634151458740234</t>
  </si>
  <si>
    <t>20.67099952697754</t>
  </si>
  <si>
    <t>21.05699920654297</t>
  </si>
  <si>
    <t>20.527999877929688</t>
  </si>
  <si>
    <t>20.827999114990234</t>
  </si>
  <si>
    <t>162134000</t>
  </si>
  <si>
    <t>2021-10-13</t>
  </si>
  <si>
    <t>20.901676177978516</t>
  </si>
  <si>
    <t>20.93899917602539</t>
  </si>
  <si>
    <t>20.989999771118164</t>
  </si>
  <si>
    <t>20.71299934387207</t>
  </si>
  <si>
    <t>20.917999267578125</t>
  </si>
  <si>
    <t>180652000</t>
  </si>
  <si>
    <t>2021-10-14</t>
  </si>
  <si>
    <t>21.707233428955078</t>
  </si>
  <si>
    <t>21.746000289916992</t>
  </si>
  <si>
    <t>21.7549991607666</t>
  </si>
  <si>
    <t>21.121999740600586</t>
  </si>
  <si>
    <t>21.288000106811523</t>
  </si>
  <si>
    <t>243589000</t>
  </si>
  <si>
    <t>2021-10-15</t>
  </si>
  <si>
    <t>21.823026657104492</t>
  </si>
  <si>
    <t>21.86199951171875</t>
  </si>
  <si>
    <t>21.930999755859375</t>
  </si>
  <si>
    <t>21.66200065612793</t>
  </si>
  <si>
    <t>21.809999465942383</t>
  </si>
  <si>
    <t>226994000</t>
  </si>
  <si>
    <t>2021-10-18</t>
  </si>
  <si>
    <t>22.18238639831543</t>
  </si>
  <si>
    <t>22.222000122070312</t>
  </si>
  <si>
    <t>22.291000366210938</t>
  </si>
  <si>
    <t>21.643999099731445</t>
  </si>
  <si>
    <t>21.749000549316406</t>
  </si>
  <si>
    <t>189494000</t>
  </si>
  <si>
    <t>2021-10-19</t>
  </si>
  <si>
    <t>22.250267028808594</t>
  </si>
  <si>
    <t>22.290000915527344</t>
  </si>
  <si>
    <t>22.378999710083008</t>
  </si>
  <si>
    <t>22.03700065612793</t>
  </si>
  <si>
    <t>22.275999069213867</t>
  </si>
  <si>
    <t>161473000</t>
  </si>
  <si>
    <t>2021-10-20</t>
  </si>
  <si>
    <t>22.0635986328125</t>
  </si>
  <si>
    <t>22.10300064086914</t>
  </si>
  <si>
    <t>22.433000564575195</t>
  </si>
  <si>
    <t>21.98200035095215</t>
  </si>
  <si>
    <t>22.30500030517578</t>
  </si>
  <si>
    <t>146276000</t>
  </si>
  <si>
    <t>2021-10-21</t>
  </si>
  <si>
    <t>22.651548385620117</t>
  </si>
  <si>
    <t>22.691999435424805</t>
  </si>
  <si>
    <t>22.711000442504883</t>
  </si>
  <si>
    <t>22.08300018310547</t>
  </si>
  <si>
    <t>22.097000122070312</t>
  </si>
  <si>
    <t>187590000</t>
  </si>
  <si>
    <t>2021-10-22</t>
  </si>
  <si>
    <t>22.68549156188965</t>
  </si>
  <si>
    <t>22.72599983215332</t>
  </si>
  <si>
    <t>23.1299991607666</t>
  </si>
  <si>
    <t>22.56100082397461</t>
  </si>
  <si>
    <t>22.822999954223633</t>
  </si>
  <si>
    <t>249384000</t>
  </si>
  <si>
    <t>2021-10-25</t>
  </si>
  <si>
    <t>23.124706268310547</t>
  </si>
  <si>
    <t>23.166000366210938</t>
  </si>
  <si>
    <t>23.354999542236328</t>
  </si>
  <si>
    <t>22.770000457763672</t>
  </si>
  <si>
    <t>22.972999572753906</t>
  </si>
  <si>
    <t>230235000</t>
  </si>
  <si>
    <t>2021-10-26</t>
  </si>
  <si>
    <t>24.672937393188477</t>
  </si>
  <si>
    <t>24.716999053955078</t>
  </si>
  <si>
    <t>25.259000778198242</t>
  </si>
  <si>
    <t>23.923999786376953</t>
  </si>
  <si>
    <t>23.98900032043457</t>
  </si>
  <si>
    <t>485898000</t>
  </si>
  <si>
    <t>2021-10-27</t>
  </si>
  <si>
    <t>24.407411575317383</t>
  </si>
  <si>
    <t>24.451000213623047</t>
  </si>
  <si>
    <t>25.09000015258789</t>
  </si>
  <si>
    <t>24.281999588012695</t>
  </si>
  <si>
    <t>24.474000930786133</t>
  </si>
  <si>
    <t>245990000</t>
  </si>
  <si>
    <t>2021-10-28</t>
  </si>
  <si>
    <t>24.89653968811035</t>
  </si>
  <si>
    <t>24.94099998474121</t>
  </si>
  <si>
    <t>24.950000762939453</t>
  </si>
  <si>
    <t>24.523000717163086</t>
  </si>
  <si>
    <t>24.878000259399414</t>
  </si>
  <si>
    <t>234204000</t>
  </si>
  <si>
    <t>2021-10-29</t>
  </si>
  <si>
    <t>25.521427154541016</t>
  </si>
  <si>
    <t>25.566999435424805</t>
  </si>
  <si>
    <t>25.708999633789062</t>
  </si>
  <si>
    <t>25.0</t>
  </si>
  <si>
    <t>25.000999450683594</t>
  </si>
  <si>
    <t>292503000</t>
  </si>
  <si>
    <t>2021-11-01</t>
  </si>
  <si>
    <t>25.780960083007812</t>
  </si>
  <si>
    <t>25.82699966430664</t>
  </si>
  <si>
    <t>25.893999099731445</t>
  </si>
  <si>
    <t>25.226999282836914</t>
  </si>
  <si>
    <t>25.64900016784668</t>
  </si>
  <si>
    <t>265740000</t>
  </si>
  <si>
    <t>2021-11-02</t>
  </si>
  <si>
    <t>26.35393524169922</t>
  </si>
  <si>
    <t>26.400999069213867</t>
  </si>
  <si>
    <t>26.67799949645996</t>
  </si>
  <si>
    <t>25.799999237060547</t>
  </si>
  <si>
    <t>25.82200050354004</t>
  </si>
  <si>
    <t>294112000</t>
  </si>
  <si>
    <t>2021-11-03</t>
  </si>
  <si>
    <t>26.55058479309082</t>
  </si>
  <si>
    <t>26.597999572753906</t>
  </si>
  <si>
    <t>26.784000396728516</t>
  </si>
  <si>
    <t>26.235000610351562</t>
  </si>
  <si>
    <t>26.670000076293945</t>
  </si>
  <si>
    <t>239910000</t>
  </si>
  <si>
    <t>2021-11-04</t>
  </si>
  <si>
    <t>29.747875213623047</t>
  </si>
  <si>
    <t>29.801000595092773</t>
  </si>
  <si>
    <t>31.364999771118164</t>
  </si>
  <si>
    <t>27.118000030517578</t>
  </si>
  <si>
    <t>27.229000091552734</t>
  </si>
  <si>
    <t>1153631000</t>
  </si>
  <si>
    <t>2021-11-05</t>
  </si>
  <si>
    <t>29.69896697998047</t>
  </si>
  <si>
    <t>29.75200080871582</t>
  </si>
  <si>
    <t>31.399999618530273</t>
  </si>
  <si>
    <t>29.40999984741211</t>
  </si>
  <si>
    <t>30.187000274658203</t>
  </si>
  <si>
    <t>851260000</t>
  </si>
  <si>
    <t>2021-11-08</t>
  </si>
  <si>
    <t>30.749088287353516</t>
  </si>
  <si>
    <t>30.804000854492188</t>
  </si>
  <si>
    <t>31.100000381469727</t>
  </si>
  <si>
    <t>29.906999588012695</t>
  </si>
  <si>
    <t>30.14900016784668</t>
  </si>
  <si>
    <t>503101000</t>
  </si>
  <si>
    <t>2021-11-09</t>
  </si>
  <si>
    <t>30.60234832763672</t>
  </si>
  <si>
    <t>30.656999588012695</t>
  </si>
  <si>
    <t>32.310001373291016</t>
  </si>
  <si>
    <t>29.964000701904297</t>
  </si>
  <si>
    <t>32.28200149536133</t>
  </si>
  <si>
    <t>646746000</t>
  </si>
  <si>
    <t>2021-11-10</t>
  </si>
  <si>
    <t>29.406484603881836</t>
  </si>
  <si>
    <t>29.458999633789062</t>
  </si>
  <si>
    <t>30.850000381469727</t>
  </si>
  <si>
    <t>28.777999877929688</t>
  </si>
  <si>
    <t>29.356000900268555</t>
  </si>
  <si>
    <t>636206000</t>
  </si>
  <si>
    <t>2021-11-11</t>
  </si>
  <si>
    <t>30.33582305908203</t>
  </si>
  <si>
    <t>30.389999389648438</t>
  </si>
  <si>
    <t>30.59000015258789</t>
  </si>
  <si>
    <t>29.777000427246094</t>
  </si>
  <si>
    <t>30.468000411987305</t>
  </si>
  <si>
    <t>332172000</t>
  </si>
  <si>
    <t>2021-11-12</t>
  </si>
  <si>
    <t>30.68000030517578</t>
  </si>
  <si>
    <t>29.6299991607666</t>
  </si>
  <si>
    <t>30.010000228881836</t>
  </si>
  <si>
    <t>413054000</t>
  </si>
  <si>
    <t>2021-11-15</t>
  </si>
  <si>
    <t>29.971473693847656</t>
  </si>
  <si>
    <t>30.024999618530273</t>
  </si>
  <si>
    <t>30.643999099731445</t>
  </si>
  <si>
    <t>29.246999740600586</t>
  </si>
  <si>
    <t>30.552000045776367</t>
  </si>
  <si>
    <t>384909000</t>
  </si>
  <si>
    <t>2021-11-16</t>
  </si>
  <si>
    <t>30.149160385131836</t>
  </si>
  <si>
    <t>30.202999114990234</t>
  </si>
  <si>
    <t>29.70599937438965</t>
  </si>
  <si>
    <t>29.759000778198242</t>
  </si>
  <si>
    <t>264484000</t>
  </si>
  <si>
    <t>2021-11-17</t>
  </si>
  <si>
    <t>29.208839416503906</t>
  </si>
  <si>
    <t>29.26099967956543</t>
  </si>
  <si>
    <t>30.509000778198242</t>
  </si>
  <si>
    <t>28.799999237060547</t>
  </si>
  <si>
    <t>30.417999267578125</t>
  </si>
  <si>
    <t>428508000</t>
  </si>
  <si>
    <t>2021-11-18</t>
  </si>
  <si>
    <t>31.618534088134766</t>
  </si>
  <si>
    <t>31.674999237060547</t>
  </si>
  <si>
    <t>32.7599983215332</t>
  </si>
  <si>
    <t>31.320999145507812</t>
  </si>
  <si>
    <t>32.367000579833984</t>
  </si>
  <si>
    <t>781711000</t>
  </si>
  <si>
    <t>2021-11-19</t>
  </si>
  <si>
    <t>32.926204681396484</t>
  </si>
  <si>
    <t>32.98500061035156</t>
  </si>
  <si>
    <t>33.0880012512207</t>
  </si>
  <si>
    <t>31.905000686645508</t>
  </si>
  <si>
    <t>32.24300003051758</t>
  </si>
  <si>
    <t>533867000</t>
  </si>
  <si>
    <t>2021-11-22</t>
  </si>
  <si>
    <t>31.89903450012207</t>
  </si>
  <si>
    <t>31.95599937438965</t>
  </si>
  <si>
    <t>34.64699935913086</t>
  </si>
  <si>
    <t>31.899999618530273</t>
  </si>
  <si>
    <t>33.516998291015625</t>
  </si>
  <si>
    <t>754335000</t>
  </si>
  <si>
    <t>2021-11-23</t>
  </si>
  <si>
    <t>31.68941307067871</t>
  </si>
  <si>
    <t>31.746000289916992</t>
  </si>
  <si>
    <t>32.36000061035156</t>
  </si>
  <si>
    <t>30.8799991607666</t>
  </si>
  <si>
    <t>31.53499984741211</t>
  </si>
  <si>
    <t>532163000</t>
  </si>
  <si>
    <t>2021-11-24</t>
  </si>
  <si>
    <t>32.61575698852539</t>
  </si>
  <si>
    <t>32.67399978637695</t>
  </si>
  <si>
    <t>32.85499954223633</t>
  </si>
  <si>
    <t>30.92799949645996</t>
  </si>
  <si>
    <t>31.461000442504883</t>
  </si>
  <si>
    <t>435162000</t>
  </si>
  <si>
    <t>2021-11-26</t>
  </si>
  <si>
    <t>31.446842193603516</t>
  </si>
  <si>
    <t>31.503000259399414</t>
  </si>
  <si>
    <t>32.709999084472656</t>
  </si>
  <si>
    <t>31.350000381469727</t>
  </si>
  <si>
    <t>32.599998474121094</t>
  </si>
  <si>
    <t>283069000</t>
  </si>
  <si>
    <t>2021-11-29</t>
  </si>
  <si>
    <t>33.316505432128906</t>
  </si>
  <si>
    <t>33.375999450683594</t>
  </si>
  <si>
    <t>33.4119987487793</t>
  </si>
  <si>
    <t>32.0359992980957</t>
  </si>
  <si>
    <t>32.36600112915039</t>
  </si>
  <si>
    <t>454964000</t>
  </si>
  <si>
    <t>2021-11-30</t>
  </si>
  <si>
    <t>32.61775588989258</t>
  </si>
  <si>
    <t>32.67599868774414</t>
  </si>
  <si>
    <t>33.35300064086914</t>
  </si>
  <si>
    <t>31.86400032043457</t>
  </si>
  <si>
    <t>33.16899871826172</t>
  </si>
  <si>
    <t>622066000</t>
  </si>
  <si>
    <t>2021-12-01</t>
  </si>
  <si>
    <t>31.3828067779541</t>
  </si>
  <si>
    <t>31.434999465942383</t>
  </si>
  <si>
    <t>33.28900146484375</t>
  </si>
  <si>
    <t>31.3799991607666</t>
  </si>
  <si>
    <t>33.21900177001953</t>
  </si>
  <si>
    <t>484368000</t>
  </si>
  <si>
    <t>2021-12-02</t>
  </si>
  <si>
    <t>32.07265090942383</t>
  </si>
  <si>
    <t>32.125999450683594</t>
  </si>
  <si>
    <t>32.47800064086914</t>
  </si>
  <si>
    <t>31.024999618530273</t>
  </si>
  <si>
    <t>31.214000701904297</t>
  </si>
  <si>
    <t>472890000</t>
  </si>
  <si>
    <t>2021-12-03</t>
  </si>
  <si>
    <t>30.642038345336914</t>
  </si>
  <si>
    <t>30.69300079345703</t>
  </si>
  <si>
    <t>32.12900161743164</t>
  </si>
  <si>
    <t>30.1299991607666</t>
  </si>
  <si>
    <t>32.0</t>
  </si>
  <si>
    <t>544325000</t>
  </si>
  <si>
    <t>2021-12-06</t>
  </si>
  <si>
    <t>29.98712921142578</t>
  </si>
  <si>
    <t>30.03700065612793</t>
  </si>
  <si>
    <t>30.240999221801758</t>
  </si>
  <si>
    <t>28.038000106811523</t>
  </si>
  <si>
    <t>29.8799991607666</t>
  </si>
  <si>
    <t>658938000</t>
  </si>
  <si>
    <t>2021-12-07</t>
  </si>
  <si>
    <t>32.3731575012207</t>
  </si>
  <si>
    <t>32.426998138427734</t>
  </si>
  <si>
    <t>32.44900131225586</t>
  </si>
  <si>
    <t>30.650999069213867</t>
  </si>
  <si>
    <t>30.957000732421875</t>
  </si>
  <si>
    <t>593053000</t>
  </si>
  <si>
    <t>2021-12-08</t>
  </si>
  <si>
    <t>31.77315902709961</t>
  </si>
  <si>
    <t>31.826000213623047</t>
  </si>
  <si>
    <t>32.290000915527344</t>
  </si>
  <si>
    <t>31.42099952697754</t>
  </si>
  <si>
    <t>31.999000549316406</t>
  </si>
  <si>
    <t>475551000</t>
  </si>
  <si>
    <t>2021-12-09</t>
  </si>
  <si>
    <t>30.439374923706055</t>
  </si>
  <si>
    <t>30.489999771118164</t>
  </si>
  <si>
    <t>32.20500183105469</t>
  </si>
  <si>
    <t>30.42799949645996</t>
  </si>
  <si>
    <t>31.733999252319336</t>
  </si>
  <si>
    <t>488507000</t>
  </si>
  <si>
    <t>2021-12-10</t>
  </si>
  <si>
    <t>30.147859573364258</t>
  </si>
  <si>
    <t>30.197999954223633</t>
  </si>
  <si>
    <t>31.30500030517578</t>
  </si>
  <si>
    <t>29.861000061035156</t>
  </si>
  <si>
    <t>31.149999618530273</t>
  </si>
  <si>
    <t>488825000</t>
  </si>
  <si>
    <t>2021-12-13</t>
  </si>
  <si>
    <t>28.114242553710938</t>
  </si>
  <si>
    <t>28.160999298095703</t>
  </si>
  <si>
    <t>30.29400062561035</t>
  </si>
  <si>
    <t>28.115999221801758</t>
  </si>
  <si>
    <t>30.249000549316406</t>
  </si>
  <si>
    <t>598344000</t>
  </si>
  <si>
    <t>2021-12-14</t>
  </si>
  <si>
    <t>28.289949417114258</t>
  </si>
  <si>
    <t>28.336999893188477</t>
  </si>
  <si>
    <t>28.67799949645996</t>
  </si>
  <si>
    <t>27.25</t>
  </si>
  <si>
    <t>27.698999404907227</t>
  </si>
  <si>
    <t>667035000</t>
  </si>
  <si>
    <t>2021-12-15</t>
  </si>
  <si>
    <t>30.408428192138672</t>
  </si>
  <si>
    <t>30.458999633789062</t>
  </si>
  <si>
    <t>30.5</t>
  </si>
  <si>
    <t>27.83799934387207</t>
  </si>
  <si>
    <t>28.399999618530273</t>
  </si>
  <si>
    <t>698297000</t>
  </si>
  <si>
    <t>2021-12-16</t>
  </si>
  <si>
    <t>28.33987045288086</t>
  </si>
  <si>
    <t>28.386999130249023</t>
  </si>
  <si>
    <t>31.15999984741211</t>
  </si>
  <si>
    <t>28.093000411987305</t>
  </si>
  <si>
    <t>31.152000427246094</t>
  </si>
  <si>
    <t>707366000</t>
  </si>
  <si>
    <t>2021-12-17</t>
  </si>
  <si>
    <t>27.754840850830078</t>
  </si>
  <si>
    <t>27.801000595092773</t>
  </si>
  <si>
    <t>28.922000885009766</t>
  </si>
  <si>
    <t>27.760000228881836</t>
  </si>
  <si>
    <t>27.985000610351562</t>
  </si>
  <si>
    <t>713758000</t>
  </si>
  <si>
    <t>2021-12-20</t>
  </si>
  <si>
    <t>27.672977447509766</t>
  </si>
  <si>
    <t>27.7189998626709</t>
  </si>
  <si>
    <t>28.143999099731445</t>
  </si>
  <si>
    <t>27.145000457763672</t>
  </si>
  <si>
    <t>27.30500030517578</t>
  </si>
  <si>
    <t>461847000</t>
  </si>
  <si>
    <t>2021-12-21</t>
  </si>
  <si>
    <t>29.02672576904297</t>
  </si>
  <si>
    <t>29.075000762939453</t>
  </si>
  <si>
    <t>29.1200008392334</t>
  </si>
  <si>
    <t>27.400999069213867</t>
  </si>
  <si>
    <t>28.374000549316406</t>
  </si>
  <si>
    <t>524385000</t>
  </si>
  <si>
    <t>2021-12-22</t>
  </si>
  <si>
    <t>29.35118293762207</t>
  </si>
  <si>
    <t>29.399999618530273</t>
  </si>
  <si>
    <t>29.55500030517578</t>
  </si>
  <si>
    <t>28.448999404907227</t>
  </si>
  <si>
    <t>28.891000747680664</t>
  </si>
  <si>
    <t>395184000</t>
  </si>
  <si>
    <t>2021-12-23</t>
  </si>
  <si>
    <t>29.590787887573242</t>
  </si>
  <si>
    <t>29.639999389648438</t>
  </si>
  <si>
    <t>30.05900001525879</t>
  </si>
  <si>
    <t>29.430999755859375</t>
  </si>
  <si>
    <t>29.7549991607666</t>
  </si>
  <si>
    <t>343022000</t>
  </si>
  <si>
    <t>2021-12-27</t>
  </si>
  <si>
    <t>30.89362144470215</t>
  </si>
  <si>
    <t>30.94499969482422</t>
  </si>
  <si>
    <t>31.086999893188477</t>
  </si>
  <si>
    <t>29.65999984741211</t>
  </si>
  <si>
    <t>403686000</t>
  </si>
  <si>
    <t>2021-12-28</t>
  </si>
  <si>
    <t>30.271656036376953</t>
  </si>
  <si>
    <t>30.32200050354004</t>
  </si>
  <si>
    <t>31.329999923706055</t>
  </si>
  <si>
    <t>30.011999130249023</t>
  </si>
  <si>
    <t>31.312000274658203</t>
  </si>
  <si>
    <t>420591000</t>
  </si>
  <si>
    <t>2021-12-29</t>
  </si>
  <si>
    <t>29.95118522644043</t>
  </si>
  <si>
    <t>30.000999450683594</t>
  </si>
  <si>
    <t>30.54800033569336</t>
  </si>
  <si>
    <t>29.365999221801758</t>
  </si>
  <si>
    <t>30.273000717163086</t>
  </si>
  <si>
    <t>343139000</t>
  </si>
  <si>
    <t>2021-12-30</t>
  </si>
  <si>
    <t>29.53687858581543</t>
  </si>
  <si>
    <t>29.586000442504883</t>
  </si>
  <si>
    <t>30.457000732421875</t>
  </si>
  <si>
    <t>29.540000915527344</t>
  </si>
  <si>
    <t>29.82699966430664</t>
  </si>
  <si>
    <t>308864000</t>
  </si>
  <si>
    <t>2021-12-31</t>
  </si>
  <si>
    <t>29.36216926574707</t>
  </si>
  <si>
    <t>29.410999298095703</t>
  </si>
  <si>
    <t>30.030000686645508</t>
  </si>
  <si>
    <t>29.33099937438965</t>
  </si>
  <si>
    <t>29.673999786376953</t>
  </si>
  <si>
    <t>266530000</t>
  </si>
  <si>
    <t>2022-01-03</t>
  </si>
  <si>
    <t>30.070985794067383</t>
  </si>
  <si>
    <t>30.121000289916992</t>
  </si>
  <si>
    <t>30.711000442504883</t>
  </si>
  <si>
    <t>29.78499984741211</t>
  </si>
  <si>
    <t>29.815000534057617</t>
  </si>
  <si>
    <t>391547000</t>
  </si>
  <si>
    <t>2022-01-04</t>
  </si>
  <si>
    <t>29.24136734008789</t>
  </si>
  <si>
    <t>29.290000915527344</t>
  </si>
  <si>
    <t>28.349000930786133</t>
  </si>
  <si>
    <t>30.277000427246094</t>
  </si>
  <si>
    <t>527154000</t>
  </si>
  <si>
    <t>2022-01-05</t>
  </si>
  <si>
    <t>27.558170318603516</t>
  </si>
  <si>
    <t>27.604000091552734</t>
  </si>
  <si>
    <t>29.416000366210938</t>
  </si>
  <si>
    <t>27.533000946044922</t>
  </si>
  <si>
    <t>28.948999404907227</t>
  </si>
  <si>
    <t>498064000</t>
  </si>
  <si>
    <t>2022-01-06</t>
  </si>
  <si>
    <t>28.13121223449707</t>
  </si>
  <si>
    <t>28.17799949645996</t>
  </si>
  <si>
    <t>28.437999725341797</t>
  </si>
  <si>
    <t>27.065000534057617</t>
  </si>
  <si>
    <t>27.639999389648438</t>
  </si>
  <si>
    <t>454186000</t>
  </si>
  <si>
    <t>2022-01-07</t>
  </si>
  <si>
    <t>27.20176124572754</t>
  </si>
  <si>
    <t>27.246999740600586</t>
  </si>
  <si>
    <t>28.422000885009766</t>
  </si>
  <si>
    <t>27.05699920654297</t>
  </si>
  <si>
    <t>28.141000747680664</t>
  </si>
  <si>
    <t>409939000</t>
  </si>
  <si>
    <t>2022-01-10</t>
  </si>
  <si>
    <t>27.354507446289062</t>
  </si>
  <si>
    <t>27.399999618530273</t>
  </si>
  <si>
    <t>27.4689998626709</t>
  </si>
  <si>
    <t>25.643999099731445</t>
  </si>
  <si>
    <t>26.58099937438965</t>
  </si>
  <si>
    <t>594681000</t>
  </si>
  <si>
    <t>2022-01-11</t>
  </si>
  <si>
    <t>27.77081298828125</t>
  </si>
  <si>
    <t>27.816999435424805</t>
  </si>
  <si>
    <t>28.065000534057617</t>
  </si>
  <si>
    <t>26.839000701904297</t>
  </si>
  <si>
    <t>27.322999954223633</t>
  </si>
  <si>
    <t>404089000</t>
  </si>
  <si>
    <t>2022-01-12</t>
  </si>
  <si>
    <t>27.9525146484375</t>
  </si>
  <si>
    <t>27.999000549316406</t>
  </si>
  <si>
    <t>28.594999313354492</t>
  </si>
  <si>
    <t>27.607999801635742</t>
  </si>
  <si>
    <t>28.066999435424805</t>
  </si>
  <si>
    <t>383413000</t>
  </si>
  <si>
    <t>2022-01-13</t>
  </si>
  <si>
    <t>26.530874252319336</t>
  </si>
  <si>
    <t>26.575000762939453</t>
  </si>
  <si>
    <t>28.479999542236328</t>
  </si>
  <si>
    <t>26.49799919128418</t>
  </si>
  <si>
    <t>28.378999710083008</t>
  </si>
  <si>
    <t>540171000</t>
  </si>
  <si>
    <t>2022-01-14</t>
  </si>
  <si>
    <t>26.89726448059082</t>
  </si>
  <si>
    <t>26.941999435424805</t>
  </si>
  <si>
    <t>27.19700050354004</t>
  </si>
  <si>
    <t>26.209999084472656</t>
  </si>
  <si>
    <t>26.299999237060547</t>
  </si>
  <si>
    <t>395832000</t>
  </si>
  <si>
    <t>2022-01-18</t>
  </si>
  <si>
    <t>25.85999298095703</t>
  </si>
  <si>
    <t>25.902999877929688</t>
  </si>
  <si>
    <t>26.63800048828125</t>
  </si>
  <si>
    <t>25.770000457763672</t>
  </si>
  <si>
    <t>26.260000228881836</t>
  </si>
  <si>
    <t>424270000</t>
  </si>
  <si>
    <t>2022-01-19</t>
  </si>
  <si>
    <t>25.025381088256836</t>
  </si>
  <si>
    <t>25.066999435424805</t>
  </si>
  <si>
    <t>26.542999267578125</t>
  </si>
  <si>
    <t>25.052000045776367</t>
  </si>
  <si>
    <t>26.07900047302246</t>
  </si>
  <si>
    <t>488315000</t>
  </si>
  <si>
    <t>2022-01-20</t>
  </si>
  <si>
    <t>24.109905242919922</t>
  </si>
  <si>
    <t>24.149999618530273</t>
  </si>
  <si>
    <t>25.57900047302246</t>
  </si>
  <si>
    <t>24.077999114990234</t>
  </si>
  <si>
    <t>25.304000854492188</t>
  </si>
  <si>
    <t>435181000</t>
  </si>
  <si>
    <t>2022-01-21</t>
  </si>
  <si>
    <t>23.33519172668457</t>
  </si>
  <si>
    <t>23.374000549316406</t>
  </si>
  <si>
    <t>24.822999954223633</t>
  </si>
  <si>
    <t>23.26300048828125</t>
  </si>
  <si>
    <t>23.506999969482422</t>
  </si>
  <si>
    <t>718958000</t>
  </si>
  <si>
    <t>2022-01-24</t>
  </si>
  <si>
    <t>23.333194732666016</t>
  </si>
  <si>
    <t>23.371999740600586</t>
  </si>
  <si>
    <t>23.3799991607666</t>
  </si>
  <si>
    <t>20.88800048828125</t>
  </si>
  <si>
    <t>22.329999923706055</t>
  </si>
  <si>
    <t>913982000</t>
  </si>
  <si>
    <t>2022-01-25</t>
  </si>
  <si>
    <t>22.286935806274414</t>
  </si>
  <si>
    <t>22.323999404907227</t>
  </si>
  <si>
    <t>22.94300079345703</t>
  </si>
  <si>
    <t>22.0</t>
  </si>
  <si>
    <t>22.54599952697754</t>
  </si>
  <si>
    <t>664616000</t>
  </si>
  <si>
    <t>2022-01-26</t>
  </si>
  <si>
    <t>22.734188079833984</t>
  </si>
  <si>
    <t>22.77199935913086</t>
  </si>
  <si>
    <t>24.05699920654297</t>
  </si>
  <si>
    <t>23.239999771118164</t>
  </si>
  <si>
    <t>755959000</t>
  </si>
  <si>
    <t>2022-01-27</t>
  </si>
  <si>
    <t>21.90756607055664</t>
  </si>
  <si>
    <t>21.944000244140625</t>
  </si>
  <si>
    <t>23.9950008392334</t>
  </si>
  <si>
    <t>21.674999237060547</t>
  </si>
  <si>
    <t>23.56800079345703</t>
  </si>
  <si>
    <t>573353000</t>
  </si>
  <si>
    <t>2022-01-28</t>
  </si>
  <si>
    <t>22.802078247070312</t>
  </si>
  <si>
    <t>22.84000015258789</t>
  </si>
  <si>
    <t>22.857999801635742</t>
  </si>
  <si>
    <t>21.29599952697754</t>
  </si>
  <si>
    <t>22.011999130249023</t>
  </si>
  <si>
    <t>543774000</t>
  </si>
  <si>
    <t>2022-01-31</t>
  </si>
  <si>
    <t>24.44534683227539</t>
  </si>
  <si>
    <t>24.486000061035156</t>
  </si>
  <si>
    <t>24.509000778198242</t>
  </si>
  <si>
    <t>23.052000045776367</t>
  </si>
  <si>
    <t>23.18199920654297</t>
  </si>
  <si>
    <t>564680000</t>
  </si>
  <si>
    <t>2022-02-01</t>
  </si>
  <si>
    <t>24.597091674804688</t>
  </si>
  <si>
    <t>24.63800048828125</t>
  </si>
  <si>
    <t>25.145000457763672</t>
  </si>
  <si>
    <t>23.889999389648438</t>
  </si>
  <si>
    <t>25.104000091552734</t>
  </si>
  <si>
    <t>518925000</t>
  </si>
  <si>
    <t>2022-02-02</t>
  </si>
  <si>
    <t>25.200090408325195</t>
  </si>
  <si>
    <t>25.242000579833984</t>
  </si>
  <si>
    <t>25.816999435424805</t>
  </si>
  <si>
    <t>24.55299949645996</t>
  </si>
  <si>
    <t>25.79400062561035</t>
  </si>
  <si>
    <t>543419000</t>
  </si>
  <si>
    <t>2022-02-03</t>
  </si>
  <si>
    <t>23.908239364624023</t>
  </si>
  <si>
    <t>23.947999954223633</t>
  </si>
  <si>
    <t>25.07699966430664</t>
  </si>
  <si>
    <t>23.780000686645508</t>
  </si>
  <si>
    <t>24.45800018310547</t>
  </si>
  <si>
    <t>410178000</t>
  </si>
  <si>
    <t>2022-02-04</t>
  </si>
  <si>
    <t>24.278621673583984</t>
  </si>
  <si>
    <t>24.319000244140625</t>
  </si>
  <si>
    <t>24.635000228881836</t>
  </si>
  <si>
    <t>23.631999969482422</t>
  </si>
  <si>
    <t>23.972000122070312</t>
  </si>
  <si>
    <t>354829000</t>
  </si>
  <si>
    <t>2022-02-07</t>
  </si>
  <si>
    <t>24.686939239501953</t>
  </si>
  <si>
    <t>24.72800064086914</t>
  </si>
  <si>
    <t>25.18199920654297</t>
  </si>
  <si>
    <t>24.20199966430664</t>
  </si>
  <si>
    <t>24.371999740600586</t>
  </si>
  <si>
    <t>376868000</t>
  </si>
  <si>
    <t>2022-02-08</t>
  </si>
  <si>
    <t>25.06631088256836</t>
  </si>
  <si>
    <t>25.107999801635742</t>
  </si>
  <si>
    <t>25.229999542236328</t>
  </si>
  <si>
    <t>23.979999542236328</t>
  </si>
  <si>
    <t>24.358999252319336</t>
  </si>
  <si>
    <t>410359000</t>
  </si>
  <si>
    <t>2022-02-09</t>
  </si>
  <si>
    <t>26.66065788269043</t>
  </si>
  <si>
    <t>26.704999923706055</t>
  </si>
  <si>
    <t>26.725000381469727</t>
  </si>
  <si>
    <t>25.35300064086914</t>
  </si>
  <si>
    <t>25.621999740600586</t>
  </si>
  <si>
    <t>524282000</t>
  </si>
  <si>
    <t>2022-02-10</t>
  </si>
  <si>
    <t>25.781118392944336</t>
  </si>
  <si>
    <t>25.823999404907227</t>
  </si>
  <si>
    <t>26.924999237060547</t>
  </si>
  <si>
    <t>25.600000381469727</t>
  </si>
  <si>
    <t>25.9950008392334</t>
  </si>
  <si>
    <t>513200000</t>
  </si>
  <si>
    <t>2022-02-11</t>
  </si>
  <si>
    <t>23.909238815307617</t>
  </si>
  <si>
    <t>23.948999404907227</t>
  </si>
  <si>
    <t>26.152000427246094</t>
  </si>
  <si>
    <t>23.773000717163086</t>
  </si>
  <si>
    <t>25.916000366210938</t>
  </si>
  <si>
    <t>605472000</t>
  </si>
  <si>
    <t>2022-02-14</t>
  </si>
  <si>
    <t>24.22670555114746</t>
  </si>
  <si>
    <t>24.267000198364258</t>
  </si>
  <si>
    <t>24.875</t>
  </si>
  <si>
    <t>23.7549991607666</t>
  </si>
  <si>
    <t>23.93400001525879</t>
  </si>
  <si>
    <t>440424000</t>
  </si>
  <si>
    <t>2022-02-15</t>
  </si>
  <si>
    <t>26.451011657714844</t>
  </si>
  <si>
    <t>26.4950008392334</t>
  </si>
  <si>
    <t>26.545000076293945</t>
  </si>
  <si>
    <t>24.784000396728516</t>
  </si>
  <si>
    <t>24.948999404907227</t>
  </si>
  <si>
    <t>699869000</t>
  </si>
  <si>
    <t>2022-02-16</t>
  </si>
  <si>
    <t>26.466983795166016</t>
  </si>
  <si>
    <t>26.51099967956543</t>
  </si>
  <si>
    <t>26.582000732421875</t>
  </si>
  <si>
    <t>25.552000045776367</t>
  </si>
  <si>
    <t>26.259000778198242</t>
  </si>
  <si>
    <t>732676000</t>
  </si>
  <si>
    <t>2022-02-17</t>
  </si>
  <si>
    <t>24.466310501098633</t>
  </si>
  <si>
    <t>24.506999969482422</t>
  </si>
  <si>
    <t>25.78499984741211</t>
  </si>
  <si>
    <t>24.165000915527344</t>
  </si>
  <si>
    <t>25.6299991607666</t>
  </si>
  <si>
    <t>810595000</t>
  </si>
  <si>
    <t>2022-02-18</t>
  </si>
  <si>
    <t>23.60274314880371</t>
  </si>
  <si>
    <t>23.642000198364258</t>
  </si>
  <si>
    <t>24.986000061035156</t>
  </si>
  <si>
    <t>23.100000381469727</t>
  </si>
  <si>
    <t>24.667999267578125</t>
  </si>
  <si>
    <t>761255000</t>
  </si>
  <si>
    <t>2022-02-22</t>
  </si>
  <si>
    <t>23.351165771484375</t>
  </si>
  <si>
    <t>23.389999389648438</t>
  </si>
  <si>
    <t>24.06399917602539</t>
  </si>
  <si>
    <t>23.0</t>
  </si>
  <si>
    <t>23.03499984741211</t>
  </si>
  <si>
    <t>633422000</t>
  </si>
  <si>
    <t>2022-02-23</t>
  </si>
  <si>
    <t>22.349828720092773</t>
  </si>
  <si>
    <t>22.386999130249023</t>
  </si>
  <si>
    <t>24.155000686645508</t>
  </si>
  <si>
    <t>22.301000595092773</t>
  </si>
  <si>
    <t>23.802000045776367</t>
  </si>
  <si>
    <t>566511000</t>
  </si>
  <si>
    <t>2022-02-24</t>
  </si>
  <si>
    <t>23.708574295043945</t>
  </si>
  <si>
    <t>23.74799919128418</t>
  </si>
  <si>
    <t>23.799999237060547</t>
  </si>
  <si>
    <t>20.889999389648438</t>
  </si>
  <si>
    <t>21.014999389648438</t>
  </si>
  <si>
    <t>735801000</t>
  </si>
  <si>
    <t>2022-02-25</t>
  </si>
  <si>
    <t>24.116886138916016</t>
  </si>
  <si>
    <t>24.156999588012695</t>
  </si>
  <si>
    <t>24.216999053955078</t>
  </si>
  <si>
    <t>23.381000518798828</t>
  </si>
  <si>
    <t>23.72100067138672</t>
  </si>
  <si>
    <t>528866000</t>
  </si>
  <si>
    <t>2022-02-28</t>
  </si>
  <si>
    <t>24.344512939453125</t>
  </si>
  <si>
    <t>24.385000228881836</t>
  </si>
  <si>
    <t>24.665000915527344</t>
  </si>
  <si>
    <t>23.707000732421875</t>
  </si>
  <si>
    <t>23.992000579833984</t>
  </si>
  <si>
    <t>477319000</t>
  </si>
  <si>
    <t>2022-03-01</t>
  </si>
  <si>
    <t>23.438018798828125</t>
  </si>
  <si>
    <t>23.476999282836914</t>
  </si>
  <si>
    <t>24.37700080871582</t>
  </si>
  <si>
    <t>23.131999969482422</t>
  </si>
  <si>
    <t>24.291000366210938</t>
  </si>
  <si>
    <t>412056000</t>
  </si>
  <si>
    <t>2022-03-02</t>
  </si>
  <si>
    <t>24.18390464782715</t>
  </si>
  <si>
    <t>24.219999313354492</t>
  </si>
  <si>
    <t>24.409000396728516</t>
  </si>
  <si>
    <t>23.415000915527344</t>
  </si>
  <si>
    <t>23.756000518798828</t>
  </si>
  <si>
    <t>389642000</t>
  </si>
  <si>
    <t>2022-03-03</t>
  </si>
  <si>
    <t>23.67865753173828</t>
  </si>
  <si>
    <t>23.714000701904297</t>
  </si>
  <si>
    <t>24.326000213623047</t>
  </si>
  <si>
    <t>23.4689998626709</t>
  </si>
  <si>
    <t>24.261999130249023</t>
  </si>
  <si>
    <t>365095000</t>
  </si>
  <si>
    <t>2022-03-04</t>
  </si>
  <si>
    <t>22.901819229125977</t>
  </si>
  <si>
    <t>22.93600082397461</t>
  </si>
  <si>
    <t>23.68000030517578</t>
  </si>
  <si>
    <t>23.384000778198242</t>
  </si>
  <si>
    <t>431415000</t>
  </si>
  <si>
    <t>2022-03-07</t>
  </si>
  <si>
    <t>21.320178985595703</t>
  </si>
  <si>
    <t>21.351999282836914</t>
  </si>
  <si>
    <t>23.033000946044922</t>
  </si>
  <si>
    <t>21.329999923706055</t>
  </si>
  <si>
    <t>22.816999435424805</t>
  </si>
  <si>
    <t>450821000</t>
  </si>
  <si>
    <t>2022-03-08</t>
  </si>
  <si>
    <t>21.48194122314453</t>
  </si>
  <si>
    <t>21.513999938964844</t>
  </si>
  <si>
    <t>22.37299919128418</t>
  </si>
  <si>
    <t>20.649999618530273</t>
  </si>
  <si>
    <t>21.30900001525879</t>
  </si>
  <si>
    <t>557467000</t>
  </si>
  <si>
    <t>2022-03-09</t>
  </si>
  <si>
    <t>22.97970199584961</t>
  </si>
  <si>
    <t>23.013999938964844</t>
  </si>
  <si>
    <t>23.219999313354492</t>
  </si>
  <si>
    <t>22.246999740600586</t>
  </si>
  <si>
    <t>492742000</t>
  </si>
  <si>
    <t>2022-03-10</t>
  </si>
  <si>
    <t>22.624237060546875</t>
  </si>
  <si>
    <t>22.658000946044922</t>
  </si>
  <si>
    <t>22.788000106811523</t>
  </si>
  <si>
    <t>21.881999969482422</t>
  </si>
  <si>
    <t>22.5310001373291</t>
  </si>
  <si>
    <t>428066000</t>
  </si>
  <si>
    <t>2022-03-11</t>
  </si>
  <si>
    <t>22.06707000732422</t>
  </si>
  <si>
    <t>22.100000381469727</t>
  </si>
  <si>
    <t>23.145000457763672</t>
  </si>
  <si>
    <t>22.04599952697754</t>
  </si>
  <si>
    <t>23.02199935913086</t>
  </si>
  <si>
    <t>367209000</t>
  </si>
  <si>
    <t>2022-03-14</t>
  </si>
  <si>
    <t>21.298213958740234</t>
  </si>
  <si>
    <t>22.261999130249023</t>
  </si>
  <si>
    <t>21.159000396728516</t>
  </si>
  <si>
    <t>21.868999481201172</t>
  </si>
  <si>
    <t>385354000</t>
  </si>
  <si>
    <t>2022-03-15</t>
  </si>
  <si>
    <t>22.938762664794922</t>
  </si>
  <si>
    <t>23.038000106811523</t>
  </si>
  <si>
    <t>21.51799964904785</t>
  </si>
  <si>
    <t>491996000</t>
  </si>
  <si>
    <t>2022-03-16</t>
  </si>
  <si>
    <t>24.45949363708496</t>
  </si>
  <si>
    <t>24.496000289916992</t>
  </si>
  <si>
    <t>24.597000122070312</t>
  </si>
  <si>
    <t>23.172000885009766</t>
  </si>
  <si>
    <t>23.5</t>
  </si>
  <si>
    <t>671422000</t>
  </si>
  <si>
    <t>2022-03-17</t>
  </si>
  <si>
    <t>24.72909164428711</t>
  </si>
  <si>
    <t>24.766000747680664</t>
  </si>
  <si>
    <t>24.841999053955078</t>
  </si>
  <si>
    <t>23.9060001373291</t>
  </si>
  <si>
    <t>24.1200008392334</t>
  </si>
  <si>
    <t>471941000</t>
  </si>
  <si>
    <t>2022-03-18</t>
  </si>
  <si>
    <t>26.41357421875</t>
  </si>
  <si>
    <t>26.452999114990234</t>
  </si>
  <si>
    <t>26.569000244140625</t>
  </si>
  <si>
    <t>24.624000549316406</t>
  </si>
  <si>
    <t>24.798999786376953</t>
  </si>
  <si>
    <t>730719000</t>
  </si>
  <si>
    <t>2022-03-21</t>
  </si>
  <si>
    <t>26.69415855407715</t>
  </si>
  <si>
    <t>26.733999252319336</t>
  </si>
  <si>
    <t>27.152000427246094</t>
  </si>
  <si>
    <t>25.966999053955078</t>
  </si>
  <si>
    <t>26.506999969482422</t>
  </si>
  <si>
    <t>591727000</t>
  </si>
  <si>
    <t>2022-03-22</t>
  </si>
  <si>
    <t>26.484472274780273</t>
  </si>
  <si>
    <t>26.52400016784668</t>
  </si>
  <si>
    <t>27.238000869750977</t>
  </si>
  <si>
    <t>26.07200050354004</t>
  </si>
  <si>
    <t>26.726999282836914</t>
  </si>
  <si>
    <t>547007000</t>
  </si>
  <si>
    <t>2022-03-23</t>
  </si>
  <si>
    <t>25.59579849243164</t>
  </si>
  <si>
    <t>25.634000778198242</t>
  </si>
  <si>
    <t>26.61199951171875</t>
  </si>
  <si>
    <t>25.575000762939453</t>
  </si>
  <si>
    <t>26.125999450683594</t>
  </si>
  <si>
    <t>502120000</t>
  </si>
  <si>
    <t>2022-03-24</t>
  </si>
  <si>
    <t>28.108047485351562</t>
  </si>
  <si>
    <t>28.149999618530273</t>
  </si>
  <si>
    <t>28.31999969482422</t>
  </si>
  <si>
    <t>25.906999588012695</t>
  </si>
  <si>
    <t>26.166000366210938</t>
  </si>
  <si>
    <t>877379000</t>
  </si>
  <si>
    <t>2022-03-25</t>
  </si>
  <si>
    <t>27.650733947753906</t>
  </si>
  <si>
    <t>27.691999435424805</t>
  </si>
  <si>
    <t>28.357999801635742</t>
  </si>
  <si>
    <t>27.270999908447266</t>
  </si>
  <si>
    <t>27.88599967956543</t>
  </si>
  <si>
    <t>579016000</t>
  </si>
  <si>
    <t>2022-03-28</t>
  </si>
  <si>
    <t>28.17694854736328</t>
  </si>
  <si>
    <t>28.2189998626709</t>
  </si>
  <si>
    <t>28.25</t>
  </si>
  <si>
    <t>27.20599937438965</t>
  </si>
  <si>
    <t>27.756000518798828</t>
  </si>
  <si>
    <t>425494000</t>
  </si>
  <si>
    <t>2022-03-29</t>
  </si>
  <si>
    <t>28.61329460144043</t>
  </si>
  <si>
    <t>28.6560001373291</t>
  </si>
  <si>
    <t>28.945999145507812</t>
  </si>
  <si>
    <t>27.979999542236328</t>
  </si>
  <si>
    <t>28.69499969482422</t>
  </si>
  <si>
    <t>488984000</t>
  </si>
  <si>
    <t>2022-03-30</t>
  </si>
  <si>
    <t>27.64873695373535</t>
  </si>
  <si>
    <t>27.690000534057617</t>
  </si>
  <si>
    <t>28.496000289916992</t>
  </si>
  <si>
    <t>27.503000259399414</t>
  </si>
  <si>
    <t>28.304000854492188</t>
  </si>
  <si>
    <t>463487000</t>
  </si>
  <si>
    <t>2022-03-31</t>
  </si>
  <si>
    <t>27.245332717895508</t>
  </si>
  <si>
    <t>27.285999298095703</t>
  </si>
  <si>
    <t>28.24799919128418</t>
  </si>
  <si>
    <t>27.270000457763672</t>
  </si>
  <si>
    <t>27.781999588012695</t>
  </si>
  <si>
    <t>523440000</t>
  </si>
  <si>
    <t>2022-04-01</t>
  </si>
  <si>
    <t>26.67219352722168</t>
  </si>
  <si>
    <t>26.711999893188477</t>
  </si>
  <si>
    <t>27.496000289916992</t>
  </si>
  <si>
    <t>26.267000198364258</t>
  </si>
  <si>
    <t>27.375</t>
  </si>
  <si>
    <t>517235000</t>
  </si>
  <si>
    <t>2022-04-04</t>
  </si>
  <si>
    <t>27.31922721862793</t>
  </si>
  <si>
    <t>27.360000610351562</t>
  </si>
  <si>
    <t>27.558000564575195</t>
  </si>
  <si>
    <t>26.613000869750977</t>
  </si>
  <si>
    <t>26.72800064086914</t>
  </si>
  <si>
    <t>397120000</t>
  </si>
  <si>
    <t>2022-04-05</t>
  </si>
  <si>
    <t>25.892356872558594</t>
  </si>
  <si>
    <t>25.930999755859375</t>
  </si>
  <si>
    <t>27.319000244140625</t>
  </si>
  <si>
    <t>25.81999969482422</t>
  </si>
  <si>
    <t>27.253999710083008</t>
  </si>
  <si>
    <t>436615000</t>
  </si>
  <si>
    <t>2022-04-06</t>
  </si>
  <si>
    <t>24.370624542236328</t>
  </si>
  <si>
    <t>24.406999588012695</t>
  </si>
  <si>
    <t>25.299999237060547</t>
  </si>
  <si>
    <t>24.003000259399414</t>
  </si>
  <si>
    <t>24.93400001525879</t>
  </si>
  <si>
    <t>703833000</t>
  </si>
  <si>
    <t>2022-04-07</t>
  </si>
  <si>
    <t>24.171924591064453</t>
  </si>
  <si>
    <t>24.20800018310547</t>
  </si>
  <si>
    <t>24.722000122070312</t>
  </si>
  <si>
    <t>23.47800064086914</t>
  </si>
  <si>
    <t>24.44099998474121</t>
  </si>
  <si>
    <t>557992000</t>
  </si>
  <si>
    <t>2022-04-08</t>
  </si>
  <si>
    <t>23.084548950195312</t>
  </si>
  <si>
    <t>23.118999481201172</t>
  </si>
  <si>
    <t>23.92300033569336</t>
  </si>
  <si>
    <t>23.062000274658203</t>
  </si>
  <si>
    <t>23.91699981689453</t>
  </si>
  <si>
    <t>524781000</t>
  </si>
  <si>
    <t>2022-04-11</t>
  </si>
  <si>
    <t>21.884336471557617</t>
  </si>
  <si>
    <t>21.91699981689453</t>
  </si>
  <si>
    <t>22.31999969482422</t>
  </si>
  <si>
    <t>22.214000701904297</t>
  </si>
  <si>
    <t>575207000</t>
  </si>
  <si>
    <t>2022-04-12</t>
  </si>
  <si>
    <t>21.471952438354492</t>
  </si>
  <si>
    <t>21.503999710083008</t>
  </si>
  <si>
    <t>22.725000381469727</t>
  </si>
  <si>
    <t>21.281999588012695</t>
  </si>
  <si>
    <t>22.53700065612793</t>
  </si>
  <si>
    <t>662258000</t>
  </si>
  <si>
    <t>2022-04-13</t>
  </si>
  <si>
    <t>22.169910430908203</t>
  </si>
  <si>
    <t>22.202999114990234</t>
  </si>
  <si>
    <t>22.5</t>
  </si>
  <si>
    <t>21.454999923706055</t>
  </si>
  <si>
    <t>21.72800064086914</t>
  </si>
  <si>
    <t>516943000</t>
  </si>
  <si>
    <t>2022-04-14</t>
  </si>
  <si>
    <t>21.226318359375</t>
  </si>
  <si>
    <t>21.257999420166016</t>
  </si>
  <si>
    <t>22.777000427246094</t>
  </si>
  <si>
    <t>21.163000106811523</t>
  </si>
  <si>
    <t>22.5049991607666</t>
  </si>
  <si>
    <t>569097000</t>
  </si>
  <si>
    <t>2022-04-18</t>
  </si>
  <si>
    <t>21.750539779663086</t>
  </si>
  <si>
    <t>21.783000946044922</t>
  </si>
  <si>
    <t>22.08799934387207</t>
  </si>
  <si>
    <t>21.07900047302246</t>
  </si>
  <si>
    <t>21.200000762939453</t>
  </si>
  <si>
    <t>525701000</t>
  </si>
  <si>
    <t>2022-04-19</t>
  </si>
  <si>
    <t>22.164918899536133</t>
  </si>
  <si>
    <t>22.197999954223633</t>
  </si>
  <si>
    <t>21.31399917602539</t>
  </si>
  <si>
    <t>21.719999313354492</t>
  </si>
  <si>
    <t>512781000</t>
  </si>
  <si>
    <t>2022-04-20</t>
  </si>
  <si>
    <t>21.449983596801758</t>
  </si>
  <si>
    <t>21.48200035095215</t>
  </si>
  <si>
    <t>22.670000076293945</t>
  </si>
  <si>
    <t>22.517000198364258</t>
  </si>
  <si>
    <t>468974000</t>
  </si>
  <si>
    <t>2022-04-21</t>
  </si>
  <si>
    <t>20.152923583984375</t>
  </si>
  <si>
    <t>20.183000564575195</t>
  </si>
  <si>
    <t>22.392000198364258</t>
  </si>
  <si>
    <t>20.0</t>
  </si>
  <si>
    <t>21.708999633789062</t>
  </si>
  <si>
    <t>656209000</t>
  </si>
  <si>
    <t>2022-04-22</t>
  </si>
  <si>
    <t>19.485916137695312</t>
  </si>
  <si>
    <t>19.514999389648438</t>
  </si>
  <si>
    <t>20.486000061035156</t>
  </si>
  <si>
    <t>20.30299949645996</t>
  </si>
  <si>
    <t>624713000</t>
  </si>
  <si>
    <t>2022-04-25</t>
  </si>
  <si>
    <t>19.87234115600586</t>
  </si>
  <si>
    <t>19.902000427246094</t>
  </si>
  <si>
    <t>19.94499969482422</t>
  </si>
  <si>
    <t>19.09600067138672</t>
  </si>
  <si>
    <t>19.20199966430664</t>
  </si>
  <si>
    <t>641566000</t>
  </si>
  <si>
    <t>2022-04-26</t>
  </si>
  <si>
    <t>18.760000228881836</t>
  </si>
  <si>
    <t>18.788000106811523</t>
  </si>
  <si>
    <t>19.788000106811523</t>
  </si>
  <si>
    <t>18.670000076293945</t>
  </si>
  <si>
    <t>19.718000411987305</t>
  </si>
  <si>
    <t>653143000</t>
  </si>
  <si>
    <t>2022-04-27</t>
  </si>
  <si>
    <t>18.387557983398438</t>
  </si>
  <si>
    <t>18.415000915527344</t>
  </si>
  <si>
    <t>19.16699981689453</t>
  </si>
  <si>
    <t>18.290000915527344</t>
  </si>
  <si>
    <t>18.597999572753906</t>
  </si>
  <si>
    <t>499460000</t>
  </si>
  <si>
    <t>2022-04-28</t>
  </si>
  <si>
    <t>19.752519607543945</t>
  </si>
  <si>
    <t>19.781999588012695</t>
  </si>
  <si>
    <t>20.03700065612793</t>
  </si>
  <si>
    <t>18.489999771118164</t>
  </si>
  <si>
    <t>18.966999053955078</t>
  </si>
  <si>
    <t>570327000</t>
  </si>
  <si>
    <t>2022-04-29</t>
  </si>
  <si>
    <t>18.519363403320312</t>
  </si>
  <si>
    <t>18.547000885009766</t>
  </si>
  <si>
    <t>20.128000259399414</t>
  </si>
  <si>
    <t>18.517000198364258</t>
  </si>
  <si>
    <t>19.402000427246094</t>
  </si>
  <si>
    <t>500435000</t>
  </si>
  <si>
    <t>2022-05-02</t>
  </si>
  <si>
    <t>19.50389289855957</t>
  </si>
  <si>
    <t>19.533000946044922</t>
  </si>
  <si>
    <t>19.573999404907227</t>
  </si>
  <si>
    <t>18.391000747680664</t>
  </si>
  <si>
    <t>18.541000366210938</t>
  </si>
  <si>
    <t>572049000</t>
  </si>
  <si>
    <t>2022-05-03</t>
  </si>
  <si>
    <t>19.572786331176758</t>
  </si>
  <si>
    <t>19.601999282836914</t>
  </si>
  <si>
    <t>19.825000762939453</t>
  </si>
  <si>
    <t>19.132999420166016</t>
  </si>
  <si>
    <t>19.399999618530273</t>
  </si>
  <si>
    <t>475751000</t>
  </si>
  <si>
    <t>2022-05-04</t>
  </si>
  <si>
    <t>20.30369758605957</t>
  </si>
  <si>
    <t>20.333999633789062</t>
  </si>
  <si>
    <t>20.399999618530273</t>
  </si>
  <si>
    <t>18.750999450683594</t>
  </si>
  <si>
    <t>19.92300033569336</t>
  </si>
  <si>
    <t>648855000</t>
  </si>
  <si>
    <t>2022-05-05</t>
  </si>
  <si>
    <t>18.815914154052734</t>
  </si>
  <si>
    <t>18.8439998626709</t>
  </si>
  <si>
    <t>19.924999237060547</t>
  </si>
  <si>
    <t>18.5</t>
  </si>
  <si>
    <t>19.867000579833984</t>
  </si>
  <si>
    <t>626331000</t>
  </si>
  <si>
    <t>2022-05-06</t>
  </si>
  <si>
    <t>18.64716911315918</t>
  </si>
  <si>
    <t>18.674999237060547</t>
  </si>
  <si>
    <t>19.511999130249023</t>
  </si>
  <si>
    <t>17.989999771118164</t>
  </si>
  <si>
    <t>18.736000061035156</t>
  </si>
  <si>
    <t>633297000</t>
  </si>
  <si>
    <t>2022-05-09</t>
  </si>
  <si>
    <t>16.92473793029785</t>
  </si>
  <si>
    <t>16.950000762939453</t>
  </si>
  <si>
    <t>18.2549991607666</t>
  </si>
  <si>
    <t>16.82699966430664</t>
  </si>
  <si>
    <t>18.034000396728516</t>
  </si>
  <si>
    <t>644455000</t>
  </si>
  <si>
    <t>2022-05-10</t>
  </si>
  <si>
    <t>17.568777084350586</t>
  </si>
  <si>
    <t>17.594999313354492</t>
  </si>
  <si>
    <t>18.197999954223633</t>
  </si>
  <si>
    <t>17.024999618530273</t>
  </si>
  <si>
    <t>17.68899917602539</t>
  </si>
  <si>
    <t>761474000</t>
  </si>
  <si>
    <t>2022-05-11</t>
  </si>
  <si>
    <t>16.605215072631836</t>
  </si>
  <si>
    <t>16.6299991607666</t>
  </si>
  <si>
    <t>17.753000259399414</t>
  </si>
  <si>
    <t>16.56800079345703</t>
  </si>
  <si>
    <t>17.347000122070312</t>
  </si>
  <si>
    <t>670167000</t>
  </si>
  <si>
    <t>2022-05-12</t>
  </si>
  <si>
    <t>16.150896072387695</t>
  </si>
  <si>
    <t>16.174999237060547</t>
  </si>
  <si>
    <t>16.788000106811523</t>
  </si>
  <si>
    <t>15.567000389099121</t>
  </si>
  <si>
    <t>16.2189998626709</t>
  </si>
  <si>
    <t>708728000</t>
  </si>
  <si>
    <t>2022-05-13</t>
  </si>
  <si>
    <t>17.67961311340332</t>
  </si>
  <si>
    <t>17.70599937438965</t>
  </si>
  <si>
    <t>17.92799949645996</t>
  </si>
  <si>
    <t>16.593000411987305</t>
  </si>
  <si>
    <t>670437000</t>
  </si>
  <si>
    <t>2022-05-16</t>
  </si>
  <si>
    <t>17.238269805908203</t>
  </si>
  <si>
    <t>17.263999938964844</t>
  </si>
  <si>
    <t>17.788000106811523</t>
  </si>
  <si>
    <t>17.106000900268555</t>
  </si>
  <si>
    <t>17.509000778198242</t>
  </si>
  <si>
    <t>521446000</t>
  </si>
  <si>
    <t>2022-05-17</t>
  </si>
  <si>
    <t>18.1499080657959</t>
  </si>
  <si>
    <t>18.177000045776367</t>
  </si>
  <si>
    <t>18.371000289916992</t>
  </si>
  <si>
    <t>17.634000778198242</t>
  </si>
  <si>
    <t>18.073999404907227</t>
  </si>
  <si>
    <t>585830000</t>
  </si>
  <si>
    <t>2022-05-18</t>
  </si>
  <si>
    <t>16.912757873535156</t>
  </si>
  <si>
    <t>16.937999725341797</t>
  </si>
  <si>
    <t>18.118000030517578</t>
  </si>
  <si>
    <t>16.86400032043457</t>
  </si>
  <si>
    <t>17.704999923706055</t>
  </si>
  <si>
    <t>545161000</t>
  </si>
  <si>
    <t>2022-05-19</t>
  </si>
  <si>
    <t>17.098482131958008</t>
  </si>
  <si>
    <t>17.124000549316406</t>
  </si>
  <si>
    <t>17.687000274658203</t>
  </si>
  <si>
    <t>16.733999252319336</t>
  </si>
  <si>
    <t>16.937000274658203</t>
  </si>
  <si>
    <t>621310000</t>
  </si>
  <si>
    <t>2022-05-20</t>
  </si>
  <si>
    <t>16.66912269592285</t>
  </si>
  <si>
    <t>16.694000244140625</t>
  </si>
  <si>
    <t>17.40999984741211</t>
  </si>
  <si>
    <t>15.755000114440918</t>
  </si>
  <si>
    <t>17.332000732421875</t>
  </si>
  <si>
    <t>739105000</t>
  </si>
  <si>
    <t>2022-05-23</t>
  </si>
  <si>
    <t>16.872819900512695</t>
  </si>
  <si>
    <t>16.898000717163086</t>
  </si>
  <si>
    <t>16.915000915527344</t>
  </si>
  <si>
    <t>16.179000854492188</t>
  </si>
  <si>
    <t>16.27400016784668</t>
  </si>
  <si>
    <t>639889000</t>
  </si>
  <si>
    <t>2022-05-24</t>
  </si>
  <si>
    <t>16.129926681518555</t>
  </si>
  <si>
    <t>16.15399932861328</t>
  </si>
  <si>
    <t>16.597000122070312</t>
  </si>
  <si>
    <t>15.779999732971191</t>
  </si>
  <si>
    <t>16.510000228881836</t>
  </si>
  <si>
    <t>588550000</t>
  </si>
  <si>
    <t>2022-05-25</t>
  </si>
  <si>
    <t>16.949703216552734</t>
  </si>
  <si>
    <t>16.975000381469727</t>
  </si>
  <si>
    <t>17.111000061035156</t>
  </si>
  <si>
    <t>16.0</t>
  </si>
  <si>
    <t>16.020000457763672</t>
  </si>
  <si>
    <t>781132000</t>
  </si>
  <si>
    <t>2022-05-26</t>
  </si>
  <si>
    <t>17.82439422607422</t>
  </si>
  <si>
    <t>17.85099983215332</t>
  </si>
  <si>
    <t>18.091999053955078</t>
  </si>
  <si>
    <t>16.02199935913086</t>
  </si>
  <si>
    <t>16.035999298095703</t>
  </si>
  <si>
    <t>996575000</t>
  </si>
  <si>
    <t>2022-05-27</t>
  </si>
  <si>
    <t>18.78296661376953</t>
  </si>
  <si>
    <t>18.81100082397461</t>
  </si>
  <si>
    <t>18.881000518798828</t>
  </si>
  <si>
    <t>18.100000381469727</t>
  </si>
  <si>
    <t>18.18600082397461</t>
  </si>
  <si>
    <t>738379000</t>
  </si>
  <si>
    <t>2022-05-31</t>
  </si>
  <si>
    <t>18.64417266845703</t>
  </si>
  <si>
    <t>18.672000885009766</t>
  </si>
  <si>
    <t>19.200000762939453</t>
  </si>
  <si>
    <t>18.350000381469727</t>
  </si>
  <si>
    <t>18.979999542236328</t>
  </si>
  <si>
    <t>664100000</t>
  </si>
  <si>
    <t>2022-06-01</t>
  </si>
  <si>
    <t>18.29269790649414</t>
  </si>
  <si>
    <t>18.31999969482422</t>
  </si>
  <si>
    <t>19.05299949645996</t>
  </si>
  <si>
    <t>18.121999740600586</t>
  </si>
  <si>
    <t>18.724000930786133</t>
  </si>
  <si>
    <t>544514000</t>
  </si>
  <si>
    <t>2022-06-02</t>
  </si>
  <si>
    <t>19.56280517578125</t>
  </si>
  <si>
    <t>19.591999053955078</t>
  </si>
  <si>
    <t>19.618999481201172</t>
  </si>
  <si>
    <t>18.29199981689453</t>
  </si>
  <si>
    <t>648656000</t>
  </si>
  <si>
    <t>2022-06-03</t>
  </si>
  <si>
    <t>18.692102432250977</t>
  </si>
  <si>
    <t>18.719999313354492</t>
  </si>
  <si>
    <t>19.332000732421875</t>
  </si>
  <si>
    <t>18.52199935913086</t>
  </si>
  <si>
    <t>19.082000732421875</t>
  </si>
  <si>
    <t>598779000</t>
  </si>
  <si>
    <t>2022-06-06</t>
  </si>
  <si>
    <t>18.75800323486328</t>
  </si>
  <si>
    <t>18.785999298095703</t>
  </si>
  <si>
    <t>19.336999893188477</t>
  </si>
  <si>
    <t>18.56399917602539</t>
  </si>
  <si>
    <t>19.138999938964844</t>
  </si>
  <si>
    <t>422406000</t>
  </si>
  <si>
    <t>2022-06-07</t>
  </si>
  <si>
    <t>18.897796630859375</t>
  </si>
  <si>
    <t>18.926000595092773</t>
  </si>
  <si>
    <t>18.187999725341797</t>
  </si>
  <si>
    <t>18.472000122070312</t>
  </si>
  <si>
    <t>388914000</t>
  </si>
  <si>
    <t>2022-06-08</t>
  </si>
  <si>
    <t>18.624147415161133</t>
  </si>
  <si>
    <t>18.648000717163086</t>
  </si>
  <si>
    <t>19.18000030517578</t>
  </si>
  <si>
    <t>18.53499984741211</t>
  </si>
  <si>
    <t>18.798999786376953</t>
  </si>
  <si>
    <t>363252000</t>
  </si>
  <si>
    <t>2022-06-09</t>
  </si>
  <si>
    <t>18.024911880493164</t>
  </si>
  <si>
    <t>18.04800033569336</t>
  </si>
  <si>
    <t>18.933000564575195</t>
  </si>
  <si>
    <t>18.041000366210938</t>
  </si>
  <si>
    <t>18.481000900268555</t>
  </si>
  <si>
    <t>395574000</t>
  </si>
  <si>
    <t>2022-06-10</t>
  </si>
  <si>
    <t>16.952289581298828</t>
  </si>
  <si>
    <t>16.974000930786133</t>
  </si>
  <si>
    <t>17.69700050354004</t>
  </si>
  <si>
    <t>16.868999481201172</t>
  </si>
  <si>
    <t>17.600000381469727</t>
  </si>
  <si>
    <t>465248000</t>
  </si>
  <si>
    <t>2022-06-13</t>
  </si>
  <si>
    <t>15.626984596252441</t>
  </si>
  <si>
    <t>15.647000312805176</t>
  </si>
  <si>
    <t>16.312000274658203</t>
  </si>
  <si>
    <t>15.605999946594238</t>
  </si>
  <si>
    <t>604153000</t>
  </si>
  <si>
    <t>2022-06-14</t>
  </si>
  <si>
    <t>15.815742492675781</t>
  </si>
  <si>
    <t>15.836000442504883</t>
  </si>
  <si>
    <t>16.06599998474121</t>
  </si>
  <si>
    <t>15.411999702453613</t>
  </si>
  <si>
    <t>15.730999946594238</t>
  </si>
  <si>
    <t>469680000</t>
  </si>
  <si>
    <t>2022-06-15</t>
  </si>
  <si>
    <t>16.505859375</t>
  </si>
  <si>
    <t>16.527000427246094</t>
  </si>
  <si>
    <t>16.868000030517578</t>
  </si>
  <si>
    <t>15.925999641418457</t>
  </si>
  <si>
    <t>16.094999313354492</t>
  </si>
  <si>
    <t>563936000</t>
  </si>
  <si>
    <t>2022-06-16</t>
  </si>
  <si>
    <t>15.581042289733887</t>
  </si>
  <si>
    <t>15.60099983215332</t>
  </si>
  <si>
    <t>15.942000389099121</t>
  </si>
  <si>
    <t>15.401000022888184</t>
  </si>
  <si>
    <t>15.859999656677246</t>
  </si>
  <si>
    <t>545749000</t>
  </si>
  <si>
    <t>2022-06-17</t>
  </si>
  <si>
    <t>15.859686851501465</t>
  </si>
  <si>
    <t>15.880000114440918</t>
  </si>
  <si>
    <t>15.994999885559082</t>
  </si>
  <si>
    <t>15.32800006866455</t>
  </si>
  <si>
    <t>15.64799976348877</t>
  </si>
  <si>
    <t>630334000</t>
  </si>
  <si>
    <t>2022-06-21</t>
  </si>
  <si>
    <t>16.544809341430664</t>
  </si>
  <si>
    <t>16.56599998474121</t>
  </si>
  <si>
    <t>17.007999420166016</t>
  </si>
  <si>
    <t>16.406999588012695</t>
  </si>
  <si>
    <t>16.475000381469727</t>
  </si>
  <si>
    <t>483089000</t>
  </si>
  <si>
    <t>2022-06-22</t>
  </si>
  <si>
    <t>16.339073181152344</t>
  </si>
  <si>
    <t>16.360000610351562</t>
  </si>
  <si>
    <t>16.66200065612793</t>
  </si>
  <si>
    <t>16.18000030517578</t>
  </si>
  <si>
    <t>16.22599983215332</t>
  </si>
  <si>
    <t>437135000</t>
  </si>
  <si>
    <t>2022-06-23</t>
  </si>
  <si>
    <t>16.204242706298828</t>
  </si>
  <si>
    <t>16.225000381469727</t>
  </si>
  <si>
    <t>16.584999084472656</t>
  </si>
  <si>
    <t>15.852999687194824</t>
  </si>
  <si>
    <t>16.518999099731445</t>
  </si>
  <si>
    <t>463680000</t>
  </si>
  <si>
    <t>2022-06-24</t>
  </si>
  <si>
    <t>17.10409164428711</t>
  </si>
  <si>
    <t>17.125999450683594</t>
  </si>
  <si>
    <t>17.139999389648438</t>
  </si>
  <si>
    <t>16.309999465942383</t>
  </si>
  <si>
    <t>16.5</t>
  </si>
  <si>
    <t>472153000</t>
  </si>
  <si>
    <t>2022-06-27</t>
  </si>
  <si>
    <t>16.84741973876953</t>
  </si>
  <si>
    <t>17.329999923706055</t>
  </si>
  <si>
    <t>16.625999450683594</t>
  </si>
  <si>
    <t>17.312000274658203</t>
  </si>
  <si>
    <t>427968000</t>
  </si>
  <si>
    <t>2022-06-28</t>
  </si>
  <si>
    <t>15.961556434631348</t>
  </si>
  <si>
    <t>15.982000350952148</t>
  </si>
  <si>
    <t>17.20199966430664</t>
  </si>
  <si>
    <t>15.944999694824219</t>
  </si>
  <si>
    <t>16.899999618530273</t>
  </si>
  <si>
    <t>461149000</t>
  </si>
  <si>
    <t>2022-06-29</t>
  </si>
  <si>
    <t>15.52211856842041</t>
  </si>
  <si>
    <t>15.541999816894531</t>
  </si>
  <si>
    <t>15.819999694824219</t>
  </si>
  <si>
    <t>15.170000076293945</t>
  </si>
  <si>
    <t>15.814000129699707</t>
  </si>
  <si>
    <t>482352000</t>
  </si>
  <si>
    <t>2022-06-30</t>
  </si>
  <si>
    <t>15.139609336853027</t>
  </si>
  <si>
    <t>15.159000396728516</t>
  </si>
  <si>
    <t>14.862000465393066</t>
  </si>
  <si>
    <t>15.361000061035156</t>
  </si>
  <si>
    <t>686070000</t>
  </si>
  <si>
    <t>2022-07-01</t>
  </si>
  <si>
    <t>14.50442123413086</t>
  </si>
  <si>
    <t>15.062999725341797</t>
  </si>
  <si>
    <t>14.392000198364258</t>
  </si>
  <si>
    <t>14.89900016784668</t>
  </si>
  <si>
    <t>577610000</t>
  </si>
  <si>
    <t>2022-07-05</t>
  </si>
  <si>
    <t>14.944859504699707</t>
  </si>
  <si>
    <t>14.96399974822998</t>
  </si>
  <si>
    <t>14.970999717712402</t>
  </si>
  <si>
    <t>14.055000305175781</t>
  </si>
  <si>
    <t>651397000</t>
  </si>
  <si>
    <t>2022-07-06</t>
  </si>
  <si>
    <t>15.11064624786377</t>
  </si>
  <si>
    <t>15.130000114440918</t>
  </si>
  <si>
    <t>15.319000244140625</t>
  </si>
  <si>
    <t>14.788999557495117</t>
  </si>
  <si>
    <t>15.010000228881836</t>
  </si>
  <si>
    <t>529066000</t>
  </si>
  <si>
    <t>2022-07-07</t>
  </si>
  <si>
    <t>15.837716102600098</t>
  </si>
  <si>
    <t>15.857999801635742</t>
  </si>
  <si>
    <t>15.388999938964844</t>
  </si>
  <si>
    <t>15.456000328063965</t>
  </si>
  <si>
    <t>492903000</t>
  </si>
  <si>
    <t>2022-07-08</t>
  </si>
  <si>
    <t>15.817741394042969</t>
  </si>
  <si>
    <t>15.838000297546387</t>
  </si>
  <si>
    <t>16.03700065612793</t>
  </si>
  <si>
    <t>15.430000305175781</t>
  </si>
  <si>
    <t>467972000</t>
  </si>
  <si>
    <t>2022-07-11</t>
  </si>
  <si>
    <t>15.132617950439453</t>
  </si>
  <si>
    <t>15.152000427246094</t>
  </si>
  <si>
    <t>15.527000427246094</t>
  </si>
  <si>
    <t>15.038000106811523</t>
  </si>
  <si>
    <t>15.526000022888184</t>
  </si>
  <si>
    <t>437321000</t>
  </si>
  <si>
    <t>2022-07-12</t>
  </si>
  <si>
    <t>15.062707901000977</t>
  </si>
  <si>
    <t>15.081999778747559</t>
  </si>
  <si>
    <t>15.430999755859375</t>
  </si>
  <si>
    <t>14.876999855041504</t>
  </si>
  <si>
    <t>15.267999649047852</t>
  </si>
  <si>
    <t>458483000</t>
  </si>
  <si>
    <t>2022-07-13</t>
  </si>
  <si>
    <t>15.14460277557373</t>
  </si>
  <si>
    <t>15.163999557495117</t>
  </si>
  <si>
    <t>14.46500015258789</t>
  </si>
  <si>
    <t>14.59000015258789</t>
  </si>
  <si>
    <t>521918000</t>
  </si>
  <si>
    <t>2022-07-14</t>
  </si>
  <si>
    <t>15.352335929870605</t>
  </si>
  <si>
    <t>15.371999740600586</t>
  </si>
  <si>
    <t>15.472999572753906</t>
  </si>
  <si>
    <t>14.727999687194824</t>
  </si>
  <si>
    <t>15.107999801635742</t>
  </si>
  <si>
    <t>456235000</t>
  </si>
  <si>
    <t>2022-07-15</t>
  </si>
  <si>
    <t>15.741835594177246</t>
  </si>
  <si>
    <t>15.76200008392334</t>
  </si>
  <si>
    <t>15.781999588012695</t>
  </si>
  <si>
    <t>15.444999694824219</t>
  </si>
  <si>
    <t>15.659000396728516</t>
  </si>
  <si>
    <t>385935000</t>
  </si>
  <si>
    <t>2022-07-18</t>
  </si>
  <si>
    <t>16.080402374267578</t>
  </si>
  <si>
    <t>16.10099983215332</t>
  </si>
  <si>
    <t>16.89699935913086</t>
  </si>
  <si>
    <t>16.00200080871582</t>
  </si>
  <si>
    <t>16.302000045776367</t>
  </si>
  <si>
    <t>670517000</t>
  </si>
  <si>
    <t>2022-07-19</t>
  </si>
  <si>
    <t>16.97026252746582</t>
  </si>
  <si>
    <t>16.992000579833984</t>
  </si>
  <si>
    <t>17.110000610351562</t>
  </si>
  <si>
    <t>16.172000885009766</t>
  </si>
  <si>
    <t>16.486000061035156</t>
  </si>
  <si>
    <t>702366000</t>
  </si>
  <si>
    <t>2022-07-20</t>
  </si>
  <si>
    <t>17.78421974182129</t>
  </si>
  <si>
    <t>17.80699920654297</t>
  </si>
  <si>
    <t>17.933000564575195</t>
  </si>
  <si>
    <t>16.801000595092773</t>
  </si>
  <si>
    <t>16.94700050354004</t>
  </si>
  <si>
    <t>760538000</t>
  </si>
  <si>
    <t>2022-07-21</t>
  </si>
  <si>
    <t>18.026906967163086</t>
  </si>
  <si>
    <t>18.049999237060547</t>
  </si>
  <si>
    <t>18.143999099731445</t>
  </si>
  <si>
    <t>17.545000076293945</t>
  </si>
  <si>
    <t>17.885000228881836</t>
  </si>
  <si>
    <t>557049000</t>
  </si>
  <si>
    <t>2022-07-22</t>
  </si>
  <si>
    <t>17.296844482421875</t>
  </si>
  <si>
    <t>17.319000244140625</t>
  </si>
  <si>
    <t>17.966999053955078</t>
  </si>
  <si>
    <t>17.136999130249023</t>
  </si>
  <si>
    <t>17.89299964904785</t>
  </si>
  <si>
    <t>536671000</t>
  </si>
  <si>
    <t>2022-07-25</t>
  </si>
  <si>
    <t>17.00222396850586</t>
  </si>
  <si>
    <t>17.02400016784668</t>
  </si>
  <si>
    <t>16.64900016784668</t>
  </si>
  <si>
    <t>17.018999099731445</t>
  </si>
  <si>
    <t>480748000</t>
  </si>
  <si>
    <t>2022-07-26</t>
  </si>
  <si>
    <t>16.511852264404297</t>
  </si>
  <si>
    <t>16.533000946044922</t>
  </si>
  <si>
    <t>16.91900062561035</t>
  </si>
  <si>
    <t>16.47800064086914</t>
  </si>
  <si>
    <t>16.888999938964844</t>
  </si>
  <si>
    <t>397865000</t>
  </si>
  <si>
    <t>2022-07-27</t>
  </si>
  <si>
    <t>17.76724624633789</t>
  </si>
  <si>
    <t>17.790000915527344</t>
  </si>
  <si>
    <t>17.93600082397461</t>
  </si>
  <si>
    <t>16.913000106811523</t>
  </si>
  <si>
    <t>17.031999588012695</t>
  </si>
  <si>
    <t>569776000</t>
  </si>
  <si>
    <t>2022-07-28</t>
  </si>
  <si>
    <t>17.96099281311035</t>
  </si>
  <si>
    <t>17.983999252319336</t>
  </si>
  <si>
    <t>18.139999389648438</t>
  </si>
  <si>
    <t>17.440000534057617</t>
  </si>
  <si>
    <t>17.975000381469727</t>
  </si>
  <si>
    <t>474646000</t>
  </si>
  <si>
    <t>2022-07-29</t>
  </si>
  <si>
    <t>18.139766693115234</t>
  </si>
  <si>
    <t>18.163000106811523</t>
  </si>
  <si>
    <t>18.243999481201172</t>
  </si>
  <si>
    <t>17.691999435424805</t>
  </si>
  <si>
    <t>17.812999725341797</t>
  </si>
  <si>
    <t>435460000</t>
  </si>
  <si>
    <t>2022-08-01</t>
  </si>
  <si>
    <t>18.41741180419922</t>
  </si>
  <si>
    <t>18.44099998474121</t>
  </si>
  <si>
    <t>18.84600067138672</t>
  </si>
  <si>
    <t>18.18199920654297</t>
  </si>
  <si>
    <t>476469000</t>
  </si>
  <si>
    <t>2022-08-02</t>
  </si>
  <si>
    <t>18.502304077148438</t>
  </si>
  <si>
    <t>18.525999069213867</t>
  </si>
  <si>
    <t>18.937999725341797</t>
  </si>
  <si>
    <t>489527000</t>
  </si>
  <si>
    <t>2022-08-03</t>
  </si>
  <si>
    <t>18.868831634521484</t>
  </si>
  <si>
    <t>18.89299964904785</t>
  </si>
  <si>
    <t>18.968000411987305</t>
  </si>
  <si>
    <t>18.136999130249023</t>
  </si>
  <si>
    <t>18.18400001525879</t>
  </si>
  <si>
    <t>418146000</t>
  </si>
  <si>
    <t>2022-08-04</t>
  </si>
  <si>
    <t>19.190420150756836</t>
  </si>
  <si>
    <t>19.21500015258789</t>
  </si>
  <si>
    <t>19.27400016784668</t>
  </si>
  <si>
    <t>18.849000930786133</t>
  </si>
  <si>
    <t>409652000</t>
  </si>
  <si>
    <t>2022-08-05</t>
  </si>
  <si>
    <t>18.964710235595703</t>
  </si>
  <si>
    <t>18.98900032043457</t>
  </si>
  <si>
    <t>19.229000091552734</t>
  </si>
  <si>
    <t>18.666000366210938</t>
  </si>
  <si>
    <t>18.809999465942383</t>
  </si>
  <si>
    <t>386068000</t>
  </si>
  <si>
    <t>2022-08-08</t>
  </si>
  <si>
    <t>17.770238876342773</t>
  </si>
  <si>
    <t>17.792999267578125</t>
  </si>
  <si>
    <t>18.23900032043457</t>
  </si>
  <si>
    <t>17.242000579833984</t>
  </si>
  <si>
    <t>17.50200080871582</t>
  </si>
  <si>
    <t>981859000</t>
  </si>
  <si>
    <t>2022-08-09</t>
  </si>
  <si>
    <t>17.064144134521484</t>
  </si>
  <si>
    <t>17.086000442504883</t>
  </si>
  <si>
    <t>17.44700050354004</t>
  </si>
  <si>
    <t>16.724000930786133</t>
  </si>
  <si>
    <t>17.25200080871582</t>
  </si>
  <si>
    <t>668263000</t>
  </si>
  <si>
    <t>2022-08-10</t>
  </si>
  <si>
    <t>18.073850631713867</t>
  </si>
  <si>
    <t>18.097000122070312</t>
  </si>
  <si>
    <t>17.316999435424805</t>
  </si>
  <si>
    <t>17.697999954223633</t>
  </si>
  <si>
    <t>597422000</t>
  </si>
  <si>
    <t>2022-08-11</t>
  </si>
  <si>
    <t>17.919050216674805</t>
  </si>
  <si>
    <t>17.941999435424805</t>
  </si>
  <si>
    <t>18.707000732421875</t>
  </si>
  <si>
    <t>17.875999450683594</t>
  </si>
  <si>
    <t>18.131000518798828</t>
  </si>
  <si>
    <t>509327000</t>
  </si>
  <si>
    <t>2022-08-12</t>
  </si>
  <si>
    <t>18.685068130493164</t>
  </si>
  <si>
    <t>18.708999633789062</t>
  </si>
  <si>
    <t>18.718000411987305</t>
  </si>
  <si>
    <t>17.952999114990234</t>
  </si>
  <si>
    <t>18.15999984741211</t>
  </si>
  <si>
    <t>478094000</t>
  </si>
  <si>
    <t>2022-08-15</t>
  </si>
  <si>
    <t>19.007654190063477</t>
  </si>
  <si>
    <t>19.031999588012695</t>
  </si>
  <si>
    <t>19.163999557495117</t>
  </si>
  <si>
    <t>18.613000869750977</t>
  </si>
  <si>
    <t>18.701000213623047</t>
  </si>
  <si>
    <t>457666000</t>
  </si>
  <si>
    <t>2022-08-16</t>
  </si>
  <si>
    <t>18.85485076904297</t>
  </si>
  <si>
    <t>18.878999710083008</t>
  </si>
  <si>
    <t>19.142000198364258</t>
  </si>
  <si>
    <t>18.500999450683594</t>
  </si>
  <si>
    <t>18.920000076293945</t>
  </si>
  <si>
    <t>451240000</t>
  </si>
  <si>
    <t>2022-08-17</t>
  </si>
  <si>
    <t>18.31154441833496</t>
  </si>
  <si>
    <t>18.334999084472656</t>
  </si>
  <si>
    <t>18.687999725341797</t>
  </si>
  <si>
    <t>18.145000457763672</t>
  </si>
  <si>
    <t>18.523000717163086</t>
  </si>
  <si>
    <t>446799000</t>
  </si>
  <si>
    <t>2022-08-18</t>
  </si>
  <si>
    <t>18.748991012573242</t>
  </si>
  <si>
    <t>18.773000717163086</t>
  </si>
  <si>
    <t>18.864999771118164</t>
  </si>
  <si>
    <t>18.183000564575195</t>
  </si>
  <si>
    <t>18.301000595092773</t>
  </si>
  <si>
    <t>415447000</t>
  </si>
  <si>
    <t>2022-08-19</t>
  </si>
  <si>
    <t>17.8261661529541</t>
  </si>
  <si>
    <t>17.849000930786133</t>
  </si>
  <si>
    <t>18.520000457763672</t>
  </si>
  <si>
    <t>17.770000457763672</t>
  </si>
  <si>
    <t>18.4060001373291</t>
  </si>
  <si>
    <t>441588000</t>
  </si>
  <si>
    <t>2022-08-22</t>
  </si>
  <si>
    <t>17.012210845947266</t>
  </si>
  <si>
    <t>17.034000396728516</t>
  </si>
  <si>
    <t>17.558000564575195</t>
  </si>
  <si>
    <t>16.965999603271484</t>
  </si>
  <si>
    <t>17.489999771118164</t>
  </si>
  <si>
    <t>409593000</t>
  </si>
  <si>
    <t>2022-08-23</t>
  </si>
  <si>
    <t>17.159021377563477</t>
  </si>
  <si>
    <t>17.180999755859375</t>
  </si>
  <si>
    <t>17.46500015258789</t>
  </si>
  <si>
    <t>16.969999313354492</t>
  </si>
  <si>
    <t>16.98900032043457</t>
  </si>
  <si>
    <t>369986000</t>
  </si>
  <si>
    <t>2022-08-24</t>
  </si>
  <si>
    <t>17.199970245361328</t>
  </si>
  <si>
    <t>17.222000122070312</t>
  </si>
  <si>
    <t>17.4060001373291</t>
  </si>
  <si>
    <t>16.895000457763672</t>
  </si>
  <si>
    <t>17.011999130249023</t>
  </si>
  <si>
    <t>522661000</t>
  </si>
  <si>
    <t>2022-08-25</t>
  </si>
  <si>
    <t>17.890085220336914</t>
  </si>
  <si>
    <t>17.913000106811523</t>
  </si>
  <si>
    <t>17.94700050354004</t>
  </si>
  <si>
    <t>16.83300018310547</t>
  </si>
  <si>
    <t>16.8439998626709</t>
  </si>
  <si>
    <t>770691000</t>
  </si>
  <si>
    <t>2022-08-26</t>
  </si>
  <si>
    <t>16.239198684692383</t>
  </si>
  <si>
    <t>16.260000228881836</t>
  </si>
  <si>
    <t>17.923999786376953</t>
  </si>
  <si>
    <t>16.23699951171875</t>
  </si>
  <si>
    <t>17.85700035095215</t>
  </si>
  <si>
    <t>769127000</t>
  </si>
  <si>
    <t>2022-08-29</t>
  </si>
  <si>
    <t>15.780787467956543</t>
  </si>
  <si>
    <t>15.800999641418457</t>
  </si>
  <si>
    <t>16.33799934387207</t>
  </si>
  <si>
    <t>15.767000198364258</t>
  </si>
  <si>
    <t>496132000</t>
  </si>
  <si>
    <t>2022-08-30</t>
  </si>
  <si>
    <t>15.44821548461914</t>
  </si>
  <si>
    <t>15.468000411987305</t>
  </si>
  <si>
    <t>16.038999557495117</t>
  </si>
  <si>
    <t>15.182000160217285</t>
  </si>
  <si>
    <t>15.960000038146973</t>
  </si>
  <si>
    <t>530181000</t>
  </si>
  <si>
    <t>2022-08-31</t>
  </si>
  <si>
    <t>15.074690818786621</t>
  </si>
  <si>
    <t>15.093999862670898</t>
  </si>
  <si>
    <t>15.539999961853027</t>
  </si>
  <si>
    <t>14.958999633789062</t>
  </si>
  <si>
    <t>15.383999824523926</t>
  </si>
  <si>
    <t>573710000</t>
  </si>
  <si>
    <t>2022-09-01</t>
  </si>
  <si>
    <t>13.919172286987305</t>
  </si>
  <si>
    <t>13.937000274658203</t>
  </si>
  <si>
    <t>14.380000114440918</t>
  </si>
  <si>
    <t>13.270000457763672</t>
  </si>
  <si>
    <t>14.208999633789062</t>
  </si>
  <si>
    <t>1178865000</t>
  </si>
  <si>
    <t>2022-09-02</t>
  </si>
  <si>
    <t>13.629542350769043</t>
  </si>
  <si>
    <t>13.647000312805176</t>
  </si>
  <si>
    <t>14.170999526977539</t>
  </si>
  <si>
    <t>14.100000381469727</t>
  </si>
  <si>
    <t>743157000</t>
  </si>
  <si>
    <t>2022-09-06</t>
  </si>
  <si>
    <t>13.447774887084961</t>
  </si>
  <si>
    <t>13.46500015258789</t>
  </si>
  <si>
    <t>13.779000282287598</t>
  </si>
  <si>
    <t>13.35099983215332</t>
  </si>
  <si>
    <t>13.730999946594238</t>
  </si>
  <si>
    <t>535751000</t>
  </si>
  <si>
    <t>2022-09-07</t>
  </si>
  <si>
    <t>13.70052719116211</t>
  </si>
  <si>
    <t>13.71399974822998</t>
  </si>
  <si>
    <t>13.838000297546387</t>
  </si>
  <si>
    <t>13.345999717712402</t>
  </si>
  <si>
    <t>13.562999725341797</t>
  </si>
  <si>
    <t>512657000</t>
  </si>
  <si>
    <t>2022-09-08</t>
  </si>
  <si>
    <t>13.976255416870117</t>
  </si>
  <si>
    <t>13.989999771118164</t>
  </si>
  <si>
    <t>14.008000373840332</t>
  </si>
  <si>
    <t>13.369000434875488</t>
  </si>
  <si>
    <t>624873000</t>
  </si>
  <si>
    <t>2022-09-09</t>
  </si>
  <si>
    <t>14.372864723205566</t>
  </si>
  <si>
    <t>14.38700008392334</t>
  </si>
  <si>
    <t>14.473999977111816</t>
  </si>
  <si>
    <t>14.12600040435791</t>
  </si>
  <si>
    <t>486612000</t>
  </si>
  <si>
    <t>2022-09-12</t>
  </si>
  <si>
    <t>14.49074935913086</t>
  </si>
  <si>
    <t>14.505000114440918</t>
  </si>
  <si>
    <t>14.54699993133545</t>
  </si>
  <si>
    <t>14.197999954223633</t>
  </si>
  <si>
    <t>14.369000434875488</t>
  </si>
  <si>
    <t>484159000</t>
  </si>
  <si>
    <t>2022-09-13</t>
  </si>
  <si>
    <t>13.1181001663208</t>
  </si>
  <si>
    <t>13.130999565124512</t>
  </si>
  <si>
    <t>13.92199993133545</t>
  </si>
  <si>
    <t>13.098999977111816</t>
  </si>
  <si>
    <t>13.802000045776367</t>
  </si>
  <si>
    <t>714956000</t>
  </si>
  <si>
    <t>2022-09-14</t>
  </si>
  <si>
    <t>13.115102767944336</t>
  </si>
  <si>
    <t>13.128000259399414</t>
  </si>
  <si>
    <t>13.289999961853027</t>
  </si>
  <si>
    <t>12.913000106811523</t>
  </si>
  <si>
    <t>13.253999710083008</t>
  </si>
  <si>
    <t>588507000</t>
  </si>
  <si>
    <t>2022-09-15</t>
  </si>
  <si>
    <t>12.916298866271973</t>
  </si>
  <si>
    <t>12.928999900817871</t>
  </si>
  <si>
    <t>13.232999801635742</t>
  </si>
  <si>
    <t>12.789999961853027</t>
  </si>
  <si>
    <t>13.015000343322754</t>
  </si>
  <si>
    <t>523625000</t>
  </si>
  <si>
    <t>2022-09-16</t>
  </si>
  <si>
    <t>13.18503475189209</t>
  </si>
  <si>
    <t>13.211999893188477</t>
  </si>
  <si>
    <t>12.616999626159668</t>
  </si>
  <si>
    <t>12.741999626159668</t>
  </si>
  <si>
    <t>670751000</t>
  </si>
  <si>
    <t>2022-09-19</t>
  </si>
  <si>
    <t>13.368853569030762</t>
  </si>
  <si>
    <t>13.381999969482422</t>
  </si>
  <si>
    <t>13.463000297546387</t>
  </si>
  <si>
    <t>13.010000228881836</t>
  </si>
  <si>
    <t>13.01200008392334</t>
  </si>
  <si>
    <t>569685000</t>
  </si>
  <si>
    <t>2022-09-20</t>
  </si>
  <si>
    <t>13.163056373596191</t>
  </si>
  <si>
    <t>13.175999641418457</t>
  </si>
  <si>
    <t>13.482999801635742</t>
  </si>
  <si>
    <t>13.057000160217285</t>
  </si>
  <si>
    <t>13.21500015258789</t>
  </si>
  <si>
    <t>524818000</t>
  </si>
  <si>
    <t>2022-09-21</t>
  </si>
  <si>
    <t>13.24797248840332</t>
  </si>
  <si>
    <t>13.26099967956543</t>
  </si>
  <si>
    <t>14.031000137329102</t>
  </si>
  <si>
    <t>13.109999656677246</t>
  </si>
  <si>
    <t>13.213000297546387</t>
  </si>
  <si>
    <t>807679000</t>
  </si>
  <si>
    <t>2022-09-22</t>
  </si>
  <si>
    <t>12.54865837097168</t>
  </si>
  <si>
    <t>12.560999870300293</t>
  </si>
  <si>
    <t>13.14900016784668</t>
  </si>
  <si>
    <t>12.428000450134277</t>
  </si>
  <si>
    <t>13.069999694824219</t>
  </si>
  <si>
    <t>759162000</t>
  </si>
  <si>
    <t>2022-09-23</t>
  </si>
  <si>
    <t>12.503703117370605</t>
  </si>
  <si>
    <t>12.515999794006348</t>
  </si>
  <si>
    <t>12.611000061035156</t>
  </si>
  <si>
    <t>12.256999969482422</t>
  </si>
  <si>
    <t>12.420000076293945</t>
  </si>
  <si>
    <t>663309000</t>
  </si>
  <si>
    <t>2022-09-26</t>
  </si>
  <si>
    <t>12.215987205505371</t>
  </si>
  <si>
    <t>12.227999687194824</t>
  </si>
  <si>
    <t>12.659000396728516</t>
  </si>
  <si>
    <t>12.21399974822998</t>
  </si>
  <si>
    <t>12.491000175476074</t>
  </si>
  <si>
    <t>547343000</t>
  </si>
  <si>
    <t>2022-09-27</t>
  </si>
  <si>
    <t>12.400805473327637</t>
  </si>
  <si>
    <t>12.413000106811523</t>
  </si>
  <si>
    <t>12.736000061035156</t>
  </si>
  <si>
    <t>12.258000373840332</t>
  </si>
  <si>
    <t>12.506999969482422</t>
  </si>
  <si>
    <t>553854000</t>
  </si>
  <si>
    <t>2022-09-28</t>
  </si>
  <si>
    <t>12.723487854003906</t>
  </si>
  <si>
    <t>12.354000091552734</t>
  </si>
  <si>
    <t>12.40999984741211</t>
  </si>
  <si>
    <t>542414000</t>
  </si>
  <si>
    <t>2022-09-29</t>
  </si>
  <si>
    <t>12.207995414733887</t>
  </si>
  <si>
    <t>12.220000267028809</t>
  </si>
  <si>
    <t>12.5</t>
  </si>
  <si>
    <t>11.946000099182129</t>
  </si>
  <si>
    <t>12.447999954223633</t>
  </si>
  <si>
    <t>532763000</t>
  </si>
  <si>
    <t>2022-09-30</t>
  </si>
  <si>
    <t>12.127074241638184</t>
  </si>
  <si>
    <t>12.138999938964844</t>
  </si>
  <si>
    <t>12.633000373840332</t>
  </si>
  <si>
    <t>12.074999809265137</t>
  </si>
  <si>
    <t>12.086999893188477</t>
  </si>
  <si>
    <t>565638000</t>
  </si>
  <si>
    <t>2022-10-03</t>
  </si>
  <si>
    <t>12.49970817565918</t>
  </si>
  <si>
    <t>12.51200008392334</t>
  </si>
  <si>
    <t>12.678000450134277</t>
  </si>
  <si>
    <t>12.104999542236328</t>
  </si>
  <si>
    <t>12.347000122070312</t>
  </si>
  <si>
    <t>547478000</t>
  </si>
  <si>
    <t>2022-10-04</t>
  </si>
  <si>
    <t>13.15406322479248</t>
  </si>
  <si>
    <t>13.166999816894531</t>
  </si>
  <si>
    <t>13.220000267028809</t>
  </si>
  <si>
    <t>12.878999710083008</t>
  </si>
  <si>
    <t>584182000</t>
  </si>
  <si>
    <t>2022-10-05</t>
  </si>
  <si>
    <t>13.196023941040039</t>
  </si>
  <si>
    <t>13.208999633789062</t>
  </si>
  <si>
    <t>13.321000099182129</t>
  </si>
  <si>
    <t>12.621000289916992</t>
  </si>
  <si>
    <t>12.91100025177002</t>
  </si>
  <si>
    <t>507131000</t>
  </si>
  <si>
    <t>2022-10-06</t>
  </si>
  <si>
    <t>13.117100715637207</t>
  </si>
  <si>
    <t>13.130000114440918</t>
  </si>
  <si>
    <t>13.656000137329102</t>
  </si>
  <si>
    <t>13.102999687194824</t>
  </si>
  <si>
    <t>644157000</t>
  </si>
  <si>
    <t>2022-10-07</t>
  </si>
  <si>
    <t>12.064136505126953</t>
  </si>
  <si>
    <t>12.076000213623047</t>
  </si>
  <si>
    <t>12.670000076293945</t>
  </si>
  <si>
    <t>12.022000312805176</t>
  </si>
  <si>
    <t>12.505000114440918</t>
  </si>
  <si>
    <t>672478000</t>
  </si>
  <si>
    <t>2022-10-10</t>
  </si>
  <si>
    <t>11.65853500366211</t>
  </si>
  <si>
    <t>11.670000076293945</t>
  </si>
  <si>
    <t>12.12399959564209</t>
  </si>
  <si>
    <t>11.407999992370605</t>
  </si>
  <si>
    <t>12.036999702453613</t>
  </si>
  <si>
    <t>698699000</t>
  </si>
  <si>
    <t>2022-10-11</t>
  </si>
  <si>
    <t>11.574618339538574</t>
  </si>
  <si>
    <t>11.586000442504883</t>
  </si>
  <si>
    <t>11.845999717712402</t>
  </si>
  <si>
    <t>11.282999992370605</t>
  </si>
  <si>
    <t>11.560999870300293</t>
  </si>
  <si>
    <t>667482000</t>
  </si>
  <si>
    <t>2022-10-12</t>
  </si>
  <si>
    <t>11.488702774047852</t>
  </si>
  <si>
    <t>11.5</t>
  </si>
  <si>
    <t>11.734999656677246</t>
  </si>
  <si>
    <t>11.345000267028809</t>
  </si>
  <si>
    <t>11.579000473022461</t>
  </si>
  <si>
    <t>492590000</t>
  </si>
  <si>
    <t>2022-10-13</t>
  </si>
  <si>
    <t>11.948250770568848</t>
  </si>
  <si>
    <t>11.960000038146973</t>
  </si>
  <si>
    <t>12.07800006866455</t>
  </si>
  <si>
    <t>10.812999725341797</t>
  </si>
  <si>
    <t>10.970999717712402</t>
  </si>
  <si>
    <t>850103000</t>
  </si>
  <si>
    <t>2022-10-14</t>
  </si>
  <si>
    <t>11.215970993041992</t>
  </si>
  <si>
    <t>11.22700023651123</t>
  </si>
  <si>
    <t>12.111000061035156</t>
  </si>
  <si>
    <t>11.204000473022461</t>
  </si>
  <si>
    <t>12.057000160217285</t>
  </si>
  <si>
    <t>713432000</t>
  </si>
  <si>
    <t>2022-10-17</t>
  </si>
  <si>
    <t>11.876319885253906</t>
  </si>
  <si>
    <t>11.887999534606934</t>
  </si>
  <si>
    <t>11.947999954223633</t>
  </si>
  <si>
    <t>11.517000198364258</t>
  </si>
  <si>
    <t>11.517999649047852</t>
  </si>
  <si>
    <t>580774000</t>
  </si>
  <si>
    <t>2022-10-18</t>
  </si>
  <si>
    <t>11.955243110656738</t>
  </si>
  <si>
    <t>11.967000007629395</t>
  </si>
  <si>
    <t>12.491999626159668</t>
  </si>
  <si>
    <t>11.618000030517578</t>
  </si>
  <si>
    <t>12.343999862670898</t>
  </si>
  <si>
    <t>659362000</t>
  </si>
  <si>
    <t>2022-10-19</t>
  </si>
  <si>
    <t>12.039159774780273</t>
  </si>
  <si>
    <t>12.050999641418457</t>
  </si>
  <si>
    <t>12.350000381469727</t>
  </si>
  <si>
    <t>11.833999633789062</t>
  </si>
  <si>
    <t>11.878999710083008</t>
  </si>
  <si>
    <t>523131000</t>
  </si>
  <si>
    <t>2022-10-20</t>
  </si>
  <si>
    <t>12.182022094726562</t>
  </si>
  <si>
    <t>12.194000244140625</t>
  </si>
  <si>
    <t>12.769000053405762</t>
  </si>
  <si>
    <t>12.11299991607666</t>
  </si>
  <si>
    <t>652398000</t>
  </si>
  <si>
    <t>2022-10-21</t>
  </si>
  <si>
    <t>12.453752517700195</t>
  </si>
  <si>
    <t>12.465999603271484</t>
  </si>
  <si>
    <t>12.498000144958496</t>
  </si>
  <si>
    <t>11.88700008392334</t>
  </si>
  <si>
    <t>609494000</t>
  </si>
  <si>
    <t>2022-10-24</t>
  </si>
  <si>
    <t>12.586623191833496</t>
  </si>
  <si>
    <t>12.598999977111816</t>
  </si>
  <si>
    <t>12.710000038146973</t>
  </si>
  <si>
    <t>12.064000129699707</t>
  </si>
  <si>
    <t>12.508000373840332</t>
  </si>
  <si>
    <t>517457000</t>
  </si>
  <si>
    <t>2022-10-25</t>
  </si>
  <si>
    <t>13.300000190734863</t>
  </si>
  <si>
    <t>12.663999557495117</t>
  </si>
  <si>
    <t>12.694000244140625</t>
  </si>
  <si>
    <t>505482000</t>
  </si>
  <si>
    <t>2022-10-26</t>
  </si>
  <si>
    <t>12.883331298828125</t>
  </si>
  <si>
    <t>12.895999908447266</t>
  </si>
  <si>
    <t>13.387999534606934</t>
  </si>
  <si>
    <t>12.708000183105469</t>
  </si>
  <si>
    <t>532953000</t>
  </si>
  <si>
    <t>2022-10-27</t>
  </si>
  <si>
    <t>13.121999740600586</t>
  </si>
  <si>
    <t>13.630000114440918</t>
  </si>
  <si>
    <t>583113000</t>
  </si>
  <si>
    <t>2022-10-28</t>
  </si>
  <si>
    <t>13.820408821105957</t>
  </si>
  <si>
    <t>13.833999633789062</t>
  </si>
  <si>
    <t>13.850000381469727</t>
  </si>
  <si>
    <t>13.060999870300293</t>
  </si>
  <si>
    <t>13.104000091552734</t>
  </si>
  <si>
    <t>521040000</t>
  </si>
  <si>
    <t>2022-10-31</t>
  </si>
  <si>
    <t>13.483741760253906</t>
  </si>
  <si>
    <t>13.496999740600586</t>
  </si>
  <si>
    <t>13.777999877929688</t>
  </si>
  <si>
    <t>486341000</t>
  </si>
  <si>
    <t>2022-11-01</t>
  </si>
  <si>
    <t>13.529694557189941</t>
  </si>
  <si>
    <t>13.543000221252441</t>
  </si>
  <si>
    <t>13.519000053405762</t>
  </si>
  <si>
    <t>13.810999870300293</t>
  </si>
  <si>
    <t>432817000</t>
  </si>
  <si>
    <t>2022-11-02</t>
  </si>
  <si>
    <t>13.206013679504395</t>
  </si>
  <si>
    <t>13.218999862670898</t>
  </si>
  <si>
    <t>14.210000038146973</t>
  </si>
  <si>
    <t>13.211000442504883</t>
  </si>
  <si>
    <t>672628000</t>
  </si>
  <si>
    <t>2022-11-03</t>
  </si>
  <si>
    <t>13.407814025878906</t>
  </si>
  <si>
    <t>13.781000137329102</t>
  </si>
  <si>
    <t>12.956000328063965</t>
  </si>
  <si>
    <t>13.043000221252441</t>
  </si>
  <si>
    <t>500065000</t>
  </si>
  <si>
    <t>2022-11-04</t>
  </si>
  <si>
    <t>14.142091751098633</t>
  </si>
  <si>
    <t>14.156000137329102</t>
  </si>
  <si>
    <t>14.229000091552734</t>
  </si>
  <si>
    <t>13.696999549865723</t>
  </si>
  <si>
    <t>13.986000061035156</t>
  </si>
  <si>
    <t>612576000</t>
  </si>
  <si>
    <t>2022-11-07</t>
  </si>
  <si>
    <t>14.286951065063477</t>
  </si>
  <si>
    <t>14.300999641418457</t>
  </si>
  <si>
    <t>14.411999702453613</t>
  </si>
  <si>
    <t>13.954000473022461</t>
  </si>
  <si>
    <t>14.227999687194824</t>
  </si>
  <si>
    <t>410061000</t>
  </si>
  <si>
    <t>2022-11-08</t>
  </si>
  <si>
    <t>14.587655067443848</t>
  </si>
  <si>
    <t>14.60200023651123</t>
  </si>
  <si>
    <t>14.890999794006348</t>
  </si>
  <si>
    <t>14.215999603271484</t>
  </si>
  <si>
    <t>14.800999641418457</t>
  </si>
  <si>
    <t>595292000</t>
  </si>
  <si>
    <t>2022-11-09</t>
  </si>
  <si>
    <t>13.762466430664062</t>
  </si>
  <si>
    <t>13.776000022888184</t>
  </si>
  <si>
    <t>14.211000442504883</t>
  </si>
  <si>
    <t>13.758999824523926</t>
  </si>
  <si>
    <t>14.161999702453613</t>
  </si>
  <si>
    <t>454414000</t>
  </si>
  <si>
    <t>2022-11-10</t>
  </si>
  <si>
    <t>15.734526634216309</t>
  </si>
  <si>
    <t>15.77299976348877</t>
  </si>
  <si>
    <t>14.800000190734863</t>
  </si>
  <si>
    <t>700819000</t>
  </si>
  <si>
    <t>2022-11-11</t>
  </si>
  <si>
    <t>16.31096076965332</t>
  </si>
  <si>
    <t>16.32699966430664</t>
  </si>
  <si>
    <t>16.388999938964844</t>
  </si>
  <si>
    <t>15.482000350952148</t>
  </si>
  <si>
    <t>15.807000160217285</t>
  </si>
  <si>
    <t>655487000</t>
  </si>
  <si>
    <t>2022-11-14</t>
  </si>
  <si>
    <t>16.278993606567383</t>
  </si>
  <si>
    <t>16.295000076293945</t>
  </si>
  <si>
    <t>16.540000915527344</t>
  </si>
  <si>
    <t>15.92199993133545</t>
  </si>
  <si>
    <t>16.218000411987305</t>
  </si>
  <si>
    <t>527852000</t>
  </si>
  <si>
    <t>2022-11-15</t>
  </si>
  <si>
    <t>16.649625778198242</t>
  </si>
  <si>
    <t>16.666000366210938</t>
  </si>
  <si>
    <t>16.99799919128418</t>
  </si>
  <si>
    <t>16.381999969482422</t>
  </si>
  <si>
    <t>16.722000122070312</t>
  </si>
  <si>
    <t>545876000</t>
  </si>
  <si>
    <t>2022-11-16</t>
  </si>
  <si>
    <t>15.894370079040527</t>
  </si>
  <si>
    <t>15.90999984741211</t>
  </si>
  <si>
    <t>16.36199951171875</t>
  </si>
  <si>
    <t>15.873000144958496</t>
  </si>
  <si>
    <t>16.16200065612793</t>
  </si>
  <si>
    <t>649547000</t>
  </si>
  <si>
    <t>2022-11-17</t>
  </si>
  <si>
    <t>15.661598205566406</t>
  </si>
  <si>
    <t>15.677000045776367</t>
  </si>
  <si>
    <t>16.266000747680664</t>
  </si>
  <si>
    <t>15.53499984741211</t>
  </si>
  <si>
    <t>15.71500015258789</t>
  </si>
  <si>
    <t>710894000</t>
  </si>
  <si>
    <t>2022-11-18</t>
  </si>
  <si>
    <t>15.3938627243042</t>
  </si>
  <si>
    <t>15.409000396728516</t>
  </si>
  <si>
    <t>15.119999885559082</t>
  </si>
  <si>
    <t>15.965999603271484</t>
  </si>
  <si>
    <t>492072000</t>
  </si>
  <si>
    <t>2022-11-21</t>
  </si>
  <si>
    <t>15.301952362060547</t>
  </si>
  <si>
    <t>15.317000389099121</t>
  </si>
  <si>
    <t>15.47700023651123</t>
  </si>
  <si>
    <t>15.079999923706055</t>
  </si>
  <si>
    <t>15.147000312805176</t>
  </si>
  <si>
    <t>404739000</t>
  </si>
  <si>
    <t>2022-11-22</t>
  </si>
  <si>
    <t>16.022245407104492</t>
  </si>
  <si>
    <t>16.038000106811523</t>
  </si>
  <si>
    <t>16.058000564575195</t>
  </si>
  <si>
    <t>15.121999740600586</t>
  </si>
  <si>
    <t>472866000</t>
  </si>
  <si>
    <t>2022-11-23</t>
  </si>
  <si>
    <t>16.502771377563477</t>
  </si>
  <si>
    <t>16.04800033569336</t>
  </si>
  <si>
    <t>16.097999572753906</t>
  </si>
  <si>
    <t>427241000</t>
  </si>
  <si>
    <t>2022-11-25</t>
  </si>
  <si>
    <t>16.254016876220703</t>
  </si>
  <si>
    <t>16.48699951171875</t>
  </si>
  <si>
    <t>16.31800079345703</t>
  </si>
  <si>
    <t>167934000</t>
  </si>
  <si>
    <t>2022-11-28</t>
  </si>
  <si>
    <t>15.811450004577637</t>
  </si>
  <si>
    <t>15.82699966430664</t>
  </si>
  <si>
    <t>16.35700035095215</t>
  </si>
  <si>
    <t>15.725000381469727</t>
  </si>
  <si>
    <t>16.025999069213867</t>
  </si>
  <si>
    <t>303741000</t>
  </si>
  <si>
    <t>2022-11-29</t>
  </si>
  <si>
    <t>15.623634338378906</t>
  </si>
  <si>
    <t>15.638999938964844</t>
  </si>
  <si>
    <t>15.932000160217285</t>
  </si>
  <si>
    <t>15.520000457763672</t>
  </si>
  <si>
    <t>298384000</t>
  </si>
  <si>
    <t>2022-11-30</t>
  </si>
  <si>
    <t>16.91069793701172</t>
  </si>
  <si>
    <t>16.92300033569336</t>
  </si>
  <si>
    <t>16.93000030517578</t>
  </si>
  <si>
    <t>15.597000122070312</t>
  </si>
  <si>
    <t>15.696999549865723</t>
  </si>
  <si>
    <t>565298000</t>
  </si>
  <si>
    <t>2022-12-01</t>
  </si>
  <si>
    <t>17.122543334960938</t>
  </si>
  <si>
    <t>17.135000228881836</t>
  </si>
  <si>
    <t>17.264999389648438</t>
  </si>
  <si>
    <t>16.635000228881836</t>
  </si>
  <si>
    <t>16.999000549316406</t>
  </si>
  <si>
    <t>470977000</t>
  </si>
  <si>
    <t>2022-12-02</t>
  </si>
  <si>
    <t>16.863733291625977</t>
  </si>
  <si>
    <t>16.875999450683594</t>
  </si>
  <si>
    <t>16.933000564575195</t>
  </si>
  <si>
    <t>16.44499969482422</t>
  </si>
  <si>
    <t>16.659000396728516</t>
  </si>
  <si>
    <t>371389000</t>
  </si>
  <si>
    <t>2022-12-05</t>
  </si>
  <si>
    <t>16.59792709350586</t>
  </si>
  <si>
    <t>16.610000610351562</t>
  </si>
  <si>
    <t>16.9950008392334</t>
  </si>
  <si>
    <t>16.472000122070312</t>
  </si>
  <si>
    <t>16.679000854492188</t>
  </si>
  <si>
    <t>352255000</t>
  </si>
  <si>
    <t>2022-12-06</t>
  </si>
  <si>
    <t>15.975379943847656</t>
  </si>
  <si>
    <t>15.987000465393066</t>
  </si>
  <si>
    <t>16.572999954223633</t>
  </si>
  <si>
    <t>15.819000244140625</t>
  </si>
  <si>
    <t>16.530000686645508</t>
  </si>
  <si>
    <t>352694000</t>
  </si>
  <si>
    <t>2022-12-07</t>
  </si>
  <si>
    <t>16.10828399658203</t>
  </si>
  <si>
    <t>16.1200008392334</t>
  </si>
  <si>
    <t>16.18600082397461</t>
  </si>
  <si>
    <t>15.666999816894531</t>
  </si>
  <si>
    <t>15.772000312805176</t>
  </si>
  <si>
    <t>372388000</t>
  </si>
  <si>
    <t>2022-12-08</t>
  </si>
  <si>
    <t>17.15652084350586</t>
  </si>
  <si>
    <t>17.16900062561035</t>
  </si>
  <si>
    <t>17.179000854492188</t>
  </si>
  <si>
    <t>15.958999633789062</t>
  </si>
  <si>
    <t>16.273000717163086</t>
  </si>
  <si>
    <t>515456000</t>
  </si>
  <si>
    <t>2022-12-09</t>
  </si>
  <si>
    <t>16.98863983154297</t>
  </si>
  <si>
    <t>17.000999450683594</t>
  </si>
  <si>
    <t>17.58300018310547</t>
  </si>
  <si>
    <t>17.15999984741211</t>
  </si>
  <si>
    <t>465338000</t>
  </si>
  <si>
    <t>2022-12-12</t>
  </si>
  <si>
    <t>17.522254943847656</t>
  </si>
  <si>
    <t>17.53499984741211</t>
  </si>
  <si>
    <t>17.538000106811523</t>
  </si>
  <si>
    <t>16.797000885009766</t>
  </si>
  <si>
    <t>17.03700065612793</t>
  </si>
  <si>
    <t>457328000</t>
  </si>
  <si>
    <t>2022-12-13</t>
  </si>
  <si>
    <t>18.058866500854492</t>
  </si>
  <si>
    <t>18.07200050354004</t>
  </si>
  <si>
    <t>18.790000915527344</t>
  </si>
  <si>
    <t>17.711000442504883</t>
  </si>
  <si>
    <t>18.5310001373291</t>
  </si>
  <si>
    <t>656589000</t>
  </si>
  <si>
    <t>2022-12-14</t>
  </si>
  <si>
    <t>17.66115379333496</t>
  </si>
  <si>
    <t>17.673999786376953</t>
  </si>
  <si>
    <t>18.25200080871582</t>
  </si>
  <si>
    <t>17.420000076293945</t>
  </si>
  <si>
    <t>17.98699951171875</t>
  </si>
  <si>
    <t>496888000</t>
  </si>
  <si>
    <t>2022-12-15</t>
  </si>
  <si>
    <t>16.939678192138672</t>
  </si>
  <si>
    <t>16.95199966430664</t>
  </si>
  <si>
    <t>17.31999969482422</t>
  </si>
  <si>
    <t>16.700000762939453</t>
  </si>
  <si>
    <t>17.145999908447266</t>
  </si>
  <si>
    <t>478542000</t>
  </si>
  <si>
    <t>2022-12-16</t>
  </si>
  <si>
    <t>16.558956146240234</t>
  </si>
  <si>
    <t>16.570999145507812</t>
  </si>
  <si>
    <t>17.041000366210938</t>
  </si>
  <si>
    <t>16.40999984741211</t>
  </si>
  <si>
    <t>478232000</t>
  </si>
  <si>
    <t>2022-12-19</t>
  </si>
  <si>
    <t>16.242183685302734</t>
  </si>
  <si>
    <t>16.253999710083008</t>
  </si>
  <si>
    <t>16.608999252319336</t>
  </si>
  <si>
    <t>16.145000457763672</t>
  </si>
  <si>
    <t>16.57200050354004</t>
  </si>
  <si>
    <t>354039000</t>
  </si>
  <si>
    <t>2022-12-20</t>
  </si>
  <si>
    <t>16.07331085205078</t>
  </si>
  <si>
    <t>16.084999084472656</t>
  </si>
  <si>
    <t>15.85200023651123</t>
  </si>
  <si>
    <t>16.06399917602539</t>
  </si>
  <si>
    <t>403260000</t>
  </si>
  <si>
    <t>2022-12-21</t>
  </si>
  <si>
    <t>16.48900604248047</t>
  </si>
  <si>
    <t>16.500999450683594</t>
  </si>
  <si>
    <t>16.62700080871582</t>
  </si>
  <si>
    <t>16.101999282836914</t>
  </si>
  <si>
    <t>16.11400032043457</t>
  </si>
  <si>
    <t>325025000</t>
  </si>
  <si>
    <t>2022-12-22</t>
  </si>
  <si>
    <t>15.327850341796875</t>
  </si>
  <si>
    <t>15.33899974822998</t>
  </si>
  <si>
    <t>16.13800048828125</t>
  </si>
  <si>
    <t>14.881999969482422</t>
  </si>
  <si>
    <t>16.0939998626709</t>
  </si>
  <si>
    <t>565045000</t>
  </si>
  <si>
    <t>2022-12-23</t>
  </si>
  <si>
    <t>15.194947242736816</t>
  </si>
  <si>
    <t>15.206000328063965</t>
  </si>
  <si>
    <t>14.883000373840332</t>
  </si>
  <si>
    <t>15.196000099182129</t>
  </si>
  <si>
    <t>349326000</t>
  </si>
  <si>
    <t>2022-12-27</t>
  </si>
  <si>
    <t>14.110736846923828</t>
  </si>
  <si>
    <t>14.121000289916992</t>
  </si>
  <si>
    <t>15.100000381469727</t>
  </si>
  <si>
    <t>14.055999755859375</t>
  </si>
  <si>
    <t>15.074000358581543</t>
  </si>
  <si>
    <t>464902000</t>
  </si>
  <si>
    <t>2022-12-28</t>
  </si>
  <si>
    <t>14.025797843933105</t>
  </si>
  <si>
    <t>14.03600025177002</t>
  </si>
  <si>
    <t>14.26200008392334</t>
  </si>
  <si>
    <t>13.883999824523926</t>
  </si>
  <si>
    <t>13.927000045776367</t>
  </si>
  <si>
    <t>351066000</t>
  </si>
  <si>
    <t>2022-12-29</t>
  </si>
  <si>
    <t>14.592386245727539</t>
  </si>
  <si>
    <t>14.602999687194824</t>
  </si>
  <si>
    <t>14.682999610900879</t>
  </si>
  <si>
    <t>14.22700023651123</t>
  </si>
  <si>
    <t>14.402000427246094</t>
  </si>
  <si>
    <t>354923000</t>
  </si>
  <si>
    <t>2022-12-30</t>
  </si>
  <si>
    <t>14.60338020324707</t>
  </si>
  <si>
    <t>14.61400032043457</t>
  </si>
  <si>
    <t>14.628999710083008</t>
  </si>
  <si>
    <t>14.232999801635742</t>
  </si>
  <si>
    <t>14.333999633789062</t>
  </si>
  <si>
    <t>310490000</t>
  </si>
  <si>
    <t>2023-01-03</t>
  </si>
  <si>
    <t>14.304594039916992</t>
  </si>
  <si>
    <t>14.3149995803833</t>
  </si>
  <si>
    <t>14.996000289916992</t>
  </si>
  <si>
    <t>14.095999717712402</t>
  </si>
  <si>
    <t>14.85099983215332</t>
  </si>
  <si>
    <t>401277000</t>
  </si>
  <si>
    <t>2023-01-04</t>
  </si>
  <si>
    <t>14.738280296325684</t>
  </si>
  <si>
    <t>14.74899959564209</t>
  </si>
  <si>
    <t>14.852999687194824</t>
  </si>
  <si>
    <t>14.241000175476074</t>
  </si>
  <si>
    <t>14.567000389099121</t>
  </si>
  <si>
    <t>431324000</t>
  </si>
  <si>
    <t>2023-01-05</t>
  </si>
  <si>
    <t>14.254632949829102</t>
  </si>
  <si>
    <t>14.265000343322754</t>
  </si>
  <si>
    <t>14.564000129699707</t>
  </si>
  <si>
    <t>14.14799976348877</t>
  </si>
  <si>
    <t>14.491000175476074</t>
  </si>
  <si>
    <t>389168000</t>
  </si>
  <si>
    <t>2023-01-06</t>
  </si>
  <si>
    <t>14.848199844360352</t>
  </si>
  <si>
    <t>14.859000205993652</t>
  </si>
  <si>
    <t>14.034000396728516</t>
  </si>
  <si>
    <t>405044000</t>
  </si>
  <si>
    <t>2023-01-09</t>
  </si>
  <si>
    <t>15.616641998291016</t>
  </si>
  <si>
    <t>15.628000259399414</t>
  </si>
  <si>
    <t>16.055999755859375</t>
  </si>
  <si>
    <t>15.140999794006348</t>
  </si>
  <si>
    <t>15.284000396728516</t>
  </si>
  <si>
    <t>504231000</t>
  </si>
  <si>
    <t>2023-01-10</t>
  </si>
  <si>
    <t>15.897438049316406</t>
  </si>
  <si>
    <t>15.909000396728516</t>
  </si>
  <si>
    <t>15.961999893188477</t>
  </si>
  <si>
    <t>15.472000122070312</t>
  </si>
  <si>
    <t>15.506999969482422</t>
  </si>
  <si>
    <t>384101000</t>
  </si>
  <si>
    <t>2023-01-11</t>
  </si>
  <si>
    <t>15.98936939239502</t>
  </si>
  <si>
    <t>16.000999450683594</t>
  </si>
  <si>
    <t>16.027999877929688</t>
  </si>
  <si>
    <t>15.562999725341797</t>
  </si>
  <si>
    <t>15.84000015258789</t>
  </si>
  <si>
    <t>353285000</t>
  </si>
  <si>
    <t>2023-01-12</t>
  </si>
  <si>
    <t>16.498998641967773</t>
  </si>
  <si>
    <t>16.51099967956543</t>
  </si>
  <si>
    <t>16.636999130249023</t>
  </si>
  <si>
    <t>15.491999626159668</t>
  </si>
  <si>
    <t>16.100000381469727</t>
  </si>
  <si>
    <t>551409000</t>
  </si>
  <si>
    <t>2023-01-13</t>
  </si>
  <si>
    <t>16.886716842651367</t>
  </si>
  <si>
    <t>16.89900016784668</t>
  </si>
  <si>
    <t>16.922000885009766</t>
  </si>
  <si>
    <t>16.165000915527344</t>
  </si>
  <si>
    <t>16.277999877929688</t>
  </si>
  <si>
    <t>447287000</t>
  </si>
  <si>
    <t>2023-01-17</t>
  </si>
  <si>
    <t>17.689132690429688</t>
  </si>
  <si>
    <t>17.70199966430664</t>
  </si>
  <si>
    <t>511102000</t>
  </si>
  <si>
    <t>2023-01-18</t>
  </si>
  <si>
    <t>17.36437225341797</t>
  </si>
  <si>
    <t>17.37700080871582</t>
  </si>
  <si>
    <t>17.87299919128418</t>
  </si>
  <si>
    <t>17.281999588012695</t>
  </si>
  <si>
    <t>17.66699981689453</t>
  </si>
  <si>
    <t>439624000</t>
  </si>
  <si>
    <t>2023-01-19</t>
  </si>
  <si>
    <t>16.752811431884766</t>
  </si>
  <si>
    <t>16.764999389648438</t>
  </si>
  <si>
    <t>17.19700050354004</t>
  </si>
  <si>
    <t>16.731000900268555</t>
  </si>
  <si>
    <t>17.035999298095703</t>
  </si>
  <si>
    <t>452932000</t>
  </si>
  <si>
    <t>2023-01-20</t>
  </si>
  <si>
    <t>17.82603645324707</t>
  </si>
  <si>
    <t>17.839000701904297</t>
  </si>
  <si>
    <t>17.856000900268555</t>
  </si>
  <si>
    <t>16.825000762939453</t>
  </si>
  <si>
    <t>17.01099967956543</t>
  </si>
  <si>
    <t>564967000</t>
  </si>
  <si>
    <t>2023-01-23</t>
  </si>
  <si>
    <t>19.17905044555664</t>
  </si>
  <si>
    <t>19.19300079345703</t>
  </si>
  <si>
    <t>19.2450008392334</t>
  </si>
  <si>
    <t>17.81800079345703</t>
  </si>
  <si>
    <t>18.06399917602539</t>
  </si>
  <si>
    <t>655163000</t>
  </si>
  <si>
    <t>2023-01-24</t>
  </si>
  <si>
    <t>19.250995635986328</t>
  </si>
  <si>
    <t>19.4950008392334</t>
  </si>
  <si>
    <t>18.81999969482422</t>
  </si>
  <si>
    <t>18.82699966430664</t>
  </si>
  <si>
    <t>496204000</t>
  </si>
  <si>
    <t>2023-01-25</t>
  </si>
  <si>
    <t>19.3089542388916</t>
  </si>
  <si>
    <t>19.322999954223633</t>
  </si>
  <si>
    <t>19.3700008392334</t>
  </si>
  <si>
    <t>18.579999923706055</t>
  </si>
  <si>
    <t>18.913000106811523</t>
  </si>
  <si>
    <t>449537000</t>
  </si>
  <si>
    <t>2023-01-26</t>
  </si>
  <si>
    <t>19.7876033782959</t>
  </si>
  <si>
    <t>19.802000045776367</t>
  </si>
  <si>
    <t>20.166000366210938</t>
  </si>
  <si>
    <t>19.277999877929688</t>
  </si>
  <si>
    <t>19.701000213623047</t>
  </si>
  <si>
    <t>489535000</t>
  </si>
  <si>
    <t>2023-01-27</t>
  </si>
  <si>
    <t>20.350196838378906</t>
  </si>
  <si>
    <t>20.364999771118164</t>
  </si>
  <si>
    <t>20.628000259399414</t>
  </si>
  <si>
    <t>19.405000686645508</t>
  </si>
  <si>
    <t>19.461999893188477</t>
  </si>
  <si>
    <t>542142000</t>
  </si>
  <si>
    <t>2023-01-30</t>
  </si>
  <si>
    <t>19.148073196411133</t>
  </si>
  <si>
    <t>19.16200065612793</t>
  </si>
  <si>
    <t>20.139999389648438</t>
  </si>
  <si>
    <t>19.149999618530273</t>
  </si>
  <si>
    <t>488611000</t>
  </si>
  <si>
    <t>2023-01-31</t>
  </si>
  <si>
    <t>19.522804260253906</t>
  </si>
  <si>
    <t>19.53700065612793</t>
  </si>
  <si>
    <t>19.687000274658203</t>
  </si>
  <si>
    <t>18.950000762939453</t>
  </si>
  <si>
    <t>19.170000076293945</t>
  </si>
  <si>
    <t>498017000</t>
  </si>
  <si>
    <t>2023-02-01</t>
  </si>
  <si>
    <t>20.927776336669922</t>
  </si>
  <si>
    <t>20.94300079345703</t>
  </si>
  <si>
    <t>21.191999435424805</t>
  </si>
  <si>
    <t>19.611000061035156</t>
  </si>
  <si>
    <t>19.69099998474121</t>
  </si>
  <si>
    <t>660477000</t>
  </si>
  <si>
    <t>2023-02-02</t>
  </si>
  <si>
    <t>21.693220138549805</t>
  </si>
  <si>
    <t>21.948999404907227</t>
  </si>
  <si>
    <t>21.0</t>
  </si>
  <si>
    <t>564276000</t>
  </si>
  <si>
    <t>2023-02-03</t>
  </si>
  <si>
    <t>21.08466339111328</t>
  </si>
  <si>
    <t>21.100000381469727</t>
  </si>
  <si>
    <t>21.7450008392334</t>
  </si>
  <si>
    <t>20.788999557495117</t>
  </si>
  <si>
    <t>429366000</t>
  </si>
  <si>
    <t>2023-02-06</t>
  </si>
  <si>
    <t>21.073673248291016</t>
  </si>
  <si>
    <t>21.089000701904297</t>
  </si>
  <si>
    <t>21.56999969482422</t>
  </si>
  <si>
    <t>20.785999298095703</t>
  </si>
  <si>
    <t>20.805999755859375</t>
  </si>
  <si>
    <t>452197000</t>
  </si>
  <si>
    <t>2023-02-07</t>
  </si>
  <si>
    <t>22.156883239746094</t>
  </si>
  <si>
    <t>22.17300033569336</t>
  </si>
  <si>
    <t>22.259000778198242</t>
  </si>
  <si>
    <t>21.149999618530273</t>
  </si>
  <si>
    <t>21.381999969482422</t>
  </si>
  <si>
    <t>664150000</t>
  </si>
  <si>
    <t>2023-02-08</t>
  </si>
  <si>
    <t>22.188861846923828</t>
  </si>
  <si>
    <t>22.204999923706055</t>
  </si>
  <si>
    <t>22.878000259399414</t>
  </si>
  <si>
    <t>22.007999420166016</t>
  </si>
  <si>
    <t>559651000</t>
  </si>
  <si>
    <t>2023-02-09</t>
  </si>
  <si>
    <t>22.32076644897461</t>
  </si>
  <si>
    <t>22.336999893188477</t>
  </si>
  <si>
    <t>23.020000457763672</t>
  </si>
  <si>
    <t>22.606000900268555</t>
  </si>
  <si>
    <t>523876000</t>
  </si>
  <si>
    <t>2023-02-10</t>
  </si>
  <si>
    <t>21.249544143676758</t>
  </si>
  <si>
    <t>21.264999389648438</t>
  </si>
  <si>
    <t>22.077999114990234</t>
  </si>
  <si>
    <t>20.81100082397461</t>
  </si>
  <si>
    <t>21.690000534057617</t>
  </si>
  <si>
    <t>550737000</t>
  </si>
  <si>
    <t>2023-02-13</t>
  </si>
  <si>
    <t>21.77216339111328</t>
  </si>
  <si>
    <t>21.788000106811523</t>
  </si>
  <si>
    <t>22.04800033569336</t>
  </si>
  <si>
    <t>20.961999893188477</t>
  </si>
  <si>
    <t>21.538000106811523</t>
  </si>
  <si>
    <t>474919000</t>
  </si>
  <si>
    <t>2023-02-14</t>
  </si>
  <si>
    <t>22.954303741455078</t>
  </si>
  <si>
    <t>22.97100067138672</t>
  </si>
  <si>
    <t>23.048999786376953</t>
  </si>
  <si>
    <t>21.577999114990234</t>
  </si>
  <si>
    <t>675474000</t>
  </si>
  <si>
    <t>2023-02-15</t>
  </si>
  <si>
    <t>22.747455596923828</t>
  </si>
  <si>
    <t>22.763999938964844</t>
  </si>
  <si>
    <t>22.854999542236328</t>
  </si>
  <si>
    <t>22.106000900268555</t>
  </si>
  <si>
    <t>22.548999786376953</t>
  </si>
  <si>
    <t>420575000</t>
  </si>
  <si>
    <t>2023-02-16</t>
  </si>
  <si>
    <t>21.98600959777832</t>
  </si>
  <si>
    <t>22.00200080871582</t>
  </si>
  <si>
    <t>22.549999237060547</t>
  </si>
  <si>
    <t>22.132999420166016</t>
  </si>
  <si>
    <t>412026000</t>
  </si>
  <si>
    <t>2023-02-17</t>
  </si>
  <si>
    <t>21.372453689575195</t>
  </si>
  <si>
    <t>21.38800048828125</t>
  </si>
  <si>
    <t>21.739999771118164</t>
  </si>
  <si>
    <t>20.975000381469727</t>
  </si>
  <si>
    <t>21.631000518798828</t>
  </si>
  <si>
    <t>465888000</t>
  </si>
  <si>
    <t>2023-02-21</t>
  </si>
  <si>
    <t>20.63998794555664</t>
  </si>
  <si>
    <t>20.655000686645508</t>
  </si>
  <si>
    <t>21.493999481201172</t>
  </si>
  <si>
    <t>20.618000030517578</t>
  </si>
  <si>
    <t>410015000</t>
  </si>
  <si>
    <t>2023-02-22</t>
  </si>
  <si>
    <t>20.73891830444336</t>
  </si>
  <si>
    <t>20.753999710083008</t>
  </si>
  <si>
    <t>21.104000091552734</t>
  </si>
  <si>
    <t>20.42099952697754</t>
  </si>
  <si>
    <t>20.707000732421875</t>
  </si>
  <si>
    <t>513184000</t>
  </si>
  <si>
    <t>2023-02-23</t>
  </si>
  <si>
    <t>23.646799087524414</t>
  </si>
  <si>
    <t>23.663999557495117</t>
  </si>
  <si>
    <t>23.88800048828125</t>
  </si>
  <si>
    <t>23.024999618530273</t>
  </si>
  <si>
    <t>23.440000534057617</t>
  </si>
  <si>
    <t>1117995000</t>
  </si>
  <si>
    <t>2023-02-24</t>
  </si>
  <si>
    <t>23.269075393676758</t>
  </si>
  <si>
    <t>23.285999298095703</t>
  </si>
  <si>
    <t>23.474000930786133</t>
  </si>
  <si>
    <t>22.94700050354004</t>
  </si>
  <si>
    <t>23.225000381469727</t>
  </si>
  <si>
    <t>589716000</t>
  </si>
  <si>
    <t>2023-02-27</t>
  </si>
  <si>
    <t>23.483919143676758</t>
  </si>
  <si>
    <t>23.500999450683594</t>
  </si>
  <si>
    <t>23.8799991607666</t>
  </si>
  <si>
    <t>23.45400047302246</t>
  </si>
  <si>
    <t>23.670000076293945</t>
  </si>
  <si>
    <t>452994000</t>
  </si>
  <si>
    <t>2023-02-28</t>
  </si>
  <si>
    <t>23.199125289916992</t>
  </si>
  <si>
    <t>23.215999603271484</t>
  </si>
  <si>
    <t>23.825000762939453</t>
  </si>
  <si>
    <t>23.20599937438965</t>
  </si>
  <si>
    <t>455963000</t>
  </si>
  <si>
    <t>2023-03-01</t>
  </si>
  <si>
    <t>22.681501388549805</t>
  </si>
  <si>
    <t>22.697999954223633</t>
  </si>
  <si>
    <t>23.256000518798828</t>
  </si>
  <si>
    <t>22.507999420166016</t>
  </si>
  <si>
    <t>23.191999435424805</t>
  </si>
  <si>
    <t>460026000</t>
  </si>
  <si>
    <t>2023-03-02</t>
  </si>
  <si>
    <t>23.297054290771484</t>
  </si>
  <si>
    <t>23.31399917602539</t>
  </si>
  <si>
    <t>22.43199920654297</t>
  </si>
  <si>
    <t>22.488000869750977</t>
  </si>
  <si>
    <t>389415000</t>
  </si>
  <si>
    <t>2023-03-03</t>
  </si>
  <si>
    <t>23.872636795043945</t>
  </si>
  <si>
    <t>23.899999618530273</t>
  </si>
  <si>
    <t>23.31999969482422</t>
  </si>
  <si>
    <t>412393000</t>
  </si>
  <si>
    <t>2023-03-06</t>
  </si>
  <si>
    <t>23.536880493164062</t>
  </si>
  <si>
    <t>23.554000854492188</t>
  </si>
  <si>
    <t>24.24799919128418</t>
  </si>
  <si>
    <t>23.48699951171875</t>
  </si>
  <si>
    <t>23.891000747680664</t>
  </si>
  <si>
    <t>437429000</t>
  </si>
  <si>
    <t>2023-03-07</t>
  </si>
  <si>
    <t>23.275026321411133</t>
  </si>
  <si>
    <t>23.288000106811523</t>
  </si>
  <si>
    <t>24.125</t>
  </si>
  <si>
    <t>23.240999221801758</t>
  </si>
  <si>
    <t>23.600000381469727</t>
  </si>
  <si>
    <t>515154000</t>
  </si>
  <si>
    <t>2023-03-08</t>
  </si>
  <si>
    <t>24.167530059814453</t>
  </si>
  <si>
    <t>24.180999755859375</t>
  </si>
  <si>
    <t>24.200000762939453</t>
  </si>
  <si>
    <t>23.423999786376953</t>
  </si>
  <si>
    <t>513573000</t>
  </si>
  <si>
    <t>2023-03-09</t>
  </si>
  <si>
    <t>23.422945022583008</t>
  </si>
  <si>
    <t>23.43600082397461</t>
  </si>
  <si>
    <t>24.45400047302246</t>
  </si>
  <si>
    <t>23.382999420166016</t>
  </si>
  <si>
    <t>24.174999237060547</t>
  </si>
  <si>
    <t>501257000</t>
  </si>
  <si>
    <t>2023-03-10</t>
  </si>
  <si>
    <t>22.95220375061035</t>
  </si>
  <si>
    <t>22.96500015258789</t>
  </si>
  <si>
    <t>23.62700080871582</t>
  </si>
  <si>
    <t>23.409000396728516</t>
  </si>
  <si>
    <t>474866000</t>
  </si>
  <si>
    <t>2023-03-13</t>
  </si>
  <si>
    <t>22.953203201293945</t>
  </si>
  <si>
    <t>22.965999603271484</t>
  </si>
  <si>
    <t>23.29800033569336</t>
  </si>
  <si>
    <t>22.297000885009766</t>
  </si>
  <si>
    <t>22.75200080871582</t>
  </si>
  <si>
    <t>421890000</t>
  </si>
  <si>
    <t>2023-03-14</t>
  </si>
  <si>
    <t>24.049592971801758</t>
  </si>
  <si>
    <t>24.062999725341797</t>
  </si>
  <si>
    <t>24.2189998626709</t>
  </si>
  <si>
    <t>23.459999084472656</t>
  </si>
  <si>
    <t>23.496000289916992</t>
  </si>
  <si>
    <t>474910000</t>
  </si>
  <si>
    <t>2023-03-15</t>
  </si>
  <si>
    <t>24.214502334594727</t>
  </si>
  <si>
    <t>24.22800064086914</t>
  </si>
  <si>
    <t>24.285999298095703</t>
  </si>
  <si>
    <t>23.360000610351562</t>
  </si>
  <si>
    <t>23.76099967956543</t>
  </si>
  <si>
    <t>524486000</t>
  </si>
  <si>
    <t>2023-03-16</t>
  </si>
  <si>
    <t>25.526771545410156</t>
  </si>
  <si>
    <t>25.541000366210938</t>
  </si>
  <si>
    <t>25.58799934387207</t>
  </si>
  <si>
    <t>23.893999099731445</t>
  </si>
  <si>
    <t>24.027000427246094</t>
  </si>
  <si>
    <t>583253000</t>
  </si>
  <si>
    <t>2023-03-17</t>
  </si>
  <si>
    <t>25.710670471191406</t>
  </si>
  <si>
    <t>25.725000381469727</t>
  </si>
  <si>
    <t>26.39900016784668</t>
  </si>
  <si>
    <t>25.667999267578125</t>
  </si>
  <si>
    <t>25.98200035095215</t>
  </si>
  <si>
    <t>848547000</t>
  </si>
  <si>
    <t>2023-03-20</t>
  </si>
  <si>
    <t>25.885570526123047</t>
  </si>
  <si>
    <t>25.899999618530273</t>
  </si>
  <si>
    <t>26.02400016784668</t>
  </si>
  <si>
    <t>25.1299991607666</t>
  </si>
  <si>
    <t>25.614999771118164</t>
  </si>
  <si>
    <t>432747000</t>
  </si>
  <si>
    <t>2023-03-21</t>
  </si>
  <si>
    <t>26.184402465820312</t>
  </si>
  <si>
    <t>26.198999404907227</t>
  </si>
  <si>
    <t>26.392000198364258</t>
  </si>
  <si>
    <t>25.381000518798828</t>
  </si>
  <si>
    <t>26.18000030517578</t>
  </si>
  <si>
    <t>547408000</t>
  </si>
  <si>
    <t>2023-03-22</t>
  </si>
  <si>
    <t>26.453250885009766</t>
  </si>
  <si>
    <t>26.468000411987305</t>
  </si>
  <si>
    <t>27.589000701904297</t>
  </si>
  <si>
    <t>26.23699951171875</t>
  </si>
  <si>
    <t>26.424999237060547</t>
  </si>
  <si>
    <t>797295000</t>
  </si>
  <si>
    <t>2023-03-23</t>
  </si>
  <si>
    <t>27.175851821899414</t>
  </si>
  <si>
    <t>27.19099998474121</t>
  </si>
  <si>
    <t>27.499000549316406</t>
  </si>
  <si>
    <t>26.690000534057617</t>
  </si>
  <si>
    <t>27.114999771118164</t>
  </si>
  <si>
    <t>564889000</t>
  </si>
  <si>
    <t>2023-03-24</t>
  </si>
  <si>
    <t>26.764081954956055</t>
  </si>
  <si>
    <t>26.77899932861328</t>
  </si>
  <si>
    <t>27.16699981689453</t>
  </si>
  <si>
    <t>26.354999542236328</t>
  </si>
  <si>
    <t>27.0310001373291</t>
  </si>
  <si>
    <t>454920000</t>
  </si>
  <si>
    <t>2023-03-27</t>
  </si>
  <si>
    <t>26.516220092773438</t>
  </si>
  <si>
    <t>26.5310001373291</t>
  </si>
  <si>
    <t>27.0</t>
  </si>
  <si>
    <t>26.364999771118164</t>
  </si>
  <si>
    <t>26.836999893188477</t>
  </si>
  <si>
    <t>361026000</t>
  </si>
  <si>
    <t>2023-03-28</t>
  </si>
  <si>
    <t>26.395288467407227</t>
  </si>
  <si>
    <t>26.40999984741211</t>
  </si>
  <si>
    <t>26.51300048828125</t>
  </si>
  <si>
    <t>25.850000381469727</t>
  </si>
  <si>
    <t>26.44700050354004</t>
  </si>
  <si>
    <t>356104000</t>
  </si>
  <si>
    <t>2023-03-29</t>
  </si>
  <si>
    <t>26.968965530395508</t>
  </si>
  <si>
    <t>26.983999252319336</t>
  </si>
  <si>
    <t>27.077999114990234</t>
  </si>
  <si>
    <t>26.597000122070312</t>
  </si>
  <si>
    <t>26.825000762939453</t>
  </si>
  <si>
    <t>393694000</t>
  </si>
  <si>
    <t>2023-03-30</t>
  </si>
  <si>
    <t>27.36774444580078</t>
  </si>
  <si>
    <t>27.382999420166016</t>
  </si>
  <si>
    <t>27.101999282836914</t>
  </si>
  <si>
    <t>364516000</t>
  </si>
  <si>
    <t>2023-03-31</t>
  </si>
  <si>
    <t>27.761526107788086</t>
  </si>
  <si>
    <t>27.777000427246094</t>
  </si>
  <si>
    <t>27.833999633789062</t>
  </si>
  <si>
    <t>27.104999542236328</t>
  </si>
  <si>
    <t>27.139999389648438</t>
  </si>
  <si>
    <t>433933000</t>
  </si>
  <si>
    <t>2023-04-03</t>
  </si>
  <si>
    <t>27.949419021606445</t>
  </si>
  <si>
    <t>27.96500015258789</t>
  </si>
  <si>
    <t>28.0</t>
  </si>
  <si>
    <t>27.336000442504883</t>
  </si>
  <si>
    <t>27.509000778198242</t>
  </si>
  <si>
    <t>398716000</t>
  </si>
  <si>
    <t>2023-04-04</t>
  </si>
  <si>
    <t>27.437705993652344</t>
  </si>
  <si>
    <t>27.452999114990234</t>
  </si>
  <si>
    <t>27.30699920654297</t>
  </si>
  <si>
    <t>27.965999603271484</t>
  </si>
  <si>
    <t>368592000</t>
  </si>
  <si>
    <t>2023-04-05</t>
  </si>
  <si>
    <t>26.866025924682617</t>
  </si>
  <si>
    <t>26.881000518798828</t>
  </si>
  <si>
    <t>26.99799919128418</t>
  </si>
  <si>
    <t>26.395000457763672</t>
  </si>
  <si>
    <t>26.82900047302246</t>
  </si>
  <si>
    <t>515015000</t>
  </si>
  <si>
    <t>2023-04-06</t>
  </si>
  <si>
    <t>27.021940231323242</t>
  </si>
  <si>
    <t>27.03700065612793</t>
  </si>
  <si>
    <t>27.079999923706055</t>
  </si>
  <si>
    <t>26.427000045776367</t>
  </si>
  <si>
    <t>26.583999633789062</t>
  </si>
  <si>
    <t>397654000</t>
  </si>
  <si>
    <t>2023-04-10</t>
  </si>
  <si>
    <t>27.56363296508789</t>
  </si>
  <si>
    <t>27.57900047302246</t>
  </si>
  <si>
    <t>27.621000289916992</t>
  </si>
  <si>
    <t>26.66900062561035</t>
  </si>
  <si>
    <t>26.822999954223633</t>
  </si>
  <si>
    <t>395279000</t>
  </si>
  <si>
    <t>2023-04-11</t>
  </si>
  <si>
    <t>27.15386390686035</t>
  </si>
  <si>
    <t>27.16900062561035</t>
  </si>
  <si>
    <t>27.790000915527344</t>
  </si>
  <si>
    <t>27.125999450683594</t>
  </si>
  <si>
    <t>27.724000930786133</t>
  </si>
  <si>
    <t>314378000</t>
  </si>
  <si>
    <t>2023-04-12</t>
  </si>
  <si>
    <t>26.480239868164062</t>
  </si>
  <si>
    <t>27.468000411987305</t>
  </si>
  <si>
    <t>26.447999954223633</t>
  </si>
  <si>
    <t>27.3700008392334</t>
  </si>
  <si>
    <t>446259000</t>
  </si>
  <si>
    <t>2023-04-13</t>
  </si>
  <si>
    <t>26.448257446289062</t>
  </si>
  <si>
    <t>26.46299934387207</t>
  </si>
  <si>
    <t>26.886999130249023</t>
  </si>
  <si>
    <t>26.32900047302246</t>
  </si>
  <si>
    <t>353615000</t>
  </si>
  <si>
    <t>2023-04-14</t>
  </si>
  <si>
    <t>26.743093490600586</t>
  </si>
  <si>
    <t>26.757999420166016</t>
  </si>
  <si>
    <t>26.882999420166016</t>
  </si>
  <si>
    <t>26.219999313354492</t>
  </si>
  <si>
    <t>26.503999710083008</t>
  </si>
  <si>
    <t>395660000</t>
  </si>
  <si>
    <t>2023-04-17</t>
  </si>
  <si>
    <t>26.986955642700195</t>
  </si>
  <si>
    <t>27.00200080871582</t>
  </si>
  <si>
    <t>27.006000518798828</t>
  </si>
  <si>
    <t>26.433000564575195</t>
  </si>
  <si>
    <t>26.565000534057617</t>
  </si>
  <si>
    <t>321471000</t>
  </si>
  <si>
    <t>2023-04-18</t>
  </si>
  <si>
    <t>27.651588439941406</t>
  </si>
  <si>
    <t>27.66699981689453</t>
  </si>
  <si>
    <t>28.110000610351562</t>
  </si>
  <si>
    <t>27.35700035095215</t>
  </si>
  <si>
    <t>604812000</t>
  </si>
  <si>
    <t>2023-04-19</t>
  </si>
  <si>
    <t>27.915437698364258</t>
  </si>
  <si>
    <t>27.930999755859375</t>
  </si>
  <si>
    <t>27.23200035095215</t>
  </si>
  <si>
    <t>27.361000061035156</t>
  </si>
  <si>
    <t>358660000</t>
  </si>
  <si>
    <t>2023-04-20</t>
  </si>
  <si>
    <t>27.08890151977539</t>
  </si>
  <si>
    <t>27.104000091552734</t>
  </si>
  <si>
    <t>28.030000686645508</t>
  </si>
  <si>
    <t>27.67099952697754</t>
  </si>
  <si>
    <t>427713000</t>
  </si>
  <si>
    <t>2023-04-21</t>
  </si>
  <si>
    <t>27.10388946533203</t>
  </si>
  <si>
    <t>27.118999481201172</t>
  </si>
  <si>
    <t>27.183000564575195</t>
  </si>
  <si>
    <t>26.722000122070312</t>
  </si>
  <si>
    <t>26.95199966430664</t>
  </si>
  <si>
    <t>345103000</t>
  </si>
  <si>
    <t>2023-04-24</t>
  </si>
  <si>
    <t>27.02693748474121</t>
  </si>
  <si>
    <t>27.04199981689453</t>
  </si>
  <si>
    <t>27.365999221801758</t>
  </si>
  <si>
    <t>26.67099952697754</t>
  </si>
  <si>
    <t>27.01300048828125</t>
  </si>
  <si>
    <t>339282000</t>
  </si>
  <si>
    <t>2023-04-25</t>
  </si>
  <si>
    <t>26.226377487182617</t>
  </si>
  <si>
    <t>26.240999221801758</t>
  </si>
  <si>
    <t>26.225000381469727</t>
  </si>
  <si>
    <t>378527000</t>
  </si>
  <si>
    <t>2023-04-26</t>
  </si>
  <si>
    <t>26.94097900390625</t>
  </si>
  <si>
    <t>26.95599937438965</t>
  </si>
  <si>
    <t>27.329999923706055</t>
  </si>
  <si>
    <t>406337000</t>
  </si>
  <si>
    <t>2023-04-27</t>
  </si>
  <si>
    <t>27.210832595825195</t>
  </si>
  <si>
    <t>27.22599983215332</t>
  </si>
  <si>
    <t>27.4950008392334</t>
  </si>
  <si>
    <t>26.625</t>
  </si>
  <si>
    <t>27.363000869750977</t>
  </si>
  <si>
    <t>377161000</t>
  </si>
  <si>
    <t>2023-04-28</t>
  </si>
  <si>
    <t>27.73354148864746</t>
  </si>
  <si>
    <t>27.749000549316406</t>
  </si>
  <si>
    <t>27.757999420166016</t>
  </si>
  <si>
    <t>27.070999145507812</t>
  </si>
  <si>
    <t>27.225000381469727</t>
  </si>
  <si>
    <t>292216000</t>
  </si>
  <si>
    <t>2023-05-01</t>
  </si>
  <si>
    <t>28.893892288208008</t>
  </si>
  <si>
    <t>28.90999984741211</t>
  </si>
  <si>
    <t>29.058000564575195</t>
  </si>
  <si>
    <t>27.780000686645508</t>
  </si>
  <si>
    <t>27.84000015258789</t>
  </si>
  <si>
    <t>570329000</t>
  </si>
  <si>
    <t>2023-05-02</t>
  </si>
  <si>
    <t>28.19428062438965</t>
  </si>
  <si>
    <t>28.209999084472656</t>
  </si>
  <si>
    <t>28.836000442504883</t>
  </si>
  <si>
    <t>28.08300018310547</t>
  </si>
  <si>
    <t>28.68000030517578</t>
  </si>
  <si>
    <t>402730000</t>
  </si>
  <si>
    <t>2023-05-03</t>
  </si>
  <si>
    <t>27.786510467529297</t>
  </si>
  <si>
    <t>27.802000045776367</t>
  </si>
  <si>
    <t>28.367000579833984</t>
  </si>
  <si>
    <t>27.472000122070312</t>
  </si>
  <si>
    <t>383387000</t>
  </si>
  <si>
    <t>2023-05-04</t>
  </si>
  <si>
    <t>27.54664421081543</t>
  </si>
  <si>
    <t>27.562000274658203</t>
  </si>
  <si>
    <t>27.858999252319336</t>
  </si>
  <si>
    <t>27.239999771118164</t>
  </si>
  <si>
    <t>27.650999069213867</t>
  </si>
  <si>
    <t>321850000</t>
  </si>
  <si>
    <t>2023-05-05</t>
  </si>
  <si>
    <t>28.66402244567871</t>
  </si>
  <si>
    <t>28.7549991607666</t>
  </si>
  <si>
    <t>27.731000900268555</t>
  </si>
  <si>
    <t>27.826000213623047</t>
  </si>
  <si>
    <t>361494000</t>
  </si>
  <si>
    <t>2023-05-08</t>
  </si>
  <si>
    <t>29.13475799560547</t>
  </si>
  <si>
    <t>29.150999069213867</t>
  </si>
  <si>
    <t>29.219999313354492</t>
  </si>
  <si>
    <t>28.350000381469727</t>
  </si>
  <si>
    <t>28.52199935913086</t>
  </si>
  <si>
    <t>344979000</t>
  </si>
  <si>
    <t>2023-05-09</t>
  </si>
  <si>
    <t>28.555082321166992</t>
  </si>
  <si>
    <t>28.570999145507812</t>
  </si>
  <si>
    <t>28.972999572753906</t>
  </si>
  <si>
    <t>28.450000762939453</t>
  </si>
  <si>
    <t>28.89900016784668</t>
  </si>
  <si>
    <t>314869000</t>
  </si>
  <si>
    <t>2023-05-10</t>
  </si>
  <si>
    <t>28.868907928466797</t>
  </si>
  <si>
    <t>28.885000228881836</t>
  </si>
  <si>
    <t>29.113000869750977</t>
  </si>
  <si>
    <t>28.461000442504883</t>
  </si>
  <si>
    <t>29.0049991607666</t>
  </si>
  <si>
    <t>369350000</t>
  </si>
  <si>
    <t>2023-05-11</t>
  </si>
  <si>
    <t>28.562076568603516</t>
  </si>
  <si>
    <t>28.577999114990234</t>
  </si>
  <si>
    <t>28.950000762939453</t>
  </si>
  <si>
    <t>28.246000289916992</t>
  </si>
  <si>
    <t>28.895999908447266</t>
  </si>
  <si>
    <t>322149000</t>
  </si>
  <si>
    <t>2023-05-12</t>
  </si>
  <si>
    <t>28.3242130279541</t>
  </si>
  <si>
    <t>28.34000015258789</t>
  </si>
  <si>
    <t>28.780000686645508</t>
  </si>
  <si>
    <t>28.04599952697754</t>
  </si>
  <si>
    <t>28.52899932861328</t>
  </si>
  <si>
    <t>274222000</t>
  </si>
  <si>
    <t>2023-05-15</t>
  </si>
  <si>
    <t>28.936866760253906</t>
  </si>
  <si>
    <t>28.952999114990234</t>
  </si>
  <si>
    <t>28.9689998626709</t>
  </si>
  <si>
    <t>28.152000427246094</t>
  </si>
  <si>
    <t>28.507999420166016</t>
  </si>
  <si>
    <t>293926000</t>
  </si>
  <si>
    <t>2023-05-16</t>
  </si>
  <si>
    <t>29.19672393798828</t>
  </si>
  <si>
    <t>29.21299934387207</t>
  </si>
  <si>
    <t>29.8700008392334</t>
  </si>
  <si>
    <t>28.832000732421875</t>
  </si>
  <si>
    <t>28.840999603271484</t>
  </si>
  <si>
    <t>449405000</t>
  </si>
  <si>
    <t>2023-05-17</t>
  </si>
  <si>
    <t>30.16118621826172</t>
  </si>
  <si>
    <t>30.17799949645996</t>
  </si>
  <si>
    <t>30.198999404907227</t>
  </si>
  <si>
    <t>29.43000030517578</t>
  </si>
  <si>
    <t>29.583999633789062</t>
  </si>
  <si>
    <t>432535000</t>
  </si>
  <si>
    <t>2023-05-18</t>
  </si>
  <si>
    <t>31.66035270690918</t>
  </si>
  <si>
    <t>31.67799949645996</t>
  </si>
  <si>
    <t>31.827999114990234</t>
  </si>
  <si>
    <t>30.31999969482422</t>
  </si>
  <si>
    <t>30.40999984741211</t>
  </si>
  <si>
    <t>748725000</t>
  </si>
  <si>
    <t>2023-05-19</t>
  </si>
  <si>
    <t>31.246580123901367</t>
  </si>
  <si>
    <t>31.263999938964844</t>
  </si>
  <si>
    <t>31.579999923706055</t>
  </si>
  <si>
    <t>30.916000366210938</t>
  </si>
  <si>
    <t>31.535999298095703</t>
  </si>
  <si>
    <t>473908000</t>
  </si>
  <si>
    <t>2023-05-22</t>
  </si>
  <si>
    <t>31.158632278442383</t>
  </si>
  <si>
    <t>31.176000595092773</t>
  </si>
  <si>
    <t>31.520000457763672</t>
  </si>
  <si>
    <t>30.900999069213867</t>
  </si>
  <si>
    <t>372000000</t>
  </si>
  <si>
    <t>2023-05-23</t>
  </si>
  <si>
    <t>30.6709041595459</t>
  </si>
  <si>
    <t>30.687999725341797</t>
  </si>
  <si>
    <t>31.288000106811523</t>
  </si>
  <si>
    <t>30.631000518798828</t>
  </si>
  <si>
    <t>31.0</t>
  </si>
  <si>
    <t>356253000</t>
  </si>
  <si>
    <t>2023-05-24</t>
  </si>
  <si>
    <t>30.520986557006836</t>
  </si>
  <si>
    <t>30.538000106811523</t>
  </si>
  <si>
    <t>30.60700035095215</t>
  </si>
  <si>
    <t>29.805999755859375</t>
  </si>
  <si>
    <t>30.209999084472656</t>
  </si>
  <si>
    <t>721419000</t>
  </si>
  <si>
    <t>2023-05-25</t>
  </si>
  <si>
    <t>37.958839416503906</t>
  </si>
  <si>
    <t>37.97999954223633</t>
  </si>
  <si>
    <t>39.47999954223633</t>
  </si>
  <si>
    <t>36.6349983215332</t>
  </si>
  <si>
    <t>38.52299880981445</t>
  </si>
  <si>
    <t>1543911000</t>
  </si>
  <si>
    <t>2023-05-26</t>
  </si>
  <si>
    <t>38.92430114746094</t>
  </si>
  <si>
    <t>38.94599914550781</t>
  </si>
  <si>
    <t>39.16999816894531</t>
  </si>
  <si>
    <t>37.54999923706055</t>
  </si>
  <si>
    <t>37.88999938964844</t>
  </si>
  <si>
    <t>714397000</t>
  </si>
  <si>
    <t>2023-05-30</t>
  </si>
  <si>
    <t>40.088653564453125</t>
  </si>
  <si>
    <t>40.111000061035156</t>
  </si>
  <si>
    <t>41.9379997253418</t>
  </si>
  <si>
    <t>39.94900131225586</t>
  </si>
  <si>
    <t>40.595001220703125</t>
  </si>
  <si>
    <t>923401000</t>
  </si>
  <si>
    <t>2023-05-31</t>
  </si>
  <si>
    <t>37.81291961669922</t>
  </si>
  <si>
    <t>37.83399963378906</t>
  </si>
  <si>
    <t>40.29499816894531</t>
  </si>
  <si>
    <t>37.821998596191406</t>
  </si>
  <si>
    <t>39.487998962402344</t>
  </si>
  <si>
    <t>1002580000</t>
  </si>
  <si>
    <t>2023-06-01</t>
  </si>
  <si>
    <t>39.74784469604492</t>
  </si>
  <si>
    <t>39.77000045776367</t>
  </si>
  <si>
    <t>40.04999923706055</t>
  </si>
  <si>
    <t>38.34000015258789</t>
  </si>
  <si>
    <t>38.48899841308594</t>
  </si>
  <si>
    <t>635873000</t>
  </si>
  <si>
    <t>2023-06-02</t>
  </si>
  <si>
    <t>39.305091857910156</t>
  </si>
  <si>
    <t>39.32699966430664</t>
  </si>
  <si>
    <t>40.5</t>
  </si>
  <si>
    <t>39.05799865722656</t>
  </si>
  <si>
    <t>40.09700012207031</t>
  </si>
  <si>
    <t>482731000</t>
  </si>
  <si>
    <t>2023-06-05</t>
  </si>
  <si>
    <t>39.1491813659668</t>
  </si>
  <si>
    <t>39.17100143432617</t>
  </si>
  <si>
    <t>39.564998626708984</t>
  </si>
  <si>
    <t>38.707000732421875</t>
  </si>
  <si>
    <t>38.909000396728516</t>
  </si>
  <si>
    <t>396094000</t>
  </si>
  <si>
    <t>2023-06-06</t>
  </si>
  <si>
    <t>38.63246536254883</t>
  </si>
  <si>
    <t>38.65399932861328</t>
  </si>
  <si>
    <t>39.15999984741211</t>
  </si>
  <si>
    <t>38.14799880981445</t>
  </si>
  <si>
    <t>38.83000183105469</t>
  </si>
  <si>
    <t>388729000</t>
  </si>
  <si>
    <t>2023-06-07</t>
  </si>
  <si>
    <t>37.45799255371094</t>
  </si>
  <si>
    <t>37.474998474121094</t>
  </si>
  <si>
    <t>39.499000549316406</t>
  </si>
  <si>
    <t>37.35599899291992</t>
  </si>
  <si>
    <t>38.915000915527344</t>
  </si>
  <si>
    <t>511998000</t>
  </si>
  <si>
    <t>2023-06-08</t>
  </si>
  <si>
    <t>38.492530822753906</t>
  </si>
  <si>
    <t>38.5099983215332</t>
  </si>
  <si>
    <t>38.86399841308594</t>
  </si>
  <si>
    <t>37.505001068115234</t>
  </si>
  <si>
    <t>37.7239990234375</t>
  </si>
  <si>
    <t>417772000</t>
  </si>
  <si>
    <t>2023-06-09</t>
  </si>
  <si>
    <t>38.75240707397461</t>
  </si>
  <si>
    <t>38.77000045776367</t>
  </si>
  <si>
    <t>39.71099853515625</t>
  </si>
  <si>
    <t>38.56700134277344</t>
  </si>
  <si>
    <t>39.0369987487793</t>
  </si>
  <si>
    <t>427717000</t>
  </si>
  <si>
    <t>2023-06-12</t>
  </si>
  <si>
    <t>39.464088439941406</t>
  </si>
  <si>
    <t>39.481998443603516</t>
  </si>
  <si>
    <t>39.529998779296875</t>
  </si>
  <si>
    <t>38.61800003051758</t>
  </si>
  <si>
    <t>39.20000076293945</t>
  </si>
  <si>
    <t>388701000</t>
  </si>
  <si>
    <t>2023-06-13</t>
  </si>
  <si>
    <t>41.00339126586914</t>
  </si>
  <si>
    <t>41.02199935913086</t>
  </si>
  <si>
    <t>41.10100173950195</t>
  </si>
  <si>
    <t>39.7400016784668</t>
  </si>
  <si>
    <t>40.18600082397461</t>
  </si>
  <si>
    <t>613208000</t>
  </si>
  <si>
    <t>2023-06-14</t>
  </si>
  <si>
    <t>42.97749328613281</t>
  </si>
  <si>
    <t>42.99700164794922</t>
  </si>
  <si>
    <t>43.0</t>
  </si>
  <si>
    <t>40.551998138427734</t>
  </si>
  <si>
    <t>40.82400131225586</t>
  </si>
  <si>
    <t>740465000</t>
  </si>
  <si>
    <t>2023-06-15</t>
  </si>
  <si>
    <t>42.63365173339844</t>
  </si>
  <si>
    <t>42.65299987792969</t>
  </si>
  <si>
    <t>43.28900146484375</t>
  </si>
  <si>
    <t>42.14699935913086</t>
  </si>
  <si>
    <t>42.60200119018555</t>
  </si>
  <si>
    <t>568622000</t>
  </si>
  <si>
    <t>2023-06-16</t>
  </si>
  <si>
    <t>42.672630310058594</t>
  </si>
  <si>
    <t>42.69200134277344</t>
  </si>
  <si>
    <t>43.72100067138672</t>
  </si>
  <si>
    <t>42.6609992980957</t>
  </si>
  <si>
    <t>43.45000076293945</t>
  </si>
  <si>
    <t>655709000</t>
  </si>
  <si>
    <t>2023-06-20</t>
  </si>
  <si>
    <t>43.78812026977539</t>
  </si>
  <si>
    <t>43.80799865722656</t>
  </si>
  <si>
    <t>43.9900016784668</t>
  </si>
  <si>
    <t>42.67399978637695</t>
  </si>
  <si>
    <t>42.99800109863281</t>
  </si>
  <si>
    <t>451153000</t>
  </si>
  <si>
    <t>2023-06-21</t>
  </si>
  <si>
    <t>43.02547073364258</t>
  </si>
  <si>
    <t>43.04499816894531</t>
  </si>
  <si>
    <t>43.6150016784668</t>
  </si>
  <si>
    <t>42.08000183105469</t>
  </si>
  <si>
    <t>43.500999450683594</t>
  </si>
  <si>
    <t>551603000</t>
  </si>
  <si>
    <t>2023-06-22</t>
  </si>
  <si>
    <t>43.00547790527344</t>
  </si>
  <si>
    <t>43.025001525878906</t>
  </si>
  <si>
    <t>43.42599868774414</t>
  </si>
  <si>
    <t>42.23400115966797</t>
  </si>
  <si>
    <t>42.25299835205078</t>
  </si>
  <si>
    <t>417737000</t>
  </si>
  <si>
    <t>2023-06-23</t>
  </si>
  <si>
    <t>42.189849853515625</t>
  </si>
  <si>
    <t>42.20899963378906</t>
  </si>
  <si>
    <t>42.808998107910156</t>
  </si>
  <si>
    <t>42.01499938964844</t>
  </si>
  <si>
    <t>42.4640007019043</t>
  </si>
  <si>
    <t>358140000</t>
  </si>
  <si>
    <t>2023-06-26</t>
  </si>
  <si>
    <t>40.613563537597656</t>
  </si>
  <si>
    <t>40.63199996948242</t>
  </si>
  <si>
    <t>42.763999938964844</t>
  </si>
  <si>
    <t>40.099998474121094</t>
  </si>
  <si>
    <t>42.46099853515625</t>
  </si>
  <si>
    <t>594322000</t>
  </si>
  <si>
    <t>2023-06-27</t>
  </si>
  <si>
    <t>41.856998443603516</t>
  </si>
  <si>
    <t>41.875999450683594</t>
  </si>
  <si>
    <t>41.939998626708984</t>
  </si>
  <si>
    <t>40.448001861572266</t>
  </si>
  <si>
    <t>40.79899978637695</t>
  </si>
  <si>
    <t>462175000</t>
  </si>
  <si>
    <t>2023-06-28</t>
  </si>
  <si>
    <t>41.09834671020508</t>
  </si>
  <si>
    <t>41.117000579833984</t>
  </si>
  <si>
    <t>41.845001220703125</t>
  </si>
  <si>
    <t>40.518001556396484</t>
  </si>
  <si>
    <t>40.65999984741211</t>
  </si>
  <si>
    <t>582639000</t>
  </si>
  <si>
    <t>2023-06-29</t>
  </si>
  <si>
    <t>40.8034782409668</t>
  </si>
  <si>
    <t>40.821998596191406</t>
  </si>
  <si>
    <t>41.599998474121094</t>
  </si>
  <si>
    <t>40.599998474121094</t>
  </si>
  <si>
    <t>41.55799865722656</t>
  </si>
  <si>
    <t>380514000</t>
  </si>
  <si>
    <t>2023-06-30</t>
  </si>
  <si>
    <t>42.282806396484375</t>
  </si>
  <si>
    <t>42.301998138427734</t>
  </si>
  <si>
    <t>42.54999923706055</t>
  </si>
  <si>
    <t>41.500999450683594</t>
  </si>
  <si>
    <t>41.68000030517578</t>
  </si>
  <si>
    <t>501148000</t>
  </si>
  <si>
    <t>2023-07-03</t>
  </si>
  <si>
    <t>42.39375686645508</t>
  </si>
  <si>
    <t>42.41299819946289</t>
  </si>
  <si>
    <t>42.89799880981445</t>
  </si>
  <si>
    <t>42.20199966430664</t>
  </si>
  <si>
    <t>42.516998291015625</t>
  </si>
  <si>
    <t>198209000</t>
  </si>
  <si>
    <t>2023-07-05</t>
  </si>
  <si>
    <t>42.29780578613281</t>
  </si>
  <si>
    <t>42.31700134277344</t>
  </si>
  <si>
    <t>43.176998138427734</t>
  </si>
  <si>
    <t>42.084999084472656</t>
  </si>
  <si>
    <t>42.1349983215332</t>
  </si>
  <si>
    <t>323618000</t>
  </si>
  <si>
    <t>2023-07-06</t>
  </si>
  <si>
    <t>42.083900451660156</t>
  </si>
  <si>
    <t>42.10300064086914</t>
  </si>
  <si>
    <t>42.17900085449219</t>
  </si>
  <si>
    <t>41.34600067138672</t>
  </si>
  <si>
    <t>41.84400177001953</t>
  </si>
  <si>
    <t>303582000</t>
  </si>
  <si>
    <t>2023-07-07</t>
  </si>
  <si>
    <t>42.48371505737305</t>
  </si>
  <si>
    <t>42.50299835205078</t>
  </si>
  <si>
    <t>43.2140007019043</t>
  </si>
  <si>
    <t>42.18000030517578</t>
  </si>
  <si>
    <t>42.321998596191406</t>
  </si>
  <si>
    <t>355881000</t>
  </si>
  <si>
    <t>2023-07-10</t>
  </si>
  <si>
    <t>42.16086196899414</t>
  </si>
  <si>
    <t>42.81100082397461</t>
  </si>
  <si>
    <t>41.64899826049805</t>
  </si>
  <si>
    <t>42.65700149536133</t>
  </si>
  <si>
    <t>353908000</t>
  </si>
  <si>
    <t>2023-07-11</t>
  </si>
  <si>
    <t>42.38576126098633</t>
  </si>
  <si>
    <t>42.404998779296875</t>
  </si>
  <si>
    <t>42.757999420166016</t>
  </si>
  <si>
    <t>42.06700134277344</t>
  </si>
  <si>
    <t>42.48099899291992</t>
  </si>
  <si>
    <t>298244000</t>
  </si>
  <si>
    <t>2023-07-12</t>
  </si>
  <si>
    <t>43.882080078125</t>
  </si>
  <si>
    <t>43.902000427246094</t>
  </si>
  <si>
    <t>43.935001373291016</t>
  </si>
  <si>
    <t>42.777000427246094</t>
  </si>
  <si>
    <t>43.03300094604492</t>
  </si>
  <si>
    <t>481277000</t>
  </si>
  <si>
    <t>2023-07-13</t>
  </si>
  <si>
    <t>45.95614242553711</t>
  </si>
  <si>
    <t>45.97700119018555</t>
  </si>
  <si>
    <t>46.154998779296875</t>
  </si>
  <si>
    <t>44.492000579833984</t>
  </si>
  <si>
    <t>44.518001556396484</t>
  </si>
  <si>
    <t>478204000</t>
  </si>
  <si>
    <t>2023-07-14</t>
  </si>
  <si>
    <t>45.4483757019043</t>
  </si>
  <si>
    <t>45.46900177001953</t>
  </si>
  <si>
    <t>48.0880012512207</t>
  </si>
  <si>
    <t>45.060001373291016</t>
  </si>
  <si>
    <t>46.58300018310547</t>
  </si>
  <si>
    <t>772075000</t>
  </si>
  <si>
    <t>2023-07-17</t>
  </si>
  <si>
    <t>46.439918518066406</t>
  </si>
  <si>
    <t>46.46099853515625</t>
  </si>
  <si>
    <t>46.49599838256836</t>
  </si>
  <si>
    <t>45.262001037597656</t>
  </si>
  <si>
    <t>46.28900146484375</t>
  </si>
  <si>
    <t>510488000</t>
  </si>
  <si>
    <t>2023-07-18</t>
  </si>
  <si>
    <t>47.47244644165039</t>
  </si>
  <si>
    <t>47.49399948120117</t>
  </si>
  <si>
    <t>47.895999908447266</t>
  </si>
  <si>
    <t>45.73400115966797</t>
  </si>
  <si>
    <t>46.70100021362305</t>
  </si>
  <si>
    <t>569164000</t>
  </si>
  <si>
    <t>2023-07-19</t>
  </si>
  <si>
    <t>47.055641174316406</t>
  </si>
  <si>
    <t>47.07699966430664</t>
  </si>
  <si>
    <t>47.81800079345703</t>
  </si>
  <si>
    <t>46.742000579833984</t>
  </si>
  <si>
    <t>47.4640007019043</t>
  </si>
  <si>
    <t>427502000</t>
  </si>
  <si>
    <t>2023-07-20</t>
  </si>
  <si>
    <t>45.49934768676758</t>
  </si>
  <si>
    <t>45.52000045776367</t>
  </si>
  <si>
    <t>47.08700180053711</t>
  </si>
  <si>
    <t>45.0620002746582</t>
  </si>
  <si>
    <t>46.50699996948242</t>
  </si>
  <si>
    <t>537865000</t>
  </si>
  <si>
    <t>2023-07-21</t>
  </si>
  <si>
    <t>44.28889846801758</t>
  </si>
  <si>
    <t>44.308998107910156</t>
  </si>
  <si>
    <t>45.86600112915039</t>
  </si>
  <si>
    <t>44.099998474121094</t>
  </si>
  <si>
    <t>45.78799819946289</t>
  </si>
  <si>
    <t>963769000</t>
  </si>
  <si>
    <t>2023-07-24</t>
  </si>
  <si>
    <t>44.59176254272461</t>
  </si>
  <si>
    <t>44.61199951171875</t>
  </si>
  <si>
    <t>45.10900115966797</t>
  </si>
  <si>
    <t>44.040000915527344</t>
  </si>
  <si>
    <t>44.73099899291992</t>
  </si>
  <si>
    <t>382516000</t>
  </si>
  <si>
    <t>2023-07-25</t>
  </si>
  <si>
    <t>45.65827560424805</t>
  </si>
  <si>
    <t>45.67900085449219</t>
  </si>
  <si>
    <t>46.18299865722656</t>
  </si>
  <si>
    <t>44.92300033569336</t>
  </si>
  <si>
    <t>44.941001892089844</t>
  </si>
  <si>
    <t>348081000</t>
  </si>
  <si>
    <t>2023-07-26</t>
  </si>
  <si>
    <t>45.431373596191406</t>
  </si>
  <si>
    <t>45.45199966430664</t>
  </si>
  <si>
    <t>46.053001403808594</t>
  </si>
  <si>
    <t>44.630001068115234</t>
  </si>
  <si>
    <t>46.020999908447266</t>
  </si>
  <si>
    <t>364237000</t>
  </si>
  <si>
    <t>2023-07-27</t>
  </si>
  <si>
    <t>45.87917709350586</t>
  </si>
  <si>
    <t>45.900001525878906</t>
  </si>
  <si>
    <t>47.39500045776367</t>
  </si>
  <si>
    <t>45.75</t>
  </si>
  <si>
    <t>46.51900100708008</t>
  </si>
  <si>
    <t>455976000</t>
  </si>
  <si>
    <t>2023-07-28</t>
  </si>
  <si>
    <t>46.72879409790039</t>
  </si>
  <si>
    <t>46.75</t>
  </si>
  <si>
    <t>47.027000427246094</t>
  </si>
  <si>
    <t>46.38100051879883</t>
  </si>
  <si>
    <t>46.667999267578125</t>
  </si>
  <si>
    <t>331194000</t>
  </si>
  <si>
    <t>2023-07-31</t>
  </si>
  <si>
    <t>46.70779800415039</t>
  </si>
  <si>
    <t>46.729000091552734</t>
  </si>
  <si>
    <t>47.130001068115234</t>
  </si>
  <si>
    <t>46.50600051879883</t>
  </si>
  <si>
    <t>46.75400161743164</t>
  </si>
  <si>
    <t>251055000</t>
  </si>
  <si>
    <t>2023-08-01</t>
  </si>
  <si>
    <t>46.485897064208984</t>
  </si>
  <si>
    <t>46.900001525878906</t>
  </si>
  <si>
    <t>46.027000427246094</t>
  </si>
  <si>
    <t>46.459999084472656</t>
  </si>
  <si>
    <t>237858000</t>
  </si>
  <si>
    <t>2023-08-02</t>
  </si>
  <si>
    <t>44.24892044067383</t>
  </si>
  <si>
    <t>44.26900100708008</t>
  </si>
  <si>
    <t>45.84000015258789</t>
  </si>
  <si>
    <t>43.387001037597656</t>
  </si>
  <si>
    <t>45.83100128173828</t>
  </si>
  <si>
    <t>530142000</t>
  </si>
  <si>
    <t>2023-08-03</t>
  </si>
  <si>
    <t>44.49480438232422</t>
  </si>
  <si>
    <t>44.51499938964844</t>
  </si>
  <si>
    <t>45.11800003051758</t>
  </si>
  <si>
    <t>43.79999923706055</t>
  </si>
  <si>
    <t>324176000</t>
  </si>
  <si>
    <t>2023-08-04</t>
  </si>
  <si>
    <t>44.65972900390625</t>
  </si>
  <si>
    <t>44.68000030517578</t>
  </si>
  <si>
    <t>45.641998291015625</t>
  </si>
  <si>
    <t>44.393001556396484</t>
  </si>
  <si>
    <t>44.98500061035156</t>
  </si>
  <si>
    <t>362666000</t>
  </si>
  <si>
    <t>2023-08-07</t>
  </si>
  <si>
    <t>45.39639663696289</t>
  </si>
  <si>
    <t>45.41699981689453</t>
  </si>
  <si>
    <t>45.540000915527344</t>
  </si>
  <si>
    <t>44.5629997253418</t>
  </si>
  <si>
    <t>45.111000061035156</t>
  </si>
  <si>
    <t>322154000</t>
  </si>
  <si>
    <t>2023-08-08</t>
  </si>
  <si>
    <t>44.643741607666016</t>
  </si>
  <si>
    <t>44.66400146484375</t>
  </si>
  <si>
    <t>45.242000579833984</t>
  </si>
  <si>
    <t>44.055999755859375</t>
  </si>
  <si>
    <t>44.85300064086914</t>
  </si>
  <si>
    <t>353843000</t>
  </si>
  <si>
    <t>2023-08-09</t>
  </si>
  <si>
    <t>42.53469467163086</t>
  </si>
  <si>
    <t>42.55400085449219</t>
  </si>
  <si>
    <t>44.3120002746582</t>
  </si>
  <si>
    <t>42.13399887084961</t>
  </si>
  <si>
    <t>44.27399826049805</t>
  </si>
  <si>
    <t>586449000</t>
  </si>
  <si>
    <t>2023-08-10</t>
  </si>
  <si>
    <t>42.368770599365234</t>
  </si>
  <si>
    <t>42.38800048828125</t>
  </si>
  <si>
    <t>43.57400131225586</t>
  </si>
  <si>
    <t>41.834999084472656</t>
  </si>
  <si>
    <t>42.15999984741211</t>
  </si>
  <si>
    <t>492705000</t>
  </si>
  <si>
    <t>2023-08-11</t>
  </si>
  <si>
    <t>40.83646011352539</t>
  </si>
  <si>
    <t>40.85499954223633</t>
  </si>
  <si>
    <t>42.018001556396484</t>
  </si>
  <si>
    <t>40.638999938964844</t>
  </si>
  <si>
    <t>41.750999450683594</t>
  </si>
  <si>
    <t>533085000</t>
  </si>
  <si>
    <t>2023-08-14</t>
  </si>
  <si>
    <t>43.733150482177734</t>
  </si>
  <si>
    <t>43.75299835205078</t>
  </si>
  <si>
    <t>40.31100082397461</t>
  </si>
  <si>
    <t>40.486000061035156</t>
  </si>
  <si>
    <t>690286000</t>
  </si>
  <si>
    <t>2023-08-15</t>
  </si>
  <si>
    <t>43.920066833496094</t>
  </si>
  <si>
    <t>43.939998626708984</t>
  </si>
  <si>
    <t>45.268001556396484</t>
  </si>
  <si>
    <t>43.709999084472656</t>
  </si>
  <si>
    <t>44.560001373291016</t>
  </si>
  <si>
    <t>676512000</t>
  </si>
  <si>
    <t>2023-08-16</t>
  </si>
  <si>
    <t>43.466270446777344</t>
  </si>
  <si>
    <t>43.486000061035156</t>
  </si>
  <si>
    <t>44.67499923706055</t>
  </si>
  <si>
    <t>43.40599822998047</t>
  </si>
  <si>
    <t>44.52000045776367</t>
  </si>
  <si>
    <t>527451000</t>
  </si>
  <si>
    <t>2023-08-17</t>
  </si>
  <si>
    <t>43.32433319091797</t>
  </si>
  <si>
    <t>43.34400177001953</t>
  </si>
  <si>
    <t>44.0620002746582</t>
  </si>
  <si>
    <t>43.000999450683594</t>
  </si>
  <si>
    <t>43.970001220703125</t>
  </si>
  <si>
    <t>452395000</t>
  </si>
  <si>
    <t>2023-08-18</t>
  </si>
  <si>
    <t>43.279354095458984</t>
  </si>
  <si>
    <t>43.29899978637695</t>
  </si>
  <si>
    <t>43.577999114990234</t>
  </si>
  <si>
    <t>41.65999984741211</t>
  </si>
  <si>
    <t>42.6349983215332</t>
  </si>
  <si>
    <t>583768000</t>
  </si>
  <si>
    <t>2023-08-21</t>
  </si>
  <si>
    <t>46.94569396972656</t>
  </si>
  <si>
    <t>46.96699905395508</t>
  </si>
  <si>
    <t>47.064998626708984</t>
  </si>
  <si>
    <t>44.22200012207031</t>
  </si>
  <si>
    <t>44.49399948120117</t>
  </si>
  <si>
    <t>692573000</t>
  </si>
  <si>
    <t>2023-08-22</t>
  </si>
  <si>
    <t>45.64727783203125</t>
  </si>
  <si>
    <t>45.667999267578125</t>
  </si>
  <si>
    <t>48.1870002746582</t>
  </si>
  <si>
    <t>45.33300018310547</t>
  </si>
  <si>
    <t>48.1349983215332</t>
  </si>
  <si>
    <t>755293000</t>
  </si>
  <si>
    <t>2023-08-23</t>
  </si>
  <si>
    <t>47.094627380371094</t>
  </si>
  <si>
    <t>47.11600112915039</t>
  </si>
  <si>
    <t>47.20000076293945</t>
  </si>
  <si>
    <t>45.20800018310547</t>
  </si>
  <si>
    <t>779046000</t>
  </si>
  <si>
    <t>2023-08-24</t>
  </si>
  <si>
    <t>47.1416015625</t>
  </si>
  <si>
    <t>47.16299819946289</t>
  </si>
  <si>
    <t>50.26599884033203</t>
  </si>
  <si>
    <t>47.159000396728516</t>
  </si>
  <si>
    <t>50.215999603271484</t>
  </si>
  <si>
    <t>1156044000</t>
  </si>
  <si>
    <t>2023-08-25</t>
  </si>
  <si>
    <t>45.99711990356445</t>
  </si>
  <si>
    <t>46.018001556396484</t>
  </si>
  <si>
    <t>47.80500030517578</t>
  </si>
  <si>
    <t>45.02399826049805</t>
  </si>
  <si>
    <t>47.012001037597656</t>
  </si>
  <si>
    <t>925341000</t>
  </si>
  <si>
    <t>2023-08-28</t>
  </si>
  <si>
    <t>46.813751220703125</t>
  </si>
  <si>
    <t>46.834999084472656</t>
  </si>
  <si>
    <t>46.97999954223633</t>
  </si>
  <si>
    <t>44.88800048828125</t>
  </si>
  <si>
    <t>46.481998443603516</t>
  </si>
  <si>
    <t>685192000</t>
  </si>
  <si>
    <t>2023-08-29</t>
  </si>
  <si>
    <t>48.76186752319336</t>
  </si>
  <si>
    <t>48.784000396728516</t>
  </si>
  <si>
    <t>49.08100128173828</t>
  </si>
  <si>
    <t>46.39099884033203</t>
  </si>
  <si>
    <t>46.66600036621094</t>
  </si>
  <si>
    <t>701397000</t>
  </si>
  <si>
    <t>2023-08-30</t>
  </si>
  <si>
    <t>49.24164962768555</t>
  </si>
  <si>
    <t>49.263999938964844</t>
  </si>
  <si>
    <t>49.926998138427734</t>
  </si>
  <si>
    <t>48.42499923706055</t>
  </si>
  <si>
    <t>49.04399871826172</t>
  </si>
  <si>
    <t>735206000</t>
  </si>
  <si>
    <t>2023-08-31</t>
  </si>
  <si>
    <t>49.332611083984375</t>
  </si>
  <si>
    <t>49.35499954223633</t>
  </si>
  <si>
    <t>49.74399948120117</t>
  </si>
  <si>
    <t>48.95800018310547</t>
  </si>
  <si>
    <t>49.380001068115234</t>
  </si>
  <si>
    <t>528570000</t>
  </si>
  <si>
    <t>2023-09-01</t>
  </si>
  <si>
    <t>48.486995697021484</t>
  </si>
  <si>
    <t>48.50899887084961</t>
  </si>
  <si>
    <t>49.79999923706055</t>
  </si>
  <si>
    <t>48.141998291015625</t>
  </si>
  <si>
    <t>49.762001037597656</t>
  </si>
  <si>
    <t>463830000</t>
  </si>
  <si>
    <t>2023-09-05</t>
  </si>
  <si>
    <t>48.52597427368164</t>
  </si>
  <si>
    <t>48.54800033569336</t>
  </si>
  <si>
    <t>48.85100173950195</t>
  </si>
  <si>
    <t>47.86000061035156</t>
  </si>
  <si>
    <t>48.222999572753906</t>
  </si>
  <si>
    <t>382653000</t>
  </si>
  <si>
    <t>2023-09-06</t>
  </si>
  <si>
    <t>47.043521881103516</t>
  </si>
  <si>
    <t>47.06100082397461</t>
  </si>
  <si>
    <t>48.54899978637695</t>
  </si>
  <si>
    <t>46.58000183105469</t>
  </si>
  <si>
    <t>48.441001892089844</t>
  </si>
  <si>
    <t>468670000</t>
  </si>
  <si>
    <t>2023-09-07</t>
  </si>
  <si>
    <t>46.22382736206055</t>
  </si>
  <si>
    <t>46.24100112915039</t>
  </si>
  <si>
    <t>46.34400177001953</t>
  </si>
  <si>
    <t>45.152000427246094</t>
  </si>
  <si>
    <t>45.525001525878906</t>
  </si>
  <si>
    <t>433330000</t>
  </si>
  <si>
    <t>2023-09-08</t>
  </si>
  <si>
    <t>45.555076599121094</t>
  </si>
  <si>
    <t>45.571998596191406</t>
  </si>
  <si>
    <t>46.60599899291992</t>
  </si>
  <si>
    <t>45.270999908447266</t>
  </si>
  <si>
    <t>45.94200134277344</t>
  </si>
  <si>
    <t>473069000</t>
  </si>
  <si>
    <t>2023-09-11</t>
  </si>
  <si>
    <t>45.161224365234375</t>
  </si>
  <si>
    <t>45.178001403808594</t>
  </si>
  <si>
    <t>46.16299819946289</t>
  </si>
  <si>
    <t>46.14799880981445</t>
  </si>
  <si>
    <t>473966000</t>
  </si>
  <si>
    <t>2023-09-12</t>
  </si>
  <si>
    <t>44.853336334228516</t>
  </si>
  <si>
    <t>44.869998931884766</t>
  </si>
  <si>
    <t>45.67300033569336</t>
  </si>
  <si>
    <t>44.53099822998047</t>
  </si>
  <si>
    <t>44.737998962402344</t>
  </si>
  <si>
    <t>349256000</t>
  </si>
  <si>
    <t>2023-09-13</t>
  </si>
  <si>
    <t>45.46811294555664</t>
  </si>
  <si>
    <t>45.48500061035156</t>
  </si>
  <si>
    <t>45.93000030517578</t>
  </si>
  <si>
    <t>44.50299835205078</t>
  </si>
  <si>
    <t>44.599998474121094</t>
  </si>
  <si>
    <t>398355000</t>
  </si>
  <si>
    <t>2023-09-14</t>
  </si>
  <si>
    <t>45.56407928466797</t>
  </si>
  <si>
    <t>45.58100128173828</t>
  </si>
  <si>
    <t>45.98699951171875</t>
  </si>
  <si>
    <t>45.13100051879883</t>
  </si>
  <si>
    <t>45.95000076293945</t>
  </si>
  <si>
    <t>370097000</t>
  </si>
  <si>
    <t>2023-09-15</t>
  </si>
  <si>
    <t>43.883697509765625</t>
  </si>
  <si>
    <t>43.900001525878906</t>
  </si>
  <si>
    <t>45.5989990234375</t>
  </si>
  <si>
    <t>45.340999603271484</t>
  </si>
  <si>
    <t>506831000</t>
  </si>
  <si>
    <t>2023-09-18</t>
  </si>
  <si>
    <t>43.949668884277344</t>
  </si>
  <si>
    <t>43.965999603271484</t>
  </si>
  <si>
    <t>44.242000579833984</t>
  </si>
  <si>
    <t>42.0</t>
  </si>
  <si>
    <t>42.74800109863281</t>
  </si>
  <si>
    <t>500271000</t>
  </si>
  <si>
    <t>2023-09-19</t>
  </si>
  <si>
    <t>43.50383758544922</t>
  </si>
  <si>
    <t>43.52000045776367</t>
  </si>
  <si>
    <t>43.00199890136719</t>
  </si>
  <si>
    <t>43.83300018310547</t>
  </si>
  <si>
    <t>373064000</t>
  </si>
  <si>
    <t>2023-09-20</t>
  </si>
  <si>
    <t>42.22331619262695</t>
  </si>
  <si>
    <t>42.23899841308594</t>
  </si>
  <si>
    <t>43.90299987792969</t>
  </si>
  <si>
    <t>42.222999572753906</t>
  </si>
  <si>
    <t>43.599998474121094</t>
  </si>
  <si>
    <t>367108000</t>
  </si>
  <si>
    <t>2023-09-21</t>
  </si>
  <si>
    <t>41.001766204833984</t>
  </si>
  <si>
    <t>41.016998291015625</t>
  </si>
  <si>
    <t>42.099998474121094</t>
  </si>
  <si>
    <t>40.97999954223633</t>
  </si>
  <si>
    <t>41.58300018310547</t>
  </si>
  <si>
    <t>450736000</t>
  </si>
  <si>
    <t>2023-09-22</t>
  </si>
  <si>
    <t>41.594547271728516</t>
  </si>
  <si>
    <t>41.61000061035156</t>
  </si>
  <si>
    <t>42.1150016784668</t>
  </si>
  <si>
    <t>41.23099899291992</t>
  </si>
  <si>
    <t>41.571998596191406</t>
  </si>
  <si>
    <t>479236000</t>
  </si>
  <si>
    <t>2023-09-25</t>
  </si>
  <si>
    <t>42.206321716308594</t>
  </si>
  <si>
    <t>42.22200012207031</t>
  </si>
  <si>
    <t>42.5359992980957</t>
  </si>
  <si>
    <t>41.176998138427734</t>
  </si>
  <si>
    <t>41.590999603271484</t>
  </si>
  <si>
    <t>419091000</t>
  </si>
  <si>
    <t>2023-09-26</t>
  </si>
  <si>
    <t>41.89543533325195</t>
  </si>
  <si>
    <t>41.9109992980957</t>
  </si>
  <si>
    <t>42.81999969482422</t>
  </si>
  <si>
    <t>41.654998779296875</t>
  </si>
  <si>
    <t>42.000999450683594</t>
  </si>
  <si>
    <t>402282000</t>
  </si>
  <si>
    <t>2023-09-27</t>
  </si>
  <si>
    <t>42.45222854614258</t>
  </si>
  <si>
    <t>42.46799850463867</t>
  </si>
  <si>
    <t>42.87200164794922</t>
  </si>
  <si>
    <t>41.62900161743164</t>
  </si>
  <si>
    <t>42.33000183105469</t>
  </si>
  <si>
    <t>444935000</t>
  </si>
  <si>
    <t>2023-09-28</t>
  </si>
  <si>
    <t>43.072998046875</t>
  </si>
  <si>
    <t>43.0890007019043</t>
  </si>
  <si>
    <t>43.44599914550781</t>
  </si>
  <si>
    <t>42.459999084472656</t>
  </si>
  <si>
    <t>424663000</t>
  </si>
  <si>
    <t>2023-09-29</t>
  </si>
  <si>
    <t>43.482845306396484</t>
  </si>
  <si>
    <t>43.499000549316406</t>
  </si>
  <si>
    <t>44.14400100708008</t>
  </si>
  <si>
    <t>43.30699920654297</t>
  </si>
  <si>
    <t>43.82699966430664</t>
  </si>
  <si>
    <t>397830000</t>
  </si>
  <si>
    <t>2023-10-02</t>
  </si>
  <si>
    <t>44.7653694152832</t>
  </si>
  <si>
    <t>44.78200149536133</t>
  </si>
  <si>
    <t>45.17499923706055</t>
  </si>
  <si>
    <t>43.861000061035156</t>
  </si>
  <si>
    <t>44.029998779296875</t>
  </si>
  <si>
    <t>433298000</t>
  </si>
  <si>
    <t>2023-10-03</t>
  </si>
  <si>
    <t>43.50083541870117</t>
  </si>
  <si>
    <t>43.516998291015625</t>
  </si>
  <si>
    <t>45.130001068115234</t>
  </si>
  <si>
    <t>43.24599838256836</t>
  </si>
  <si>
    <t>44.80799865722656</t>
  </si>
  <si>
    <t>470850000</t>
  </si>
  <si>
    <t>2023-10-04</t>
  </si>
  <si>
    <t>44.02465057373047</t>
  </si>
  <si>
    <t>44.04100036621094</t>
  </si>
  <si>
    <t>44.143001556396484</t>
  </si>
  <si>
    <t>43.29199981689453</t>
  </si>
  <si>
    <t>43.742000579833984</t>
  </si>
  <si>
    <t>361821000</t>
  </si>
  <si>
    <t>2023-10-05</t>
  </si>
  <si>
    <t>44.67140579223633</t>
  </si>
  <si>
    <t>44.6879997253418</t>
  </si>
  <si>
    <t>44.900001525878906</t>
  </si>
  <si>
    <t>43.88800048828125</t>
  </si>
  <si>
    <t>44.04999923706055</t>
  </si>
  <si>
    <t>393483000</t>
  </si>
  <si>
    <t>2023-10-06</t>
  </si>
  <si>
    <t>45.7450065612793</t>
  </si>
  <si>
    <t>45.762001037597656</t>
  </si>
  <si>
    <t>45.78900146484375</t>
  </si>
  <si>
    <t>44.0260009765625</t>
  </si>
  <si>
    <t>44.19300079345703</t>
  </si>
  <si>
    <t>434436000</t>
  </si>
  <si>
    <t>2023-10-09</t>
  </si>
  <si>
    <t>45.256187438964844</t>
  </si>
  <si>
    <t>45.27299880981445</t>
  </si>
  <si>
    <t>45.60499954223633</t>
  </si>
  <si>
    <t>44.36800003051758</t>
  </si>
  <si>
    <t>44.84199905395508</t>
  </si>
  <si>
    <t>409675000</t>
  </si>
  <si>
    <t>2023-10-10</t>
  </si>
  <si>
    <t>45.78099060058594</t>
  </si>
  <si>
    <t>45.79800033569336</t>
  </si>
  <si>
    <t>46.25899887084961</t>
  </si>
  <si>
    <t>45.0880012512207</t>
  </si>
  <si>
    <t>45.310001373291016</t>
  </si>
  <si>
    <t>368582000</t>
  </si>
  <si>
    <t>2023-10-11</t>
  </si>
  <si>
    <t>46.78861999511719</t>
  </si>
  <si>
    <t>46.805999755859375</t>
  </si>
  <si>
    <t>46.85900115966797</t>
  </si>
  <si>
    <t>46.04999923706055</t>
  </si>
  <si>
    <t>46.19599914550781</t>
  </si>
  <si>
    <t>378137000</t>
  </si>
  <si>
    <t>2023-10-12</t>
  </si>
  <si>
    <t>46.92756652832031</t>
  </si>
  <si>
    <t>46.94499969482422</t>
  </si>
  <si>
    <t>47.60900115966797</t>
  </si>
  <si>
    <t>46.33000183105469</t>
  </si>
  <si>
    <t>46.777000427246094</t>
  </si>
  <si>
    <t>481325000</t>
  </si>
  <si>
    <t>2023-10-13</t>
  </si>
  <si>
    <t>45.444114685058594</t>
  </si>
  <si>
    <t>45.46099853515625</t>
  </si>
  <si>
    <t>45.279998779296875</t>
  </si>
  <si>
    <t>46.959999084472656</t>
  </si>
  <si>
    <t>474115000</t>
  </si>
  <si>
    <t>2023-10-16</t>
  </si>
  <si>
    <t>46.07788848876953</t>
  </si>
  <si>
    <t>46.095001220703125</t>
  </si>
  <si>
    <t>46.224998474121094</t>
  </si>
  <si>
    <t>44.9119987487793</t>
  </si>
  <si>
    <t>45.0629997253418</t>
  </si>
  <si>
    <t>375099000</t>
  </si>
  <si>
    <t>2023-10-17</t>
  </si>
  <si>
    <t>43.92168426513672</t>
  </si>
  <si>
    <t>43.9379997253418</t>
  </si>
  <si>
    <t>44.75400161743164</t>
  </si>
  <si>
    <t>42.47999954223633</t>
  </si>
  <si>
    <t>44.0</t>
  </si>
  <si>
    <t>812333000</t>
  </si>
  <si>
    <t>2023-10-18</t>
  </si>
  <si>
    <t>42.18033218383789</t>
  </si>
  <si>
    <t>42.19599914550781</t>
  </si>
  <si>
    <t>43.21900177001953</t>
  </si>
  <si>
    <t>41.82500076293945</t>
  </si>
  <si>
    <t>42.590999603271484</t>
  </si>
  <si>
    <t>627294000</t>
  </si>
  <si>
    <t>2023-10-19</t>
  </si>
  <si>
    <t>42.08536911010742</t>
  </si>
  <si>
    <t>42.10100173950195</t>
  </si>
  <si>
    <t>43.297000885009766</t>
  </si>
  <si>
    <t>41.88199996948242</t>
  </si>
  <si>
    <t>501233000</t>
  </si>
  <si>
    <t>2023-10-20</t>
  </si>
  <si>
    <t>41.37163162231445</t>
  </si>
  <si>
    <t>41.387001037597656</t>
  </si>
  <si>
    <t>42.470001220703125</t>
  </si>
  <si>
    <t>41.077999114990234</t>
  </si>
  <si>
    <t>41.88999938964844</t>
  </si>
  <si>
    <t>477266000</t>
  </si>
  <si>
    <t>2023-10-23</t>
  </si>
  <si>
    <t>42.95904541015625</t>
  </si>
  <si>
    <t>42.974998474121094</t>
  </si>
  <si>
    <t>43.24800109863281</t>
  </si>
  <si>
    <t>40.94499969482422</t>
  </si>
  <si>
    <t>41.229000091552734</t>
  </si>
  <si>
    <t>478530000</t>
  </si>
  <si>
    <t>2023-10-24</t>
  </si>
  <si>
    <t>43.646785736083984</t>
  </si>
  <si>
    <t>43.66299819946289</t>
  </si>
  <si>
    <t>43.696998596191406</t>
  </si>
  <si>
    <t>42.691001892089844</t>
  </si>
  <si>
    <t>43.07699966430664</t>
  </si>
  <si>
    <t>401463000</t>
  </si>
  <si>
    <t>2023-10-25</t>
  </si>
  <si>
    <t>41.763484954833984</t>
  </si>
  <si>
    <t>41.77899932861328</t>
  </si>
  <si>
    <t>43.650001525878906</t>
  </si>
  <si>
    <t>41.55500030517578</t>
  </si>
  <si>
    <t>43.39799880981445</t>
  </si>
  <si>
    <t>398379000</t>
  </si>
  <si>
    <t>2023-10-26</t>
  </si>
  <si>
    <t>40.31102752685547</t>
  </si>
  <si>
    <t>40.32600021362305</t>
  </si>
  <si>
    <t>42.25600051879883</t>
  </si>
  <si>
    <t>39.880001068115234</t>
  </si>
  <si>
    <t>41.85300064086914</t>
  </si>
  <si>
    <t>541001000</t>
  </si>
  <si>
    <t>2023-10-27</t>
  </si>
  <si>
    <t>40.484962463378906</t>
  </si>
  <si>
    <t>41.20600128173828</t>
  </si>
  <si>
    <t>40.01499938964844</t>
  </si>
  <si>
    <t>41.130001068115234</t>
  </si>
  <si>
    <t>416784000</t>
  </si>
  <si>
    <t>2023-10-30</t>
  </si>
  <si>
    <t>41.145713806152344</t>
  </si>
  <si>
    <t>41.1609992980957</t>
  </si>
  <si>
    <t>41.76599884033203</t>
  </si>
  <si>
    <t>40.48099899291992</t>
  </si>
  <si>
    <t>41.08700180053711</t>
  </si>
  <si>
    <t>388028000</t>
  </si>
  <si>
    <t>2023-10-31</t>
  </si>
  <si>
    <t>40.76485824584961</t>
  </si>
  <si>
    <t>40.779998779296875</t>
  </si>
  <si>
    <t>40.87900161743164</t>
  </si>
  <si>
    <t>39.22999954223633</t>
  </si>
  <si>
    <t>40.45000076293945</t>
  </si>
  <si>
    <t>517969000</t>
  </si>
  <si>
    <t>2023-11-01</t>
  </si>
  <si>
    <t>42.309288024902344</t>
  </si>
  <si>
    <t>42.32500076293945</t>
  </si>
  <si>
    <t>42.38100051879883</t>
  </si>
  <si>
    <t>40.86899948120117</t>
  </si>
  <si>
    <t>40.88399887084961</t>
  </si>
  <si>
    <t>437593000</t>
  </si>
  <si>
    <t>2023-11-02</t>
  </si>
  <si>
    <t>43.48984146118164</t>
  </si>
  <si>
    <t>43.50600051879883</t>
  </si>
  <si>
    <t>43.88399887084961</t>
  </si>
  <si>
    <t>42.89400100708008</t>
  </si>
  <si>
    <t>43.327999114990234</t>
  </si>
  <si>
    <t>409172000</t>
  </si>
  <si>
    <t>2023-11-03</t>
  </si>
  <si>
    <t>44.98828887939453</t>
  </si>
  <si>
    <t>45.005001068115234</t>
  </si>
  <si>
    <t>45.308998107910156</t>
  </si>
  <si>
    <t>43.722999572753906</t>
  </si>
  <si>
    <t>44.02000045776367</t>
  </si>
  <si>
    <t>424610000</t>
  </si>
  <si>
    <t>2023-11-06</t>
  </si>
  <si>
    <t>45.734012603759766</t>
  </si>
  <si>
    <t>45.750999450683594</t>
  </si>
  <si>
    <t>45.935001373291016</t>
  </si>
  <si>
    <t>44.89899826049805</t>
  </si>
  <si>
    <t>45.28499984741211</t>
  </si>
  <si>
    <t>400733000</t>
  </si>
  <si>
    <t>2023-11-07</t>
  </si>
  <si>
    <t>45.93793869018555</t>
  </si>
  <si>
    <t>45.95500183105469</t>
  </si>
  <si>
    <t>46.21799850463867</t>
  </si>
  <si>
    <t>45.15800094604492</t>
  </si>
  <si>
    <t>45.71900177001953</t>
  </si>
  <si>
    <t>343165000</t>
  </si>
  <si>
    <t>2023-11-08</t>
  </si>
  <si>
    <t>46.556705474853516</t>
  </si>
  <si>
    <t>46.57400131225586</t>
  </si>
  <si>
    <t>46.867000579833984</t>
  </si>
  <si>
    <t>45.96799850463867</t>
  </si>
  <si>
    <t>46.099998474121094</t>
  </si>
  <si>
    <t>346719000</t>
  </si>
  <si>
    <t>2023-11-09</t>
  </si>
  <si>
    <t>46.93256378173828</t>
  </si>
  <si>
    <t>46.95000076293945</t>
  </si>
  <si>
    <t>48.22999954223633</t>
  </si>
  <si>
    <t>47.46699905395508</t>
  </si>
  <si>
    <t>540496000</t>
  </si>
  <si>
    <t>2023-11-10</t>
  </si>
  <si>
    <t>48.317047119140625</t>
  </si>
  <si>
    <t>48.334999084472656</t>
  </si>
  <si>
    <t>48.47200012207031</t>
  </si>
  <si>
    <t>47.28300094604492</t>
  </si>
  <si>
    <t>47.5</t>
  </si>
  <si>
    <t>421245000</t>
  </si>
  <si>
    <t>2023-11-13</t>
  </si>
  <si>
    <t>48.6019401550293</t>
  </si>
  <si>
    <t>48.619998931884766</t>
  </si>
  <si>
    <t>49.11600112915039</t>
  </si>
  <si>
    <t>48.0989990234375</t>
  </si>
  <si>
    <t>48.31999969482422</t>
  </si>
  <si>
    <t>384136000</t>
  </si>
  <si>
    <t>2023-11-14</t>
  </si>
  <si>
    <t>49.6375617980957</t>
  </si>
  <si>
    <t>49.65599822998047</t>
  </si>
  <si>
    <t>49.83399963378906</t>
  </si>
  <si>
    <t>49.040000915527344</t>
  </si>
  <si>
    <t>49.68000030517578</t>
  </si>
  <si>
    <t>416954000</t>
  </si>
  <si>
    <t>2023-11-15</t>
  </si>
  <si>
    <t>48.869842529296875</t>
  </si>
  <si>
    <t>48.88800048828125</t>
  </si>
  <si>
    <t>49.959999084472656</t>
  </si>
  <si>
    <t>48.20000076293945</t>
  </si>
  <si>
    <t>49.935001373291016</t>
  </si>
  <si>
    <t>475497000</t>
  </si>
  <si>
    <t>2023-11-16</t>
  </si>
  <si>
    <t>49.461631774902344</t>
  </si>
  <si>
    <t>49.47999954223633</t>
  </si>
  <si>
    <t>49.525001525878906</t>
  </si>
  <si>
    <t>48.33000183105469</t>
  </si>
  <si>
    <t>48.67900085449219</t>
  </si>
  <si>
    <t>339756000</t>
  </si>
  <si>
    <t>2023-11-17</t>
  </si>
  <si>
    <t>49.27969741821289</t>
  </si>
  <si>
    <t>49.29800033569336</t>
  </si>
  <si>
    <t>49.71699905395508</t>
  </si>
  <si>
    <t>49.00699996948242</t>
  </si>
  <si>
    <t>49.52399826049805</t>
  </si>
  <si>
    <t>325205000</t>
  </si>
  <si>
    <t>2023-11-20</t>
  </si>
  <si>
    <t>50.390281677246094</t>
  </si>
  <si>
    <t>50.409000396728516</t>
  </si>
  <si>
    <t>50.54800033569336</t>
  </si>
  <si>
    <t>49.180999755859375</t>
  </si>
  <si>
    <t>49.3120002746582</t>
  </si>
  <si>
    <t>414120000</t>
  </si>
  <si>
    <t>2023-11-21</t>
  </si>
  <si>
    <t>49.925453186035156</t>
  </si>
  <si>
    <t>49.944000244140625</t>
  </si>
  <si>
    <t>50.516998291015625</t>
  </si>
  <si>
    <t>49.22200012207031</t>
  </si>
  <si>
    <t>50.125999450683594</t>
  </si>
  <si>
    <t>565747000</t>
  </si>
  <si>
    <t>2023-11-22</t>
  </si>
  <si>
    <t>48.697906494140625</t>
  </si>
  <si>
    <t>48.715999603271484</t>
  </si>
  <si>
    <t>50.334999084472656</t>
  </si>
  <si>
    <t>47.689998626708984</t>
  </si>
  <si>
    <t>49.85200119018555</t>
  </si>
  <si>
    <t>899420000</t>
  </si>
  <si>
    <t>2023-11-24</t>
  </si>
  <si>
    <t>47.75825881958008</t>
  </si>
  <si>
    <t>47.7760009765625</t>
  </si>
  <si>
    <t>48.92100143432617</t>
  </si>
  <si>
    <t>47.744998931884766</t>
  </si>
  <si>
    <t>48.470001220703125</t>
  </si>
  <si>
    <t>294645000</t>
  </si>
  <si>
    <t>2023-11-27</t>
  </si>
  <si>
    <t>48.22408676147461</t>
  </si>
  <si>
    <t>48.242000579833984</t>
  </si>
  <si>
    <t>48.529998779296875</t>
  </si>
  <si>
    <t>47.652000427246094</t>
  </si>
  <si>
    <t>47.79999923706055</t>
  </si>
  <si>
    <t>395662000</t>
  </si>
  <si>
    <t>2023-11-28</t>
  </si>
  <si>
    <t>47.80323791503906</t>
  </si>
  <si>
    <t>47.82099914550781</t>
  </si>
  <si>
    <t>48.323001861572266</t>
  </si>
  <si>
    <t>47.472999572753906</t>
  </si>
  <si>
    <t>48.236000061035156</t>
  </si>
  <si>
    <t>401491000</t>
  </si>
  <si>
    <t>2023-11-29</t>
  </si>
  <si>
    <t>48.122127532958984</t>
  </si>
  <si>
    <t>48.13999938964844</t>
  </si>
  <si>
    <t>48.762001037597656</t>
  </si>
  <si>
    <t>48.37900161743164</t>
  </si>
  <si>
    <t>382005000</t>
  </si>
  <si>
    <t>2023-11-30</t>
  </si>
  <si>
    <t>46.75263214111328</t>
  </si>
  <si>
    <t>46.77000045776367</t>
  </si>
  <si>
    <t>48.11000061035156</t>
  </si>
  <si>
    <t>46.422000885009766</t>
  </si>
  <si>
    <t>48.02399826049805</t>
  </si>
  <si>
    <t>526247000</t>
  </si>
  <si>
    <t>2023-12-01</t>
  </si>
  <si>
    <t>46.74763488769531</t>
  </si>
  <si>
    <t>46.76499938964844</t>
  </si>
  <si>
    <t>46.1870002746582</t>
  </si>
  <si>
    <t>46.525001525878906</t>
  </si>
  <si>
    <t>369317000</t>
  </si>
  <si>
    <t>2023-12-04</t>
  </si>
  <si>
    <t>45.493099212646484</t>
  </si>
  <si>
    <t>45.5099983215332</t>
  </si>
  <si>
    <t>46.07699966430664</t>
  </si>
  <si>
    <t>45.0099983215332</t>
  </si>
  <si>
    <t>437543000</t>
  </si>
  <si>
    <t>2023-12-05</t>
  </si>
  <si>
    <t>46.552799224853516</t>
  </si>
  <si>
    <t>46.566001892089844</t>
  </si>
  <si>
    <t>46.599998474121094</t>
  </si>
  <si>
    <t>45.465999603271484</t>
  </si>
  <si>
    <t>371718000</t>
  </si>
  <si>
    <t>2023-12-06</t>
  </si>
  <si>
    <t>45.4901008605957</t>
  </si>
  <si>
    <t>45.50299835205078</t>
  </si>
  <si>
    <t>47.387001037597656</t>
  </si>
  <si>
    <t>45.4119987487793</t>
  </si>
  <si>
    <t>47.21500015258789</t>
  </si>
  <si>
    <t>380590000</t>
  </si>
  <si>
    <t>2023-12-07</t>
  </si>
  <si>
    <t>46.582794189453125</t>
  </si>
  <si>
    <t>46.59600067138672</t>
  </si>
  <si>
    <t>46.62900161743164</t>
  </si>
  <si>
    <t>45.604000091552734</t>
  </si>
  <si>
    <t>45.70000076293945</t>
  </si>
  <si>
    <t>350823000</t>
  </si>
  <si>
    <t>2023-12-08</t>
  </si>
  <si>
    <t>47.49253463745117</t>
  </si>
  <si>
    <t>47.50600051879883</t>
  </si>
  <si>
    <t>47.74100112915039</t>
  </si>
  <si>
    <t>46.54999923706055</t>
  </si>
  <si>
    <t>46.595001220703125</t>
  </si>
  <si>
    <t>359224000</t>
  </si>
  <si>
    <t>2023-12-11</t>
  </si>
  <si>
    <t>46.61378479003906</t>
  </si>
  <si>
    <t>46.62699890136719</t>
  </si>
  <si>
    <t>47.53099822998047</t>
  </si>
  <si>
    <t>45.83000183105469</t>
  </si>
  <si>
    <t>47.49100112915039</t>
  </si>
  <si>
    <t>509728000</t>
  </si>
  <si>
    <t>2023-12-12</t>
  </si>
  <si>
    <t>47.64349365234375</t>
  </si>
  <si>
    <t>47.65700149536133</t>
  </si>
  <si>
    <t>47.66600036621094</t>
  </si>
  <si>
    <t>46.04600143432617</t>
  </si>
  <si>
    <t>372387000</t>
  </si>
  <si>
    <t>2023-12-13</t>
  </si>
  <si>
    <t>48.07437515258789</t>
  </si>
  <si>
    <t>48.59400177001953</t>
  </si>
  <si>
    <t>47.608001708984375</t>
  </si>
  <si>
    <t>47.62900161743164</t>
  </si>
  <si>
    <t>447792000</t>
  </si>
  <si>
    <t>2023-12-14</t>
  </si>
  <si>
    <t>48.33629608154297</t>
  </si>
  <si>
    <t>48.349998474121094</t>
  </si>
  <si>
    <t>48.66999816894531</t>
  </si>
  <si>
    <t>47.422000885009766</t>
  </si>
  <si>
    <t>48.38999938964844</t>
  </si>
  <si>
    <t>391232000</t>
  </si>
  <si>
    <t>2023-12-15</t>
  </si>
  <si>
    <t>48.87614059448242</t>
  </si>
  <si>
    <t>48.88999938964844</t>
  </si>
  <si>
    <t>49.40399932861328</t>
  </si>
  <si>
    <t>48.119998931884766</t>
  </si>
  <si>
    <t>48.194000244140625</t>
  </si>
  <si>
    <t>479948000</t>
  </si>
  <si>
    <t>2023-12-18</t>
  </si>
  <si>
    <t>50.06280517578125</t>
  </si>
  <si>
    <t>50.07699966430664</t>
  </si>
  <si>
    <t>50.43299865722656</t>
  </si>
  <si>
    <t>49.150001525878906</t>
  </si>
  <si>
    <t>49.400001525878906</t>
  </si>
  <si>
    <t>412587000</t>
  </si>
  <si>
    <t>2023-12-19</t>
  </si>
  <si>
    <t>49.58993911743164</t>
  </si>
  <si>
    <t>49.604000091552734</t>
  </si>
  <si>
    <t>49.70000076293945</t>
  </si>
  <si>
    <t>48.89500045776367</t>
  </si>
  <si>
    <t>49.42399978637695</t>
  </si>
  <si>
    <t>464444000</t>
  </si>
  <si>
    <t>2023-12-20</t>
  </si>
  <si>
    <t>48.09735870361328</t>
  </si>
  <si>
    <t>48.111000061035156</t>
  </si>
  <si>
    <t>49.999000549316406</t>
  </si>
  <si>
    <t>48.097999572753906</t>
  </si>
  <si>
    <t>49.654998779296875</t>
  </si>
  <si>
    <t>397894000</t>
  </si>
  <si>
    <t>2023-12-21</t>
  </si>
  <si>
    <t>48.97611618041992</t>
  </si>
  <si>
    <t>48.9900016784668</t>
  </si>
  <si>
    <t>49.095001220703125</t>
  </si>
  <si>
    <t>48.41899871826172</t>
  </si>
  <si>
    <t>48.81100082397461</t>
  </si>
  <si>
    <t>300425000</t>
  </si>
  <si>
    <t>2023-12-22</t>
  </si>
  <si>
    <t>48.816162109375</t>
  </si>
  <si>
    <t>48.83000183105469</t>
  </si>
  <si>
    <t>49.382999420166016</t>
  </si>
  <si>
    <t>48.46699905395508</t>
  </si>
  <si>
    <t>49.19499969482422</t>
  </si>
  <si>
    <t>252507000</t>
  </si>
  <si>
    <t>2023-12-26</t>
  </si>
  <si>
    <t>49.26502990722656</t>
  </si>
  <si>
    <t>49.27899932861328</t>
  </si>
  <si>
    <t>49.599998474121094</t>
  </si>
  <si>
    <t>48.959999084472656</t>
  </si>
  <si>
    <t>48.96799850463867</t>
  </si>
  <si>
    <t>244200000</t>
  </si>
  <si>
    <t>2023-12-27</t>
  </si>
  <si>
    <t>49.402992248535156</t>
  </si>
  <si>
    <t>49.41699981689453</t>
  </si>
  <si>
    <t>49.084999084472656</t>
  </si>
  <si>
    <t>49.51100158691406</t>
  </si>
  <si>
    <t>233648000</t>
  </si>
  <si>
    <t>2023-12-28</t>
  </si>
  <si>
    <t>49.507965087890625</t>
  </si>
  <si>
    <t>49.52199935913086</t>
  </si>
  <si>
    <t>49.88399887084961</t>
  </si>
  <si>
    <t>49.4119987487793</t>
  </si>
  <si>
    <t>49.643001556396484</t>
  </si>
  <si>
    <t>246587000</t>
  </si>
  <si>
    <t>2023-12-29</t>
  </si>
  <si>
    <t>49.99700164794922</t>
  </si>
  <si>
    <t>48.750999450683594</t>
  </si>
  <si>
    <t>49.8129997253418</t>
  </si>
  <si>
    <t>389293000</t>
  </si>
  <si>
    <t>2024-01-02</t>
  </si>
  <si>
    <t>48.15434646606445</t>
  </si>
  <si>
    <t>48.167999267578125</t>
  </si>
  <si>
    <t>49.29499816894531</t>
  </si>
  <si>
    <t>47.595001220703125</t>
  </si>
  <si>
    <t>49.24399948120117</t>
  </si>
  <si>
    <t>411254000</t>
  </si>
  <si>
    <t>2024-01-03</t>
  </si>
  <si>
    <t>47.555519104003906</t>
  </si>
  <si>
    <t>47.569000244140625</t>
  </si>
  <si>
    <t>48.183998107910156</t>
  </si>
  <si>
    <t>47.31999969482422</t>
  </si>
  <si>
    <t>47.48500061035156</t>
  </si>
  <si>
    <t>320896000</t>
  </si>
  <si>
    <t>2024-01-04</t>
  </si>
  <si>
    <t>47.984397888183594</t>
  </si>
  <si>
    <t>47.99800109863281</t>
  </si>
  <si>
    <t>48.5</t>
  </si>
  <si>
    <t>47.507999420166016</t>
  </si>
  <si>
    <t>47.766998291015625</t>
  </si>
  <si>
    <t>306535000</t>
  </si>
  <si>
    <t>2024-01-05</t>
  </si>
  <si>
    <t>49.08308029174805</t>
  </si>
  <si>
    <t>49.09700012207031</t>
  </si>
  <si>
    <t>49.547000885009766</t>
  </si>
  <si>
    <t>48.305999755859375</t>
  </si>
  <si>
    <t>48.46200180053711</t>
  </si>
  <si>
    <t>415039000</t>
  </si>
  <si>
    <t>2024-01-08</t>
  </si>
  <si>
    <t>52.23818588256836</t>
  </si>
  <si>
    <t>52.25299835205078</t>
  </si>
  <si>
    <t>52.275001525878906</t>
  </si>
  <si>
    <t>49.479000091552734</t>
  </si>
  <si>
    <t>49.512001037597656</t>
  </si>
  <si>
    <t>642510000</t>
  </si>
  <si>
    <t>2024-01-09</t>
  </si>
  <si>
    <t>53.12493896484375</t>
  </si>
  <si>
    <t>53.13999938964844</t>
  </si>
  <si>
    <t>54.32500076293945</t>
  </si>
  <si>
    <t>51.689998626708984</t>
  </si>
  <si>
    <t>52.4010009765625</t>
  </si>
  <si>
    <t>773100000</t>
  </si>
  <si>
    <t>2024-01-10</t>
  </si>
  <si>
    <t>54.3345947265625</t>
  </si>
  <si>
    <t>54.349998474121094</t>
  </si>
  <si>
    <t>54.599998474121094</t>
  </si>
  <si>
    <t>53.48899841308594</t>
  </si>
  <si>
    <t>53.61600112915039</t>
  </si>
  <si>
    <t>533796000</t>
  </si>
  <si>
    <t>2024-01-11</t>
  </si>
  <si>
    <t>54.806461334228516</t>
  </si>
  <si>
    <t>54.821998596191406</t>
  </si>
  <si>
    <t>55.34600067138672</t>
  </si>
  <si>
    <t>53.560001373291016</t>
  </si>
  <si>
    <t>54.999000549316406</t>
  </si>
  <si>
    <t>596759000</t>
  </si>
  <si>
    <t>2024-01-12</t>
  </si>
  <si>
    <t>54.694488525390625</t>
  </si>
  <si>
    <t>54.709999084472656</t>
  </si>
  <si>
    <t>54.970001220703125</t>
  </si>
  <si>
    <t>54.33000183105469</t>
  </si>
  <si>
    <t>54.619998931884766</t>
  </si>
  <si>
    <t>352994000</t>
  </si>
  <si>
    <t>2024-01-16</t>
  </si>
  <si>
    <t>56.36602020263672</t>
  </si>
  <si>
    <t>56.38199996948242</t>
  </si>
  <si>
    <t>56.834999084472656</t>
  </si>
  <si>
    <t>54.900001525878906</t>
  </si>
  <si>
    <t>55.018001556396484</t>
  </si>
  <si>
    <t>449580000</t>
  </si>
  <si>
    <t>2024-01-17</t>
  </si>
  <si>
    <t>56.037113189697266</t>
  </si>
  <si>
    <t>56.053001403808594</t>
  </si>
  <si>
    <t>56.47100067138672</t>
  </si>
  <si>
    <t>54.7400016784668</t>
  </si>
  <si>
    <t>56.34700012207031</t>
  </si>
  <si>
    <t>474394000</t>
  </si>
  <si>
    <t>2024-01-18</t>
  </si>
  <si>
    <t>57.09081268310547</t>
  </si>
  <si>
    <t>57.106998443603516</t>
  </si>
  <si>
    <t>57.599998474121094</t>
  </si>
  <si>
    <t>56.106998443603516</t>
  </si>
  <si>
    <t>57.2599983215332</t>
  </si>
  <si>
    <t>491650000</t>
  </si>
  <si>
    <t>2024-01-19</t>
  </si>
  <si>
    <t>59.47414016723633</t>
  </si>
  <si>
    <t>59.49100112915039</t>
  </si>
  <si>
    <t>59.5</t>
  </si>
  <si>
    <t>57.224998474121094</t>
  </si>
  <si>
    <t>57.98899841308594</t>
  </si>
  <si>
    <t>543501000</t>
  </si>
  <si>
    <t>2024-01-22</t>
  </si>
  <si>
    <t>59.6370964050293</t>
  </si>
  <si>
    <t>59.65399932861328</t>
  </si>
  <si>
    <t>60.33100128173828</t>
  </si>
  <si>
    <t>59.06999969482422</t>
  </si>
  <si>
    <t>60.04899978637695</t>
  </si>
  <si>
    <t>452955000</t>
  </si>
  <si>
    <t>2024-01-23</t>
  </si>
  <si>
    <t>59.85603332519531</t>
  </si>
  <si>
    <t>59.87300109863281</t>
  </si>
  <si>
    <t>59.90999984741211</t>
  </si>
  <si>
    <t>58.584999084472656</t>
  </si>
  <si>
    <t>59.56999969482422</t>
  </si>
  <si>
    <t>294654000</t>
  </si>
  <si>
    <t>2024-01-24</t>
  </si>
  <si>
    <t>61.344608306884766</t>
  </si>
  <si>
    <t>61.36199951171875</t>
  </si>
  <si>
    <t>62.8489990234375</t>
  </si>
  <si>
    <t>59.9379997253418</t>
  </si>
  <si>
    <t>60.30400085449219</t>
  </si>
  <si>
    <t>560271000</t>
  </si>
  <si>
    <t>2024-01-25</t>
  </si>
  <si>
    <t>61.59953308105469</t>
  </si>
  <si>
    <t>61.617000579833984</t>
  </si>
  <si>
    <t>62.71900177001953</t>
  </si>
  <si>
    <t>60.849998474121094</t>
  </si>
  <si>
    <t>62.349998474121094</t>
  </si>
  <si>
    <t>482777000</t>
  </si>
  <si>
    <t>2024-01-26</t>
  </si>
  <si>
    <t>61.013702392578125</t>
  </si>
  <si>
    <t>61.03099822998047</t>
  </si>
  <si>
    <t>61.78300094604492</t>
  </si>
  <si>
    <t>60.573001861572266</t>
  </si>
  <si>
    <t>60.959999084472656</t>
  </si>
  <si>
    <t>390309000</t>
  </si>
  <si>
    <t>2024-01-29</t>
  </si>
  <si>
    <t>62.447296142578125</t>
  </si>
  <si>
    <t>62.46500015258789</t>
  </si>
  <si>
    <t>62.48899841308594</t>
  </si>
  <si>
    <t>60.90700149536133</t>
  </si>
  <si>
    <t>61.231998443603516</t>
  </si>
  <si>
    <t>348733000</t>
  </si>
  <si>
    <t>2024-01-30</t>
  </si>
  <si>
    <t>62.756202697753906</t>
  </si>
  <si>
    <t>62.77399826049805</t>
  </si>
  <si>
    <t>63.49300003051758</t>
  </si>
  <si>
    <t>62.2599983215332</t>
  </si>
  <si>
    <t>62.900001525878906</t>
  </si>
  <si>
    <t>410735000</t>
  </si>
  <si>
    <t>2024-01-31</t>
  </si>
  <si>
    <t>61.50956344604492</t>
  </si>
  <si>
    <t>61.527000427246094</t>
  </si>
  <si>
    <t>62.26900100708008</t>
  </si>
  <si>
    <t>60.70000076293945</t>
  </si>
  <si>
    <t>61.439998626708984</t>
  </si>
  <si>
    <t>453795000</t>
  </si>
  <si>
    <t>2024-02-01</t>
  </si>
  <si>
    <t>63.00913619995117</t>
  </si>
  <si>
    <t>63.027000427246094</t>
  </si>
  <si>
    <t>63.191001892089844</t>
  </si>
  <si>
    <t>61.650001525878906</t>
  </si>
  <si>
    <t>62.099998474121094</t>
  </si>
  <si>
    <t>369146000</t>
  </si>
  <si>
    <t>2024-02-02</t>
  </si>
  <si>
    <t>66.14125061035156</t>
  </si>
  <si>
    <t>66.16000366210938</t>
  </si>
  <si>
    <t>66.5999984741211</t>
  </si>
  <si>
    <t>63.689998626708984</t>
  </si>
  <si>
    <t>63.9739990234375</t>
  </si>
  <si>
    <t>476578000</t>
  </si>
  <si>
    <t>2024-02-05</t>
  </si>
  <si>
    <t>69.3123550415039</t>
  </si>
  <si>
    <t>69.33200073242188</t>
  </si>
  <si>
    <t>69.49700164794922</t>
  </si>
  <si>
    <t>67.20500183105469</t>
  </si>
  <si>
    <t>68.2249984741211</t>
  </si>
  <si>
    <t>680078000</t>
  </si>
  <si>
    <t>2024-02-06</t>
  </si>
  <si>
    <t>68.20366668701172</t>
  </si>
  <si>
    <t>68.2229995727539</t>
  </si>
  <si>
    <t>69.75399780273438</t>
  </si>
  <si>
    <t>66.30000305175781</t>
  </si>
  <si>
    <t>69.62999725341797</t>
  </si>
  <si>
    <t>683111000</t>
  </si>
  <si>
    <t>2024-02-07</t>
  </si>
  <si>
    <t>70.0791244506836</t>
  </si>
  <si>
    <t>70.0989990234375</t>
  </si>
  <si>
    <t>70.22000122070312</t>
  </si>
  <si>
    <t>67.5999984741211</t>
  </si>
  <si>
    <t>68.31900024414062</t>
  </si>
  <si>
    <t>495575000</t>
  </si>
  <si>
    <t>2024-02-08</t>
  </si>
  <si>
    <t>69.62125396728516</t>
  </si>
  <si>
    <t>69.64099884033203</t>
  </si>
  <si>
    <t>70.79399871826172</t>
  </si>
  <si>
    <t>69.45500183105469</t>
  </si>
  <si>
    <t>70.0739974975586</t>
  </si>
  <si>
    <t>414422000</t>
  </si>
  <si>
    <t>2024-02-09</t>
  </si>
  <si>
    <t>72.11255645751953</t>
  </si>
  <si>
    <t>72.13300323486328</t>
  </si>
  <si>
    <t>72.18499755859375</t>
  </si>
  <si>
    <t>70.21199798583984</t>
  </si>
  <si>
    <t>70.53299713134766</t>
  </si>
  <si>
    <t>436637000</t>
  </si>
  <si>
    <t>2024-02-12</t>
  </si>
  <si>
    <t>72.22752380371094</t>
  </si>
  <si>
    <t>72.24800109863281</t>
  </si>
  <si>
    <t>74.61100006103516</t>
  </si>
  <si>
    <t>71.25</t>
  </si>
  <si>
    <t>72.5999984741211</t>
  </si>
  <si>
    <t>613710000</t>
  </si>
  <si>
    <t>2024-02-13</t>
  </si>
  <si>
    <t>72.10755157470703</t>
  </si>
  <si>
    <t>72.12799835205078</t>
  </si>
  <si>
    <t>73.44999694824219</t>
  </si>
  <si>
    <t>69.62000274658203</t>
  </si>
  <si>
    <t>70.4000015258789</t>
  </si>
  <si>
    <t>602580000</t>
  </si>
  <si>
    <t>2024-02-14</t>
  </si>
  <si>
    <t>73.87905883789062</t>
  </si>
  <si>
    <t>73.9000015258789</t>
  </si>
  <si>
    <t>74.23600006103516</t>
  </si>
  <si>
    <t>71.93800354003906</t>
  </si>
  <si>
    <t>73.2020034790039</t>
  </si>
  <si>
    <t>504917000</t>
  </si>
  <si>
    <t>2024-02-15</t>
  </si>
  <si>
    <t>72.63740539550781</t>
  </si>
  <si>
    <t>72.65799713134766</t>
  </si>
  <si>
    <t>73.9749984741211</t>
  </si>
  <si>
    <t>72.4000015258789</t>
  </si>
  <si>
    <t>73.86900329589844</t>
  </si>
  <si>
    <t>420122000</t>
  </si>
  <si>
    <t>2024-02-16</t>
  </si>
  <si>
    <t>72.59241485595703</t>
  </si>
  <si>
    <t>72.61299896240234</t>
  </si>
  <si>
    <t>74.4020004272461</t>
  </si>
  <si>
    <t>72.5009994506836</t>
  </si>
  <si>
    <t>74.0999984741211</t>
  </si>
  <si>
    <t>495327000</t>
  </si>
  <si>
    <t>2024-02-20</t>
  </si>
  <si>
    <t>69.43231201171875</t>
  </si>
  <si>
    <t>69.4520034790039</t>
  </si>
  <si>
    <t>71.95600128173828</t>
  </si>
  <si>
    <t>67.73400115966797</t>
  </si>
  <si>
    <t>71.9469985961914</t>
  </si>
  <si>
    <t>704833000</t>
  </si>
  <si>
    <t>2024-02-21</t>
  </si>
  <si>
    <t>67.452880859375</t>
  </si>
  <si>
    <t>67.47200012207031</t>
  </si>
  <si>
    <t>68.88800048828125</t>
  </si>
  <si>
    <t>66.24800109863281</t>
  </si>
  <si>
    <t>68.00599670410156</t>
  </si>
  <si>
    <t>690298000</t>
  </si>
  <si>
    <t>2024-02-22</t>
  </si>
  <si>
    <t>78.51573944091797</t>
  </si>
  <si>
    <t>78.53800201416016</t>
  </si>
  <si>
    <t>78.57499694824219</t>
  </si>
  <si>
    <t>74.22000122070312</t>
  </si>
  <si>
    <t>75.0250015258789</t>
  </si>
  <si>
    <t>865100000</t>
  </si>
  <si>
    <t>2024-02-23</t>
  </si>
  <si>
    <t>78.79464721679688</t>
  </si>
  <si>
    <t>78.81700134277344</t>
  </si>
  <si>
    <t>82.39399719238281</t>
  </si>
  <si>
    <t>77.56999969482422</t>
  </si>
  <si>
    <t>80.79000091552734</t>
  </si>
  <si>
    <t>829388000</t>
  </si>
  <si>
    <t>2024-02-26</t>
  </si>
  <si>
    <t>79.06958770751953</t>
  </si>
  <si>
    <t>79.09200286865234</t>
  </si>
  <si>
    <t>80.64600372314453</t>
  </si>
  <si>
    <t>78.50499725341797</t>
  </si>
  <si>
    <t>79.69999694824219</t>
  </si>
  <si>
    <t>503973000</t>
  </si>
  <si>
    <t>2024-02-27</t>
  </si>
  <si>
    <t>78.6786880493164</t>
  </si>
  <si>
    <t>78.70099639892578</t>
  </si>
  <si>
    <t>79.4800033569336</t>
  </si>
  <si>
    <t>77.16200256347656</t>
  </si>
  <si>
    <t>79.38099670410156</t>
  </si>
  <si>
    <t>391705000</t>
  </si>
  <si>
    <t>2024-02-28</t>
  </si>
  <si>
    <t>77.6409912109375</t>
  </si>
  <si>
    <t>77.66300201416016</t>
  </si>
  <si>
    <t>78.93299865722656</t>
  </si>
  <si>
    <t>77.125</t>
  </si>
  <si>
    <t>77.62000274658203</t>
  </si>
  <si>
    <t>393110000</t>
  </si>
  <si>
    <t>2024-02-29</t>
  </si>
  <si>
    <t>79.0895767211914</t>
  </si>
  <si>
    <t>79.11199951171875</t>
  </si>
  <si>
    <t>79.98999786376953</t>
  </si>
  <si>
    <t>78.3499984741211</t>
  </si>
  <si>
    <t>79.09400177001953</t>
  </si>
  <si>
    <t>507289000</t>
  </si>
  <si>
    <t>2024-03-01</t>
  </si>
  <si>
    <t>82.25567626953125</t>
  </si>
  <si>
    <t>82.27899932861328</t>
  </si>
  <si>
    <t>82.30000305175781</t>
  </si>
  <si>
    <t>79.43499755859375</t>
  </si>
  <si>
    <t>80.0</t>
  </si>
  <si>
    <t>479135000</t>
  </si>
  <si>
    <t>2024-03-04</t>
  </si>
  <si>
    <t>85.21282958984375</t>
  </si>
  <si>
    <t>85.23699951171875</t>
  </si>
  <si>
    <t>87.69499969482422</t>
  </si>
  <si>
    <t>83.71900177001953</t>
  </si>
  <si>
    <t>84.12999725341797</t>
  </si>
  <si>
    <t>615616000</t>
  </si>
  <si>
    <t>2024-03-05</t>
  </si>
  <si>
    <t>85.94366455078125</t>
  </si>
  <si>
    <t>85.96399688720703</t>
  </si>
  <si>
    <t>86.09700012207031</t>
  </si>
  <si>
    <t>83.41699981689453</t>
  </si>
  <si>
    <t>85.2699966430664</t>
  </si>
  <si>
    <t>520639000</t>
  </si>
  <si>
    <t>2024-03-06</t>
  </si>
  <si>
    <t>88.67901611328125</t>
  </si>
  <si>
    <t>88.69999694824219</t>
  </si>
  <si>
    <t>89.7239990234375</t>
  </si>
  <si>
    <t>87.02999877929688</t>
  </si>
  <si>
    <t>88.02200317382812</t>
  </si>
  <si>
    <t>582520000</t>
  </si>
  <si>
    <t>2024-03-07</t>
  </si>
  <si>
    <t>92.6470718383789</t>
  </si>
  <si>
    <t>92.66899871826172</t>
  </si>
  <si>
    <t>92.76699829101562</t>
  </si>
  <si>
    <t>89.60199737548828</t>
  </si>
  <si>
    <t>90.15799713134766</t>
  </si>
  <si>
    <t>608119000</t>
  </si>
  <si>
    <t>2024-03-08</t>
  </si>
  <si>
    <t>87.5073013305664</t>
  </si>
  <si>
    <t>87.52799987792969</t>
  </si>
  <si>
    <t>97.4000015258789</t>
  </si>
  <si>
    <t>86.50599670410156</t>
  </si>
  <si>
    <t>95.13800048828125</t>
  </si>
  <si>
    <t>1142269000</t>
  </si>
  <si>
    <t>2024-03-11</t>
  </si>
  <si>
    <t>85.75370788574219</t>
  </si>
  <si>
    <t>85.77400207519531</t>
  </si>
  <si>
    <t>88.7969970703125</t>
  </si>
  <si>
    <t>84.16600036621094</t>
  </si>
  <si>
    <t>86.42900085449219</t>
  </si>
  <si>
    <t>678364000</t>
  </si>
  <si>
    <t>2024-03-12</t>
  </si>
  <si>
    <t>91.8912582397461</t>
  </si>
  <si>
    <t>91.91300201416016</t>
  </si>
  <si>
    <t>91.95999908447266</t>
  </si>
  <si>
    <t>86.1500015258789</t>
  </si>
  <si>
    <t>88.04900360107422</t>
  </si>
  <si>
    <t>668075000</t>
  </si>
  <si>
    <t>2024-03-13</t>
  </si>
  <si>
    <t>90.86650085449219</t>
  </si>
  <si>
    <t>90.88800048828125</t>
  </si>
  <si>
    <t>91.50399780273438</t>
  </si>
  <si>
    <t>88.43499755859375</t>
  </si>
  <si>
    <t>91.05500030517578</t>
  </si>
  <si>
    <t>635713000</t>
  </si>
  <si>
    <t>2024-03-14</t>
  </si>
  <si>
    <t>87.9231948852539</t>
  </si>
  <si>
    <t>87.94400024414062</t>
  </si>
  <si>
    <t>90.64600372314453</t>
  </si>
  <si>
    <t>86.5999984741211</t>
  </si>
  <si>
    <t>89.5770034790039</t>
  </si>
  <si>
    <t>602318000</t>
  </si>
  <si>
    <t>2024-03-15</t>
  </si>
  <si>
    <t>87.81621551513672</t>
  </si>
  <si>
    <t>87.83699798583984</t>
  </si>
  <si>
    <t>89.5459976196289</t>
  </si>
  <si>
    <t>86.25700378417969</t>
  </si>
  <si>
    <t>86.93000030517578</t>
  </si>
  <si>
    <t>642086000</t>
  </si>
  <si>
    <t>2024-03-18</t>
  </si>
  <si>
    <t>88.43407440185547</t>
  </si>
  <si>
    <t>88.45500183105469</t>
  </si>
  <si>
    <t>92.40499877929688</t>
  </si>
  <si>
    <t>87.08499908447266</t>
  </si>
  <si>
    <t>90.38800048828125</t>
  </si>
  <si>
    <t>668976000</t>
  </si>
  <si>
    <t>2024-03-19</t>
  </si>
  <si>
    <t>89.37686157226562</t>
  </si>
  <si>
    <t>89.39800262451172</t>
  </si>
  <si>
    <t>90.54399871826172</t>
  </si>
  <si>
    <t>85.01000213623047</t>
  </si>
  <si>
    <t>86.69999694824219</t>
  </si>
  <si>
    <t>672171000</t>
  </si>
  <si>
    <t>2024-03-20</t>
  </si>
  <si>
    <t>90.35062408447266</t>
  </si>
  <si>
    <t>90.37200164794922</t>
  </si>
  <si>
    <t>90.41000366210938</t>
  </si>
  <si>
    <t>88.2229995727539</t>
  </si>
  <si>
    <t>89.7969970703125</t>
  </si>
  <si>
    <t>479063000</t>
  </si>
  <si>
    <t>2024-03-21</t>
  </si>
  <si>
    <t>91.41336822509766</t>
  </si>
  <si>
    <t>91.43499755859375</t>
  </si>
  <si>
    <t>92.64800262451172</t>
  </si>
  <si>
    <t>90.40499877929688</t>
  </si>
  <si>
    <t>92.30000305175781</t>
  </si>
  <si>
    <t>480372000</t>
  </si>
  <si>
    <t>2024-03-22</t>
  </si>
  <si>
    <t>94.2667007446289</t>
  </si>
  <si>
    <t>94.28900146484375</t>
  </si>
  <si>
    <t>94.77799987792969</t>
  </si>
  <si>
    <t>90.83399963378906</t>
  </si>
  <si>
    <t>91.14099884033203</t>
  </si>
  <si>
    <t>586719000</t>
  </si>
  <si>
    <t>2024-03-25</t>
  </si>
  <si>
    <t>94.97952270507812</t>
  </si>
  <si>
    <t>95.00199890136719</t>
  </si>
  <si>
    <t>96.76599884033203</t>
  </si>
  <si>
    <t>93.51000213623047</t>
  </si>
  <si>
    <t>93.94100189208984</t>
  </si>
  <si>
    <t>552136000</t>
  </si>
  <si>
    <t>2024-03-26</t>
  </si>
  <si>
    <t>92.53910064697266</t>
  </si>
  <si>
    <t>92.56099700927734</t>
  </si>
  <si>
    <t>96.375</t>
  </si>
  <si>
    <t>92.50199890136719</t>
  </si>
  <si>
    <t>95.85099792480469</t>
  </si>
  <si>
    <t>513648000</t>
  </si>
  <si>
    <t>2024-03-27</t>
  </si>
  <si>
    <t>90.22864532470703</t>
  </si>
  <si>
    <t>90.25</t>
  </si>
  <si>
    <t>93.23999786376953</t>
  </si>
  <si>
    <t>89.12300109863281</t>
  </si>
  <si>
    <t>93.11199951171875</t>
  </si>
  <si>
    <t>586067000</t>
  </si>
  <si>
    <t>2024-03-28</t>
  </si>
  <si>
    <t>90.33462524414062</t>
  </si>
  <si>
    <t>90.35600280761719</t>
  </si>
  <si>
    <t>91.30000305175781</t>
  </si>
  <si>
    <t>89.19300079345703</t>
  </si>
  <si>
    <t>90.0</t>
  </si>
  <si>
    <t>435212000</t>
  </si>
  <si>
    <t>2024-04-01</t>
  </si>
  <si>
    <t>90.34162139892578</t>
  </si>
  <si>
    <t>90.36299896240234</t>
  </si>
  <si>
    <t>92.2249984741211</t>
  </si>
  <si>
    <t>89.2040023803711</t>
  </si>
  <si>
    <t>90.29900360107422</t>
  </si>
  <si>
    <t>452441000</t>
  </si>
  <si>
    <t>2024-04-02</t>
  </si>
  <si>
    <t>89.43083953857422</t>
  </si>
  <si>
    <t>89.4520034790039</t>
  </si>
  <si>
    <t>90.09400177001953</t>
  </si>
  <si>
    <t>87.62000274658203</t>
  </si>
  <si>
    <t>88.447998046875</t>
  </si>
  <si>
    <t>433064000</t>
  </si>
  <si>
    <t>2024-04-03</t>
  </si>
  <si>
    <t>88.94295501708984</t>
  </si>
  <si>
    <t>88.96399688720703</t>
  </si>
  <si>
    <t>90.3740005493164</t>
  </si>
  <si>
    <t>88.4000015258789</t>
  </si>
  <si>
    <t>88.48400115966797</t>
  </si>
  <si>
    <t>370067000</t>
  </si>
  <si>
    <t>2024-04-04</t>
  </si>
  <si>
    <t>85.88467407226562</t>
  </si>
  <si>
    <t>85.90499877929688</t>
  </si>
  <si>
    <t>90.63400268554688</t>
  </si>
  <si>
    <t>85.87999725341797</t>
  </si>
  <si>
    <t>90.40599822998047</t>
  </si>
  <si>
    <t>434965000</t>
  </si>
  <si>
    <t>2024-04-05</t>
  </si>
  <si>
    <t>87.9871826171875</t>
  </si>
  <si>
    <t>88.00800323486328</t>
  </si>
  <si>
    <t>88.48100280761719</t>
  </si>
  <si>
    <t>85.9260025024414</t>
  </si>
  <si>
    <t>86.86599731445312</t>
  </si>
  <si>
    <t>399678000</t>
  </si>
  <si>
    <t>2024-04-08</t>
  </si>
  <si>
    <t>87.11238861083984</t>
  </si>
  <si>
    <t>87.13300323486328</t>
  </si>
  <si>
    <t>88.83000183105469</t>
  </si>
  <si>
    <t>86.73200225830078</t>
  </si>
  <si>
    <t>283220000</t>
  </si>
  <si>
    <t>2024-04-09</t>
  </si>
  <si>
    <t>85.33380126953125</t>
  </si>
  <si>
    <t>85.35399627685547</t>
  </si>
  <si>
    <t>87.63500213623047</t>
  </si>
  <si>
    <t>83.02200317382812</t>
  </si>
  <si>
    <t>87.44200134277344</t>
  </si>
  <si>
    <t>503547000</t>
  </si>
  <si>
    <t>2024-04-10</t>
  </si>
  <si>
    <t>87.0184097290039</t>
  </si>
  <si>
    <t>87.03900146484375</t>
  </si>
  <si>
    <t>87.4000015258789</t>
  </si>
  <si>
    <t>83.70899963378906</t>
  </si>
  <si>
    <t>83.9260025024414</t>
  </si>
  <si>
    <t>431929000</t>
  </si>
  <si>
    <t>2024-04-11</t>
  </si>
  <si>
    <t>90.59455871582031</t>
  </si>
  <si>
    <t>90.61599731445312</t>
  </si>
  <si>
    <t>90.73899841308594</t>
  </si>
  <si>
    <t>86.9260025024414</t>
  </si>
  <si>
    <t>87.41999816894531</t>
  </si>
  <si>
    <t>431637000</t>
  </si>
  <si>
    <t>2024-04-12</t>
  </si>
  <si>
    <t>88.1651382446289</t>
  </si>
  <si>
    <t>88.18599700927734</t>
  </si>
  <si>
    <t>90.17500305175781</t>
  </si>
  <si>
    <t>87.52999877929688</t>
  </si>
  <si>
    <t>89.6989974975586</t>
  </si>
  <si>
    <t>426805000</t>
  </si>
  <si>
    <t>2024-04-15</t>
  </si>
  <si>
    <t>85.98065185546875</t>
  </si>
  <si>
    <t>86.0009994506836</t>
  </si>
  <si>
    <t>90.61299896240234</t>
  </si>
  <si>
    <t>85.92900085449219</t>
  </si>
  <si>
    <t>89.0979995727539</t>
  </si>
  <si>
    <t>443077000</t>
  </si>
  <si>
    <t>2024-04-16</t>
  </si>
  <si>
    <t>87.39432525634766</t>
  </si>
  <si>
    <t>87.41500091552734</t>
  </si>
  <si>
    <t>88.11799621582031</t>
  </si>
  <si>
    <t>86.06400299072266</t>
  </si>
  <si>
    <t>86.43299865722656</t>
  </si>
  <si>
    <t>370453000</t>
  </si>
  <si>
    <t>2024-04-17</t>
  </si>
  <si>
    <t>84.01512145996094</t>
  </si>
  <si>
    <t>84.03500366210938</t>
  </si>
  <si>
    <t>88.7750015258789</t>
  </si>
  <si>
    <t>83.94999694824219</t>
  </si>
  <si>
    <t>88.33999633789062</t>
  </si>
  <si>
    <t>495400000</t>
  </si>
  <si>
    <t>2024-04-18</t>
  </si>
  <si>
    <t>84.65096282958984</t>
  </si>
  <si>
    <t>84.6709976196289</t>
  </si>
  <si>
    <t>86.19000244140625</t>
  </si>
  <si>
    <t>82.4020004272461</t>
  </si>
  <si>
    <t>84.97000122070312</t>
  </si>
  <si>
    <t>447260000</t>
  </si>
  <si>
    <t>2024-04-19</t>
  </si>
  <si>
    <t>76.18197631835938</t>
  </si>
  <si>
    <t>76.19999694824219</t>
  </si>
  <si>
    <t>84.3239974975586</t>
  </si>
  <si>
    <t>75.60600280761719</t>
  </si>
  <si>
    <t>83.1500015258789</t>
  </si>
  <si>
    <t>875198000</t>
  </si>
  <si>
    <t>2024-04-22</t>
  </si>
  <si>
    <t>79.49919128417969</t>
  </si>
  <si>
    <t>79.51799774169922</t>
  </si>
  <si>
    <t>80.072998046875</t>
  </si>
  <si>
    <t>76.4000015258789</t>
  </si>
  <si>
    <t>78.10399627685547</t>
  </si>
  <si>
    <t>596341000</t>
  </si>
  <si>
    <t>2024-04-23</t>
  </si>
  <si>
    <t>82.40350341796875</t>
  </si>
  <si>
    <t>82.4229965209961</t>
  </si>
  <si>
    <t>82.76899719238281</t>
  </si>
  <si>
    <t>80.26399993896484</t>
  </si>
  <si>
    <t>80.76899719238281</t>
  </si>
  <si>
    <t>438559000</t>
  </si>
  <si>
    <t>2024-04-24</t>
  </si>
  <si>
    <t>79.65815734863281</t>
  </si>
  <si>
    <t>79.677001953125</t>
  </si>
  <si>
    <t>84.08200073242188</t>
  </si>
  <si>
    <t>79.18299865722656</t>
  </si>
  <si>
    <t>512208000</t>
  </si>
  <si>
    <t>2024-04-25</t>
  </si>
  <si>
    <t>82.61245727539062</t>
  </si>
  <si>
    <t>82.63200378417969</t>
  </si>
  <si>
    <t>83.322998046875</t>
  </si>
  <si>
    <t>78.2229995727539</t>
  </si>
  <si>
    <t>78.86799621582031</t>
  </si>
  <si>
    <t>424641000</t>
  </si>
  <si>
    <t>2024-04-26</t>
  </si>
  <si>
    <t>87.71424102783203</t>
  </si>
  <si>
    <t>87.73500061035156</t>
  </si>
  <si>
    <t>88.33100128173828</t>
  </si>
  <si>
    <t>83.38700103759766</t>
  </si>
  <si>
    <t>83.81800079345703</t>
  </si>
  <si>
    <t>551011000</t>
  </si>
  <si>
    <t>2024-04-29</t>
  </si>
  <si>
    <t>87.73624420166016</t>
  </si>
  <si>
    <t>87.75700378417969</t>
  </si>
  <si>
    <t>87.99199676513672</t>
  </si>
  <si>
    <t>85.26599884033203</t>
  </si>
  <si>
    <t>87.59500122070312</t>
  </si>
  <si>
    <t>388971000</t>
  </si>
  <si>
    <t>2024-04-30</t>
  </si>
  <si>
    <t>86.38156127929688</t>
  </si>
  <si>
    <t>86.4020004272461</t>
  </si>
  <si>
    <t>88.81900024414062</t>
  </si>
  <si>
    <t>86.30000305175781</t>
  </si>
  <si>
    <t>87.23999786376953</t>
  </si>
  <si>
    <t>363709000</t>
  </si>
  <si>
    <t>2024-05-01</t>
  </si>
  <si>
    <t>83.02135467529297</t>
  </si>
  <si>
    <t>83.04100036621094</t>
  </si>
  <si>
    <t>86.0</t>
  </si>
  <si>
    <t>81.25499725341797</t>
  </si>
  <si>
    <t>85.0770034790039</t>
  </si>
  <si>
    <t>559863000</t>
  </si>
  <si>
    <t>2024-05-02</t>
  </si>
  <si>
    <t>85.79669952392578</t>
  </si>
  <si>
    <t>85.81700134277344</t>
  </si>
  <si>
    <t>86.23699951171875</t>
  </si>
  <si>
    <t>83.19999694824219</t>
  </si>
  <si>
    <t>84.4489974975586</t>
  </si>
  <si>
    <t>377898000</t>
  </si>
  <si>
    <t>2024-05-03</t>
  </si>
  <si>
    <t>88.76799774169922</t>
  </si>
  <si>
    <t>88.78900146484375</t>
  </si>
  <si>
    <t>89.28099822998047</t>
  </si>
  <si>
    <t>87.04000091552734</t>
  </si>
  <si>
    <t>87.78900146484375</t>
  </si>
  <si>
    <t>398341000</t>
  </si>
  <si>
    <t>2024-05-06</t>
  </si>
  <si>
    <t>92.11820220947266</t>
  </si>
  <si>
    <t>92.13999938964844</t>
  </si>
  <si>
    <t>92.22000122070312</t>
  </si>
  <si>
    <t>89.05500030517578</t>
  </si>
  <si>
    <t>89.38999938964844</t>
  </si>
  <si>
    <t>376203000</t>
  </si>
  <si>
    <t>2024-05-07</t>
  </si>
  <si>
    <t>90.53257751464844</t>
  </si>
  <si>
    <t>90.55400085449219</t>
  </si>
  <si>
    <t>91.78099822998047</t>
  </si>
  <si>
    <t>89.01100158691406</t>
  </si>
  <si>
    <t>91.0979995727539</t>
  </si>
  <si>
    <t>437342000</t>
  </si>
  <si>
    <t>2024-05-08</t>
  </si>
  <si>
    <t>90.39061737060547</t>
  </si>
  <si>
    <t>90.41200256347656</t>
  </si>
  <si>
    <t>91.19400024414062</t>
  </si>
  <si>
    <t>89.41999816894531</t>
  </si>
  <si>
    <t>89.48300170898438</t>
  </si>
  <si>
    <t>325721000</t>
  </si>
  <si>
    <t>2024-05-09</t>
  </si>
  <si>
    <t>88.72601318359375</t>
  </si>
  <si>
    <t>88.74700164794922</t>
  </si>
  <si>
    <t>91.0719985961914</t>
  </si>
  <si>
    <t>88.23100280761719</t>
  </si>
  <si>
    <t>90.52899932861328</t>
  </si>
  <si>
    <t>378013000</t>
  </si>
  <si>
    <t>2024-05-10</t>
  </si>
  <si>
    <t>89.85672760009766</t>
  </si>
  <si>
    <t>89.87799835205078</t>
  </si>
  <si>
    <t>91.4010009765625</t>
  </si>
  <si>
    <t>89.22699737548828</t>
  </si>
  <si>
    <t>90.30500030517578</t>
  </si>
  <si>
    <t>335325000</t>
  </si>
  <si>
    <t>2024-05-13</t>
  </si>
  <si>
    <t>90.37762451171875</t>
  </si>
  <si>
    <t>90.39900207519531</t>
  </si>
  <si>
    <t>90.99800109863281</t>
  </si>
  <si>
    <t>88.52899932861328</t>
  </si>
  <si>
    <t>90.47799682617188</t>
  </si>
  <si>
    <t>289680000</t>
  </si>
  <si>
    <t>2024-05-14</t>
  </si>
  <si>
    <t>91.33438873291016</t>
  </si>
  <si>
    <t>91.35600280761719</t>
  </si>
  <si>
    <t>91.6510009765625</t>
  </si>
  <si>
    <t>88.93399810791016</t>
  </si>
  <si>
    <t>89.5989990234375</t>
  </si>
  <si>
    <t>296507000</t>
  </si>
  <si>
    <t>2024-05-15</t>
  </si>
  <si>
    <t>94.60761260986328</t>
  </si>
  <si>
    <t>94.62999725341797</t>
  </si>
  <si>
    <t>94.86199951171875</t>
  </si>
  <si>
    <t>91.5989990234375</t>
  </si>
  <si>
    <t>92.47200012207031</t>
  </si>
  <si>
    <t>417735000</t>
  </si>
  <si>
    <t>2024-05-16</t>
  </si>
  <si>
    <t>94.33667755126953</t>
  </si>
  <si>
    <t>94.35900115966797</t>
  </si>
  <si>
    <t>95.81900024414062</t>
  </si>
  <si>
    <t>94.10299682617188</t>
  </si>
  <si>
    <t>94.91000366210938</t>
  </si>
  <si>
    <t>323952000</t>
  </si>
  <si>
    <t>2024-05-17</t>
  </si>
  <si>
    <t>92.45711517333984</t>
  </si>
  <si>
    <t>92.47899627685547</t>
  </si>
  <si>
    <t>94.73999786376953</t>
  </si>
  <si>
    <t>91.80599975585938</t>
  </si>
  <si>
    <t>94.36900329589844</t>
  </si>
  <si>
    <t>359691000</t>
  </si>
  <si>
    <t>2024-05-20</t>
  </si>
  <si>
    <t>94.75758361816406</t>
  </si>
  <si>
    <t>94.77999877929688</t>
  </si>
  <si>
    <t>95.19999694824219</t>
  </si>
  <si>
    <t>93.44000244140625</t>
  </si>
  <si>
    <t>93.75</t>
  </si>
  <si>
    <t>318764000</t>
  </si>
  <si>
    <t>2024-05-21</t>
  </si>
  <si>
    <t>95.36344146728516</t>
  </si>
  <si>
    <t>95.38600158691406</t>
  </si>
  <si>
    <t>95.4000015258789</t>
  </si>
  <si>
    <t>93.18000030517578</t>
  </si>
  <si>
    <t>93.5989990234375</t>
  </si>
  <si>
    <t>328946000</t>
  </si>
  <si>
    <t>2024-05-22</t>
  </si>
  <si>
    <t>94.92754364013672</t>
  </si>
  <si>
    <t>94.94999694824219</t>
  </si>
  <si>
    <t>96.0199966430664</t>
  </si>
  <si>
    <t>93.2490005493164</t>
  </si>
  <si>
    <t>95.45899963378906</t>
  </si>
  <si>
    <t>548648000</t>
  </si>
  <si>
    <t>2024-05-23</t>
  </si>
  <si>
    <t>103.77445220947266</t>
  </si>
  <si>
    <t>103.79900360107422</t>
  </si>
  <si>
    <t>106.31999969482422</t>
  </si>
  <si>
    <t>101.5199966430664</t>
  </si>
  <si>
    <t>102.02799987792969</t>
  </si>
  <si>
    <t>835065000</t>
  </si>
  <si>
    <t>2024-05-24</t>
  </si>
  <si>
    <t>106.44381713867188</t>
  </si>
  <si>
    <t>106.46900177001953</t>
  </si>
  <si>
    <t>106.4749984741211</t>
  </si>
  <si>
    <t>103.0</t>
  </si>
  <si>
    <t>104.4489974975586</t>
  </si>
  <si>
    <t>429494000</t>
  </si>
  <si>
    <t>2024-05-28</t>
  </si>
  <si>
    <t>113.87406158447266</t>
  </si>
  <si>
    <t>113.9010009765625</t>
  </si>
  <si>
    <t>114.93900299072266</t>
  </si>
  <si>
    <t>109.88300323486328</t>
  </si>
  <si>
    <t>110.24400329589844</t>
  </si>
  <si>
    <t>652728000</t>
  </si>
  <si>
    <t>2024-05-29</t>
  </si>
  <si>
    <t>114.79783630371094</t>
  </si>
  <si>
    <t>114.82499694824219</t>
  </si>
  <si>
    <t>115.49199676513672</t>
  </si>
  <si>
    <t>110.9010009765625</t>
  </si>
  <si>
    <t>113.05000305175781</t>
  </si>
  <si>
    <t>557442000</t>
  </si>
  <si>
    <t>2024-05-30</t>
  </si>
  <si>
    <t>110.4738540649414</t>
  </si>
  <si>
    <t>110.5</t>
  </si>
  <si>
    <t>115.81900024414062</t>
  </si>
  <si>
    <t>109.66300201416016</t>
  </si>
  <si>
    <t>114.6500015258789</t>
  </si>
  <si>
    <t>487350000</t>
  </si>
  <si>
    <t>2024-05-31</t>
  </si>
  <si>
    <t>109.60707092285156</t>
  </si>
  <si>
    <t>109.63300323486328</t>
  </si>
  <si>
    <t>112.71700286865234</t>
  </si>
  <si>
    <t>106.94000244140625</t>
  </si>
  <si>
    <t>112.5199966430664</t>
  </si>
  <si>
    <t>613263000</t>
  </si>
  <si>
    <t>2024-06-03</t>
  </si>
  <si>
    <t>114.9728012084961</t>
  </si>
  <si>
    <t>115.0</t>
  </si>
  <si>
    <t>112.00299835205078</t>
  </si>
  <si>
    <t>113.62100219726562</t>
  </si>
  <si>
    <t>438392000</t>
  </si>
  <si>
    <t>2024-06-04</t>
  </si>
  <si>
    <t>116.40945434570312</t>
  </si>
  <si>
    <t>116.43699645996094</t>
  </si>
  <si>
    <t>116.5999984741211</t>
  </si>
  <si>
    <t>114.04499816894531</t>
  </si>
  <si>
    <t>115.71600341796875</t>
  </si>
  <si>
    <t>403324000</t>
  </si>
  <si>
    <t>2024-06-05</t>
  </si>
  <si>
    <t>122.4110336303711</t>
  </si>
  <si>
    <t>122.44000244140625</t>
  </si>
  <si>
    <t>122.4489974975586</t>
  </si>
  <si>
    <t>117.46800231933594</t>
  </si>
  <si>
    <t>118.37100219726562</t>
  </si>
  <si>
    <t>528402000</t>
  </si>
  <si>
    <t>2024-06-06</t>
  </si>
  <si>
    <t>120.96937561035156</t>
  </si>
  <si>
    <t>120.99800109863281</t>
  </si>
  <si>
    <t>125.58699798583984</t>
  </si>
  <si>
    <t>118.31999969482422</t>
  </si>
  <si>
    <t>124.0479965209961</t>
  </si>
  <si>
    <t>664696000</t>
  </si>
  <si>
    <t>2024-06-07</t>
  </si>
  <si>
    <t>120.85940551757812</t>
  </si>
  <si>
    <t>120.88800048828125</t>
  </si>
  <si>
    <t>121.69200134277344</t>
  </si>
  <si>
    <t>118.02200317382812</t>
  </si>
  <si>
    <t>119.7699966430664</t>
  </si>
  <si>
    <t>412386000</t>
  </si>
  <si>
    <t>2024-06-10</t>
  </si>
  <si>
    <t>121.76119232177734</t>
  </si>
  <si>
    <t>121.79000091552734</t>
  </si>
  <si>
    <t>123.0999984741211</t>
  </si>
  <si>
    <t>117.01000213623047</t>
  </si>
  <si>
    <t>120.37000274658203</t>
  </si>
  <si>
    <t>314162700</t>
  </si>
  <si>
    <t>2024-06-11</t>
  </si>
  <si>
    <t>120.89132690429688</t>
  </si>
  <si>
    <t>120.91000366210938</t>
  </si>
  <si>
    <t>122.87000274658203</t>
  </si>
  <si>
    <t>118.73999786376953</t>
  </si>
  <si>
    <t>121.7699966430664</t>
  </si>
  <si>
    <t>222551200</t>
  </si>
  <si>
    <t>2024-06-12</t>
  </si>
  <si>
    <t>125.18065643310547</t>
  </si>
  <si>
    <t>125.19999694824219</t>
  </si>
  <si>
    <t>126.87999725341797</t>
  </si>
  <si>
    <t>122.56999969482422</t>
  </si>
  <si>
    <t>123.05999755859375</t>
  </si>
  <si>
    <t>299595000</t>
  </si>
  <si>
    <t>2024-06-13</t>
  </si>
  <si>
    <t>129.58998107910156</t>
  </si>
  <si>
    <t>129.61000061035156</t>
  </si>
  <si>
    <t>129.8000030517578</t>
  </si>
  <si>
    <t>127.16000366210938</t>
  </si>
  <si>
    <t>129.38999938964844</t>
  </si>
  <si>
    <t>260704500</t>
  </si>
  <si>
    <t>2024-06-14</t>
  </si>
  <si>
    <t>131.85964965820312</t>
  </si>
  <si>
    <t>131.8800048828125</t>
  </si>
  <si>
    <t>132.83999633789062</t>
  </si>
  <si>
    <t>128.32000732421875</t>
  </si>
  <si>
    <t>129.9600067138672</t>
  </si>
  <si>
    <t>309320400</t>
  </si>
  <si>
    <t>2024-06-17</t>
  </si>
  <si>
    <t>130.95977783203125</t>
  </si>
  <si>
    <t>130.97999572753906</t>
  </si>
  <si>
    <t>133.72999572753906</t>
  </si>
  <si>
    <t>129.5800018310547</t>
  </si>
  <si>
    <t>132.99000549316406</t>
  </si>
  <si>
    <t>288504400</t>
  </si>
  <si>
    <t>2024-06-18</t>
  </si>
  <si>
    <t>135.55906677246094</t>
  </si>
  <si>
    <t>135.5800018310547</t>
  </si>
  <si>
    <t>136.3300018310547</t>
  </si>
  <si>
    <t>130.69000244140625</t>
  </si>
  <si>
    <t>131.13999938964844</t>
  </si>
  <si>
    <t>294335100</t>
  </si>
  <si>
    <t>2024-06-20</t>
  </si>
  <si>
    <t>130.75979614257812</t>
  </si>
  <si>
    <t>130.77999877929688</t>
  </si>
  <si>
    <t>140.75999450683594</t>
  </si>
  <si>
    <t>129.52000427246094</t>
  </si>
  <si>
    <t>139.8000030517578</t>
  </si>
  <si>
    <t>517768400</t>
  </si>
  <si>
    <t>2024-06-21</t>
  </si>
  <si>
    <t>126.55045318603516</t>
  </si>
  <si>
    <t>126.56999969482422</t>
  </si>
  <si>
    <t>130.6300048828125</t>
  </si>
  <si>
    <t>124.30000305175781</t>
  </si>
  <si>
    <t>127.12000274658203</t>
  </si>
  <si>
    <t>655484700</t>
  </si>
  <si>
    <t>2024-06-24</t>
  </si>
  <si>
    <t>118.09175872802734</t>
  </si>
  <si>
    <t>118.11000061035156</t>
  </si>
  <si>
    <t>124.45999908447266</t>
  </si>
  <si>
    <t>118.04000091552734</t>
  </si>
  <si>
    <t>123.23999786376953</t>
  </si>
  <si>
    <t>476060900</t>
  </si>
  <si>
    <t>2024-06-25</t>
  </si>
  <si>
    <t>126.07051849365234</t>
  </si>
  <si>
    <t>126.08999633789062</t>
  </si>
  <si>
    <t>126.5</t>
  </si>
  <si>
    <t>119.31999969482422</t>
  </si>
  <si>
    <t>121.19999694824219</t>
  </si>
  <si>
    <t>425787500</t>
  </si>
  <si>
    <t>2024-06-26</t>
  </si>
  <si>
    <t>126.38048553466797</t>
  </si>
  <si>
    <t>126.4000015258789</t>
  </si>
  <si>
    <t>128.1199951171875</t>
  </si>
  <si>
    <t>122.5999984741211</t>
  </si>
  <si>
    <t>126.12999725341797</t>
  </si>
  <si>
    <t>362975900</t>
  </si>
  <si>
    <t>2024-06-27</t>
  </si>
  <si>
    <t>123.9708480834961</t>
  </si>
  <si>
    <t>123.98999786376953</t>
  </si>
  <si>
    <t>126.41000366210938</t>
  </si>
  <si>
    <t>122.91999816894531</t>
  </si>
  <si>
    <t>124.0999984741211</t>
  </si>
  <si>
    <t>252571700</t>
  </si>
  <si>
    <t>2024-06-28</t>
  </si>
  <si>
    <t>123.52091979980469</t>
  </si>
  <si>
    <t>123.54000091552734</t>
  </si>
  <si>
    <t>127.70999908447266</t>
  </si>
  <si>
    <t>122.75</t>
  </si>
  <si>
    <t>124.58000183105469</t>
  </si>
  <si>
    <t>315516700</t>
  </si>
  <si>
    <t>2024-07-01</t>
  </si>
  <si>
    <t>124.28080749511719</t>
  </si>
  <si>
    <t>124.83999633789062</t>
  </si>
  <si>
    <t>118.83000183105469</t>
  </si>
  <si>
    <t>123.47000122070312</t>
  </si>
  <si>
    <t>284885500</t>
  </si>
  <si>
    <t>2024-07-02</t>
  </si>
  <si>
    <t>122.65105438232422</t>
  </si>
  <si>
    <t>122.66999816894531</t>
  </si>
  <si>
    <t>123.41000366210938</t>
  </si>
  <si>
    <t>121.02999877929688</t>
  </si>
  <si>
    <t>121.12999725341797</t>
  </si>
  <si>
    <t>218374000</t>
  </si>
  <si>
    <t>2024-07-03</t>
  </si>
  <si>
    <t>128.26019287109375</t>
  </si>
  <si>
    <t>128.27999877929688</t>
  </si>
  <si>
    <t>121.36000061035156</t>
  </si>
  <si>
    <t>121.66000366210938</t>
  </si>
  <si>
    <t>215749000</t>
  </si>
  <si>
    <t>2024-07-05</t>
  </si>
  <si>
    <t>125.8105697631836</t>
  </si>
  <si>
    <t>125.83000183105469</t>
  </si>
  <si>
    <t>128.85000610351562</t>
  </si>
  <si>
    <t>125.68000030517578</t>
  </si>
  <si>
    <t>127.37999725341797</t>
  </si>
  <si>
    <t>214176700</t>
  </si>
  <si>
    <t>2024-07-08</t>
  </si>
  <si>
    <t>128.18019104003906</t>
  </si>
  <si>
    <t>128.1999969482422</t>
  </si>
  <si>
    <t>130.77000427246094</t>
  </si>
  <si>
    <t>127.04000091552734</t>
  </si>
  <si>
    <t>127.48999786376953</t>
  </si>
  <si>
    <t>237677300</t>
  </si>
  <si>
    <t>2024-07-09</t>
  </si>
  <si>
    <t>131.35972595214844</t>
  </si>
  <si>
    <t>131.3800048828125</t>
  </si>
  <si>
    <t>133.82000732421875</t>
  </si>
  <si>
    <t>128.64999389648438</t>
  </si>
  <si>
    <t>130.35000610351562</t>
  </si>
  <si>
    <t>285366600</t>
  </si>
  <si>
    <t>2024-07-10</t>
  </si>
  <si>
    <t>134.88917541503906</t>
  </si>
  <si>
    <t>134.91000366210938</t>
  </si>
  <si>
    <t>135.10000610351562</t>
  </si>
  <si>
    <t>132.4199981689453</t>
  </si>
  <si>
    <t>134.02999877929688</t>
  </si>
  <si>
    <t>248978600</t>
  </si>
  <si>
    <t>2024-07-11</t>
  </si>
  <si>
    <t>127.38033294677734</t>
  </si>
  <si>
    <t>127.4000015258789</t>
  </si>
  <si>
    <t>136.14999389648438</t>
  </si>
  <si>
    <t>127.05000305175781</t>
  </si>
  <si>
    <t>135.75</t>
  </si>
  <si>
    <t>374782700</t>
  </si>
  <si>
    <t>2024-07-12</t>
  </si>
  <si>
    <t>129.2200469970703</t>
  </si>
  <si>
    <t>129.24000549316406</t>
  </si>
  <si>
    <t>131.9199981689453</t>
  </si>
  <si>
    <t>127.22000122070312</t>
  </si>
  <si>
    <t>128.25999450683594</t>
  </si>
  <si>
    <t>252680500</t>
  </si>
  <si>
    <t>2024-07-15</t>
  </si>
  <si>
    <t>128.420166015625</t>
  </si>
  <si>
    <t>128.44000244140625</t>
  </si>
  <si>
    <t>131.38999938964844</t>
  </si>
  <si>
    <t>127.18000030517578</t>
  </si>
  <si>
    <t>130.55999755859375</t>
  </si>
  <si>
    <t>208326200</t>
  </si>
  <si>
    <t>2024-07-16</t>
  </si>
  <si>
    <t>126.34048461914062</t>
  </si>
  <si>
    <t>126.36000061035156</t>
  </si>
  <si>
    <t>129.0399932861328</t>
  </si>
  <si>
    <t>214769500</t>
  </si>
  <si>
    <t>2024-07-17</t>
  </si>
  <si>
    <t>117.97177124023438</t>
  </si>
  <si>
    <t>117.98999786376953</t>
  </si>
  <si>
    <t>121.8499984741211</t>
  </si>
  <si>
    <t>116.72000122070312</t>
  </si>
  <si>
    <t>121.3499984741211</t>
  </si>
  <si>
    <t>390086200</t>
  </si>
  <si>
    <t>2024-07-18</t>
  </si>
  <si>
    <t>121.0712890625</t>
  </si>
  <si>
    <t>121.08999633789062</t>
  </si>
  <si>
    <t>122.4000015258789</t>
  </si>
  <si>
    <t>116.55999755859375</t>
  </si>
  <si>
    <t>320979500</t>
  </si>
  <si>
    <t>2024-07-19</t>
  </si>
  <si>
    <t>117.91178894042969</t>
  </si>
  <si>
    <t>117.93000030517578</t>
  </si>
  <si>
    <t>121.5999984741211</t>
  </si>
  <si>
    <t>117.37000274658203</t>
  </si>
  <si>
    <t>120.3499984741211</t>
  </si>
  <si>
    <t>217223800</t>
  </si>
  <si>
    <t>2024-07-22</t>
  </si>
  <si>
    <t>124.06999969482422</t>
  </si>
  <si>
    <t>119.86000061035156</t>
  </si>
  <si>
    <t>258068900</t>
  </si>
  <si>
    <t>2024-07-23</t>
  </si>
  <si>
    <t>122.5710678100586</t>
  </si>
  <si>
    <t>122.58999633789062</t>
  </si>
  <si>
    <t>124.69000244140625</t>
  </si>
  <si>
    <t>122.0999984741211</t>
  </si>
  <si>
    <t>122.77999877929688</t>
  </si>
  <si>
    <t>173911000</t>
  </si>
  <si>
    <t>2024-07-24</t>
  </si>
  <si>
    <t>114.23235321044922</t>
  </si>
  <si>
    <t>114.25</t>
  </si>
  <si>
    <t>119.94999694824219</t>
  </si>
  <si>
    <t>113.44000244140625</t>
  </si>
  <si>
    <t>119.16999816894531</t>
  </si>
  <si>
    <t>327776900</t>
  </si>
  <si>
    <t>2024-07-25</t>
  </si>
  <si>
    <t>112.26265716552734</t>
  </si>
  <si>
    <t>112.27999877929688</t>
  </si>
  <si>
    <t>116.62999725341797</t>
  </si>
  <si>
    <t>106.30000305175781</t>
  </si>
  <si>
    <t>113.04000091552734</t>
  </si>
  <si>
    <t>460067000</t>
  </si>
  <si>
    <t>2024-07-26</t>
  </si>
  <si>
    <t>113.04253387451172</t>
  </si>
  <si>
    <t>113.05999755859375</t>
  </si>
  <si>
    <t>116.19999694824219</t>
  </si>
  <si>
    <t>111.58000183105469</t>
  </si>
  <si>
    <t>116.19000244140625</t>
  </si>
  <si>
    <t>293399100</t>
  </si>
  <si>
    <t>2024-07-29</t>
  </si>
  <si>
    <t>111.57276153564453</t>
  </si>
  <si>
    <t>111.58999633789062</t>
  </si>
  <si>
    <t>116.27999877929688</t>
  </si>
  <si>
    <t>111.30000305175781</t>
  </si>
  <si>
    <t>113.69000244140625</t>
  </si>
  <si>
    <t>248152100</t>
  </si>
  <si>
    <t>2024-07-30</t>
  </si>
  <si>
    <t>103.71398162841797</t>
  </si>
  <si>
    <t>103.7300033569336</t>
  </si>
  <si>
    <t>111.98999786376953</t>
  </si>
  <si>
    <t>102.54000091552734</t>
  </si>
  <si>
    <t>111.5199966430664</t>
  </si>
  <si>
    <t>486833300</t>
  </si>
  <si>
    <t>2024-07-31</t>
  </si>
  <si>
    <t>117.00192260742188</t>
  </si>
  <si>
    <t>117.0199966430664</t>
  </si>
  <si>
    <t>118.33999633789062</t>
  </si>
  <si>
    <t>110.87999725341797</t>
  </si>
  <si>
    <t>112.9000015258789</t>
  </si>
  <si>
    <t>473174200</t>
  </si>
  <si>
    <t>2024-08-01</t>
  </si>
  <si>
    <t>109.1931381225586</t>
  </si>
  <si>
    <t>109.20999908447266</t>
  </si>
  <si>
    <t>120.16000366210938</t>
  </si>
  <si>
    <t>106.80999755859375</t>
  </si>
  <si>
    <t>117.52999877929688</t>
  </si>
  <si>
    <t>523462300</t>
  </si>
  <si>
    <t>2024-08-02</t>
  </si>
  <si>
    <t>107.25342559814453</t>
  </si>
  <si>
    <t>107.2699966430664</t>
  </si>
  <si>
    <t>108.72000122070312</t>
  </si>
  <si>
    <t>101.37000274658203</t>
  </si>
  <si>
    <t>103.76000213623047</t>
  </si>
  <si>
    <t>482027500</t>
  </si>
  <si>
    <t>2024-08-05</t>
  </si>
  <si>
    <t>100.43448638916016</t>
  </si>
  <si>
    <t>100.44999694824219</t>
  </si>
  <si>
    <t>103.41000366210938</t>
  </si>
  <si>
    <t>90.69000244140625</t>
  </si>
  <si>
    <t>92.05999755859375</t>
  </si>
  <si>
    <t>552842400</t>
  </si>
  <si>
    <t>2024-08-06</t>
  </si>
  <si>
    <t>104.23390197753906</t>
  </si>
  <si>
    <t>104.25</t>
  </si>
  <si>
    <t>107.70999908447266</t>
  </si>
  <si>
    <t>100.55000305175781</t>
  </si>
  <si>
    <t>103.83999633789062</t>
  </si>
  <si>
    <t>409012100</t>
  </si>
  <si>
    <t>2024-08-07</t>
  </si>
  <si>
    <t>98.89472961425781</t>
  </si>
  <si>
    <t>98.91000366210938</t>
  </si>
  <si>
    <t>108.80000305175781</t>
  </si>
  <si>
    <t>98.69000244140625</t>
  </si>
  <si>
    <t>107.80999755859375</t>
  </si>
  <si>
    <t>411440400</t>
  </si>
  <si>
    <t>2024-08-08</t>
  </si>
  <si>
    <t>104.95378875732422</t>
  </si>
  <si>
    <t>104.97000122070312</t>
  </si>
  <si>
    <t>105.5</t>
  </si>
  <si>
    <t>97.5199966430664</t>
  </si>
  <si>
    <t>102.0</t>
  </si>
  <si>
    <t>391910000</t>
  </si>
  <si>
    <t>2024-08-09</t>
  </si>
  <si>
    <t>104.73382568359375</t>
  </si>
  <si>
    <t>104.75</t>
  </si>
  <si>
    <t>106.5999984741211</t>
  </si>
  <si>
    <t>103.43000030517578</t>
  </si>
  <si>
    <t>105.63999938964844</t>
  </si>
  <si>
    <t>290844200</t>
  </si>
  <si>
    <t>2024-08-12</t>
  </si>
  <si>
    <t>109.00315856933594</t>
  </si>
  <si>
    <t>109.0199966430664</t>
  </si>
  <si>
    <t>111.06999969482422</t>
  </si>
  <si>
    <t>106.26000213623047</t>
  </si>
  <si>
    <t>325559900</t>
  </si>
  <si>
    <t>2024-08-13</t>
  </si>
  <si>
    <t>116.12206268310547</t>
  </si>
  <si>
    <t>116.13999938964844</t>
  </si>
  <si>
    <t>116.2300033569336</t>
  </si>
  <si>
    <t>112.44000244140625</t>
  </si>
  <si>
    <t>312646700</t>
  </si>
  <si>
    <t>2024-08-14</t>
  </si>
  <si>
    <t>118.061767578125</t>
  </si>
  <si>
    <t>118.08000183105469</t>
  </si>
  <si>
    <t>118.5999984741211</t>
  </si>
  <si>
    <t>114.06999969482422</t>
  </si>
  <si>
    <t>118.52999877929688</t>
  </si>
  <si>
    <t>339246400</t>
  </si>
  <si>
    <t>2024-08-15</t>
  </si>
  <si>
    <t>122.84103393554688</t>
  </si>
  <si>
    <t>122.86000061035156</t>
  </si>
  <si>
    <t>117.47000122070312</t>
  </si>
  <si>
    <t>118.76000213623047</t>
  </si>
  <si>
    <t>318086700</t>
  </si>
  <si>
    <t>2024-08-16</t>
  </si>
  <si>
    <t>124.56076049804688</t>
  </si>
  <si>
    <t>125.0</t>
  </si>
  <si>
    <t>121.18000030517578</t>
  </si>
  <si>
    <t>121.94000244140625</t>
  </si>
  <si>
    <t>302589900</t>
  </si>
  <si>
    <t>2024-08-19</t>
  </si>
  <si>
    <t>129.97991943359375</t>
  </si>
  <si>
    <t>130.0</t>
  </si>
  <si>
    <t>123.41999816894531</t>
  </si>
  <si>
    <t>124.27999877929688</t>
  </si>
  <si>
    <t>318333600</t>
  </si>
  <si>
    <t>2024-08-20</t>
  </si>
  <si>
    <t>127.2303466796875</t>
  </si>
  <si>
    <t>127.25</t>
  </si>
  <si>
    <t>129.8800048828125</t>
  </si>
  <si>
    <t>125.88999938964844</t>
  </si>
  <si>
    <t>128.39999389648438</t>
  </si>
  <si>
    <t>300087400</t>
  </si>
  <si>
    <t>2024-08-21</t>
  </si>
  <si>
    <t>128.48016357421875</t>
  </si>
  <si>
    <t>128.5</t>
  </si>
  <si>
    <t>129.35000610351562</t>
  </si>
  <si>
    <t>126.66000366210938</t>
  </si>
  <si>
    <t>127.31999969482422</t>
  </si>
  <si>
    <t>257883600</t>
  </si>
  <si>
    <t>2024-08-22</t>
  </si>
  <si>
    <t>123.72089385986328</t>
  </si>
  <si>
    <t>123.73999786376953</t>
  </si>
  <si>
    <t>130.75</t>
  </si>
  <si>
    <t>130.02000427246094</t>
  </si>
  <si>
    <t>376189100</t>
  </si>
  <si>
    <t>2024-08-23</t>
  </si>
  <si>
    <t>129.3500213623047</t>
  </si>
  <si>
    <t>129.3699951171875</t>
  </si>
  <si>
    <t>129.60000610351562</t>
  </si>
  <si>
    <t>125.22000122070312</t>
  </si>
  <si>
    <t>125.86000061035156</t>
  </si>
  <si>
    <t>323230300</t>
  </si>
  <si>
    <t>2024-08-26</t>
  </si>
  <si>
    <t>126.44046783447266</t>
  </si>
  <si>
    <t>126.45999908447266</t>
  </si>
  <si>
    <t>131.25999450683594</t>
  </si>
  <si>
    <t>124.37000274658203</t>
  </si>
  <si>
    <t>129.57000732421875</t>
  </si>
  <si>
    <t>331964700</t>
  </si>
  <si>
    <t>2024-08-27</t>
  </si>
  <si>
    <t>128.2801971435547</t>
  </si>
  <si>
    <t>128.3000030517578</t>
  </si>
  <si>
    <t>129.1999969482422</t>
  </si>
  <si>
    <t>123.87999725341797</t>
  </si>
  <si>
    <t>125.05000305175781</t>
  </si>
  <si>
    <t>303134600</t>
  </si>
  <si>
    <t>2024-08-28</t>
  </si>
  <si>
    <t>125.59060668945312</t>
  </si>
  <si>
    <t>125.61000061035156</t>
  </si>
  <si>
    <t>128.3300018310547</t>
  </si>
  <si>
    <t>122.63999938964844</t>
  </si>
  <si>
    <t>448101100</t>
  </si>
  <si>
    <t>2024-08-29</t>
  </si>
  <si>
    <t>117.57183837890625</t>
  </si>
  <si>
    <t>117.58999633789062</t>
  </si>
  <si>
    <t>124.43000030517578</t>
  </si>
  <si>
    <t>116.70999908447266</t>
  </si>
  <si>
    <t>453023300</t>
  </si>
  <si>
    <t>2024-08-30</t>
  </si>
  <si>
    <t>119.35157012939453</t>
  </si>
  <si>
    <t>119.37000274658203</t>
  </si>
  <si>
    <t>121.75</t>
  </si>
  <si>
    <t>117.22000122070312</t>
  </si>
  <si>
    <t>119.52999877929688</t>
  </si>
  <si>
    <t>333751600</t>
  </si>
  <si>
    <t>2024-09-03</t>
  </si>
  <si>
    <t>107.98332214355469</t>
  </si>
  <si>
    <t>108.0</t>
  </si>
  <si>
    <t>116.20999908447266</t>
  </si>
  <si>
    <t>107.29000091552734</t>
  </si>
  <si>
    <t>116.01000213623047</t>
  </si>
  <si>
    <t>477155100</t>
  </si>
  <si>
    <t>2024-09-04</t>
  </si>
  <si>
    <t>106.19359588623047</t>
  </si>
  <si>
    <t>106.20999908447266</t>
  </si>
  <si>
    <t>113.2699966430664</t>
  </si>
  <si>
    <t>104.12000274658203</t>
  </si>
  <si>
    <t>105.41000366210938</t>
  </si>
  <si>
    <t>372470300</t>
  </si>
  <si>
    <t>2024-09-05</t>
  </si>
  <si>
    <t>107.19344329833984</t>
  </si>
  <si>
    <t>107.20999908447266</t>
  </si>
  <si>
    <t>109.6500015258789</t>
  </si>
  <si>
    <t>104.76000213623047</t>
  </si>
  <si>
    <t>104.98999786376953</t>
  </si>
  <si>
    <t>306850700</t>
  </si>
  <si>
    <t>2024-09-06</t>
  </si>
  <si>
    <t>102.81411743164062</t>
  </si>
  <si>
    <t>102.83000183105469</t>
  </si>
  <si>
    <t>108.1500015258789</t>
  </si>
  <si>
    <t>100.94999694824219</t>
  </si>
  <si>
    <t>108.04000091552734</t>
  </si>
  <si>
    <t>413638100</t>
  </si>
  <si>
    <t>2024-09-09</t>
  </si>
  <si>
    <t>106.45355987548828</t>
  </si>
  <si>
    <t>106.47000122070312</t>
  </si>
  <si>
    <t>106.55000305175781</t>
  </si>
  <si>
    <t>103.69000244140625</t>
  </si>
  <si>
    <t>104.87999725341797</t>
  </si>
  <si>
    <t>273912000</t>
  </si>
  <si>
    <t>2024-09-10</t>
  </si>
  <si>
    <t>108.08330535888672</t>
  </si>
  <si>
    <t>108.0999984741211</t>
  </si>
  <si>
    <t>109.4000015258789</t>
  </si>
  <si>
    <t>104.94999694824219</t>
  </si>
  <si>
    <t>268283700</t>
  </si>
  <si>
    <t>2024-09-11</t>
  </si>
  <si>
    <t>116.8919448852539</t>
  </si>
  <si>
    <t>116.91000366210938</t>
  </si>
  <si>
    <t>117.19000244140625</t>
  </si>
  <si>
    <t>107.41999816894531</t>
  </si>
  <si>
    <t>109.38999938964844</t>
  </si>
  <si>
    <t>441422400</t>
  </si>
  <si>
    <t>2024-09-12</t>
  </si>
  <si>
    <t>119.13179016113281</t>
  </si>
  <si>
    <t>119.13999938964844</t>
  </si>
  <si>
    <t>120.79000091552734</t>
  </si>
  <si>
    <t>115.37999725341797</t>
  </si>
  <si>
    <t>116.83999633789062</t>
  </si>
  <si>
    <t>367100500</t>
  </si>
  <si>
    <t>2024-09-13</t>
  </si>
  <si>
    <t>119.09178924560547</t>
  </si>
  <si>
    <t>119.0999984741211</t>
  </si>
  <si>
    <t>119.95999908447266</t>
  </si>
  <si>
    <t>117.5999984741211</t>
  </si>
  <si>
    <t>119.08000183105469</t>
  </si>
  <si>
    <t>238358300</t>
  </si>
  <si>
    <t>2024-09-16</t>
  </si>
  <si>
    <t>116.7719497680664</t>
  </si>
  <si>
    <t>116.77999877929688</t>
  </si>
  <si>
    <t>118.18000030517578</t>
  </si>
  <si>
    <t>114.36000061035156</t>
  </si>
  <si>
    <t>116.79000091552734</t>
  </si>
  <si>
    <t>248772300</t>
  </si>
  <si>
    <t>2024-09-17</t>
  </si>
  <si>
    <t>115.58203125</t>
  </si>
  <si>
    <t>115.58999633789062</t>
  </si>
  <si>
    <t>118.80000305175781</t>
  </si>
  <si>
    <t>114.83000183105469</t>
  </si>
  <si>
    <t>118.16999816894531</t>
  </si>
  <si>
    <t>231925900</t>
  </si>
  <si>
    <t>2024-09-18</t>
  </si>
  <si>
    <t>113.36219024658203</t>
  </si>
  <si>
    <t>113.37000274658203</t>
  </si>
  <si>
    <t>117.69999694824219</t>
  </si>
  <si>
    <t>113.22000122070312</t>
  </si>
  <si>
    <t>115.88999938964844</t>
  </si>
  <si>
    <t>310318900</t>
  </si>
  <si>
    <t>2024-09-19</t>
  </si>
  <si>
    <t>117.86187744140625</t>
  </si>
  <si>
    <t>117.87000274658203</t>
  </si>
  <si>
    <t>119.66000366210938</t>
  </si>
  <si>
    <t>117.25</t>
  </si>
  <si>
    <t>117.3499984741211</t>
  </si>
  <si>
    <t>293506400</t>
  </si>
  <si>
    <t>2024-09-20</t>
  </si>
  <si>
    <t>115.99200439453125</t>
  </si>
  <si>
    <t>116.0</t>
  </si>
  <si>
    <t>118.62000274658203</t>
  </si>
  <si>
    <t>115.38999938964844</t>
  </si>
  <si>
    <t>117.05999755859375</t>
  </si>
  <si>
    <t>382462400</t>
  </si>
  <si>
    <t>2024-09-23</t>
  </si>
  <si>
    <t>116.25199127197266</t>
  </si>
  <si>
    <t>116.26000213623047</t>
  </si>
  <si>
    <t>116.98999786376953</t>
  </si>
  <si>
    <t>114.86000061035156</t>
  </si>
  <si>
    <t>116.55000305175781</t>
  </si>
  <si>
    <t>206228500</t>
  </si>
  <si>
    <t>2024-09-24</t>
  </si>
  <si>
    <t>120.8616714477539</t>
  </si>
  <si>
    <t>120.87000274658203</t>
  </si>
  <si>
    <t>121.80000305175781</t>
  </si>
  <si>
    <t>116.5199966430664</t>
  </si>
  <si>
    <t>354966800</t>
  </si>
  <si>
    <t>2024-09-25</t>
  </si>
  <si>
    <t>123.50149536132812</t>
  </si>
  <si>
    <t>123.51000213623047</t>
  </si>
  <si>
    <t>124.94000244140625</t>
  </si>
  <si>
    <t>121.61000061035156</t>
  </si>
  <si>
    <t>122.0199966430664</t>
  </si>
  <si>
    <t>284692900</t>
  </si>
  <si>
    <t>2024-09-26</t>
  </si>
  <si>
    <t>124.03145599365234</t>
  </si>
  <si>
    <t>124.04000091552734</t>
  </si>
  <si>
    <t>127.66999816894531</t>
  </si>
  <si>
    <t>126.80000305175781</t>
  </si>
  <si>
    <t>302582900</t>
  </si>
  <si>
    <t>2024-09-27</t>
  </si>
  <si>
    <t>121.39163970947266</t>
  </si>
  <si>
    <t>121.4000015258789</t>
  </si>
  <si>
    <t>124.02999877929688</t>
  </si>
  <si>
    <t>119.26000213623047</t>
  </si>
  <si>
    <t>123.97000122070312</t>
  </si>
  <si>
    <t>271009200</t>
  </si>
  <si>
    <t>2024-09-30</t>
  </si>
  <si>
    <t>121.43163299560547</t>
  </si>
  <si>
    <t>121.44000244140625</t>
  </si>
  <si>
    <t>121.5</t>
  </si>
  <si>
    <t>118.1500015258789</t>
  </si>
  <si>
    <t>118.30999755859375</t>
  </si>
  <si>
    <t>226553700</t>
  </si>
  <si>
    <t>Data</t>
  </si>
  <si>
    <t>Preço_Fecho</t>
  </si>
  <si>
    <t>Retorno_Diário</t>
  </si>
  <si>
    <t>Retorno_12M</t>
  </si>
  <si>
    <t>Volatilidade</t>
  </si>
  <si>
    <t>Sinal_TSMOM</t>
  </si>
  <si>
    <t>Position_Size</t>
  </si>
  <si>
    <t>Retorno_Estratégia</t>
  </si>
  <si>
    <t>Célula</t>
  </si>
  <si>
    <t>Fórmula</t>
  </si>
  <si>
    <t>Descrição</t>
  </si>
  <si>
    <t>C3</t>
  </si>
  <si>
    <t>Retorno diário = (Preço_hoje / Preço_ontem) - 1</t>
  </si>
  <si>
    <t>D3</t>
  </si>
  <si>
    <t>Retorno 12 meses = preço atual / preço há 252 dias - 1</t>
  </si>
  <si>
    <t>E3</t>
  </si>
  <si>
    <t>Volatilidade anualizada = STDEV(últimos 252 retornos) * √252</t>
  </si>
  <si>
    <t>F3</t>
  </si>
  <si>
    <t>Sinal: +1 se retorno 12M positivo, -1 se negativo</t>
  </si>
  <si>
    <t>G3</t>
  </si>
  <si>
    <t>Position size = Sinal × (Vol_Target / Vol_Atual)</t>
  </si>
  <si>
    <t>H3</t>
  </si>
  <si>
    <t>Retorno estratégia = Position_size × Retorno_próximo_dia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</si>
</sst>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Aptos Narrow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2" xfId="0" applyNumberFormat="1" applyFont="1" applyFill="1" applyBorder="1"/>
    <xf numFmtId="0" fontId="0" fillId="0" borderId="0" xfId="0" applyFill="1"/>
    <xf numFmtId="0" fontId="0" fillId="0" borderId="0" xfId="0" applyBorder="1"/>
    <xf numFmtId="0" fontId="0" fillId="0" borderId="3" xfId="0" applyNumberFormat="1" applyFont="1" applyBorder="1"/>
    <xf numFmtId="0" fontId="3" fillId="0" borderId="4" xfId="0" applyFont="1" applyBorder="1" applyAlignment="1">
      <alignment horizontal="center" vertical="top"/>
    </xf>
    <xf numFmtId="0" fontId="4" fillId="0" borderId="5" xfId="0" applyFont="1" applyFill="1" applyBorder="1" applyAlignment="1">
      <alignment horizontal="center" vertical="top"/>
    </xf>
    <xf numFmtId="0" fontId="0" fillId="0" borderId="6" xfId="0" applyNumberFormat="1" applyFont="1" applyBorder="1"/>
    <xf numFmtId="0" fontId="0" fillId="0" borderId="1" xfId="0" applyNumberFormat="1" applyFont="1" applyFill="1" applyBorder="1"/>
    <xf numFmtId="0" fontId="5" fillId="2" borderId="1" xfId="0" applyNumberFormat="1" applyFont="1" applyFill="1" applyBorder="1"/>
    <xf numFmtId="0" fontId="5" fillId="2" borderId="2" xfId="0" applyNumberFormat="1" applyFont="1" applyFill="1" applyBorder="1"/>
    <xf numFmtId="0" fontId="5" fillId="2" borderId="0" xfId="0" applyFont="1" applyFill="1"/>
    <xf numFmtId="0" fontId="6" fillId="3" borderId="4" xfId="0" applyFont="1" applyFill="1" applyBorder="1" applyAlignment="1">
      <alignment horizontal="center" vertical="top"/>
    </xf>
    <xf numFmtId="0" fontId="2" fillId="0" borderId="4" xfId="0" applyNumberFormat="1" applyFont="1" applyFill="1" applyBorder="1"/>
    <xf numFmtId="0" fontId="2" fillId="0" borderId="4" xfId="0" applyFont="1" applyFill="1" applyBorder="1"/>
    <xf numFmtId="10" fontId="2" fillId="0" borderId="4" xfId="1" applyNumberFormat="1" applyFont="1" applyFill="1" applyBorder="1"/>
  </cellXfs>
  <cellStyles count="2">
    <cellStyle name="Normal" xfId="0" builtinId="0"/>
    <cellStyle name="Percentagem" xfId="1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A615C82-300E-0242-8833-DA2C4AF7912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B5988-6AD0-7349-BCD3-B4884C9DE585}" name="NVIDIA_STOCK" displayName="NVIDIA_STOCK" ref="A1:G1701" tableType="queryTable" totalsRowShown="0">
  <autoFilter ref="A1:G1701" xr:uid="{57DB5988-6AD0-7349-BCD3-B4884C9DE585}"/>
  <tableColumns count="7">
    <tableColumn id="1" xr3:uid="{8220F736-EF85-3248-987C-62DC4AEF1514}" uniqueName="1" name="Column1" queryTableFieldId="1" dataDxfId="25"/>
    <tableColumn id="2" xr3:uid="{8D28A916-C2A8-4C4D-B45D-8B78D9CBBA65}" uniqueName="2" name="Column2" queryTableFieldId="2" dataDxfId="24"/>
    <tableColumn id="3" xr3:uid="{23B4ECE5-580C-9349-B6FB-6EC78B3957CE}" uniqueName="3" name="Column3" queryTableFieldId="3" dataDxfId="23"/>
    <tableColumn id="4" xr3:uid="{9E05B9A5-85D5-CA49-977D-AF5D5760ED13}" uniqueName="4" name="Column4" queryTableFieldId="4" dataDxfId="22"/>
    <tableColumn id="5" xr3:uid="{91BBED66-1CA5-324E-B9E5-89CEE5C34111}" uniqueName="5" name="Column5" queryTableFieldId="5" dataDxfId="21"/>
    <tableColumn id="6" xr3:uid="{E2C31A50-3821-C04E-AA54-2AF2AE8CB2FC}" uniqueName="6" name="Column6" queryTableFieldId="6" dataDxfId="20"/>
    <tableColumn id="7" xr3:uid="{F924550D-B045-DE41-A9EF-C5D362277B80}" uniqueName="7" name="Column7" queryTableFieldId="7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73247B-1406-F944-BAB5-F3E63757478F}" name="Tabela3" displayName="Tabela3" ref="A1:H1510" totalsRowCount="1" headerRowDxfId="18" headerRowBorderDxfId="16" tableBorderDxfId="17">
  <autoFilter ref="A1:H1509" xr:uid="{8B73247B-1406-F944-BAB5-F3E63757478F}"/>
  <tableColumns count="8">
    <tableColumn id="1" xr3:uid="{00311941-8BBB-304C-B45E-04DB9D89E240}" name="Data" dataDxfId="15" totalsRowDxfId="10"/>
    <tableColumn id="2" xr3:uid="{21E729C4-5373-3B4F-8EA3-5AD4F21FBB90}" name="Preço_Fecho" dataDxfId="14" totalsRowDxfId="9"/>
    <tableColumn id="3" xr3:uid="{F3BCDC1C-75C6-8D46-A286-E6038E833881}" name="Retorno_Diário" totalsRowDxfId="8">
      <calculatedColumnFormula>B2/B1-1</calculatedColumnFormula>
    </tableColumn>
    <tableColumn id="4" xr3:uid="{E12A3A84-EA92-7545-B0A2-18A24B7731DD}" name="Retorno_12M" totalsRowDxfId="7"/>
    <tableColumn id="5" xr3:uid="{BB630EBF-0B91-3B4A-943C-D66302E06D29}" name="Volatilidade" totalsRowDxfId="6"/>
    <tableColumn id="6" xr3:uid="{D54E9E4A-283D-634D-8389-5997C304671A}" name="Sinal_TSMOM" dataDxfId="13" totalsRowDxfId="5">
      <calculatedColumnFormula>IF(Tabela3[[#This Row],[Retorno_Diário]]&gt;0,1,-1)</calculatedColumnFormula>
    </tableColumn>
    <tableColumn id="7" xr3:uid="{52D94F4C-7A96-9E41-8781-115F270E3B7B}" name="Position_Size" dataDxfId="12" totalsRowDxfId="4">
      <calculatedColumnFormula>Tabela3[[#This Row],[Sinal_TSMOM]]*(0.4*Tabela3[[#This Row],[Volatilidade]])</calculatedColumnFormula>
    </tableColumn>
    <tableColumn id="8" xr3:uid="{818BCC91-B534-6E45-868C-43F18B7C1A8F}" name="Retorno_Estratégia" dataDxfId="11" totalsRowDxfId="3">
      <calculatedColumnFormula>Tabela3[[#This Row],[Position_Size]]*Tabela3[[#This Row],[Retorno_Diário]]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E42-253D-BB4C-8EF4-B13AB92DFB42}">
  <dimension ref="A1:G1701"/>
  <sheetViews>
    <sheetView workbookViewId="0">
      <selection activeCell="C5" sqref="C5:C1701"/>
    </sheetView>
  </sheetViews>
  <sheetFormatPr baseColWidth="10" defaultRowHeight="16" x14ac:dyDescent="0.2"/>
  <cols>
    <col min="1" max="1" width="11.1640625" bestFit="1" customWidth="1"/>
    <col min="2" max="6" width="18.83203125" bestFit="1" customWidth="1"/>
    <col min="7" max="7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</row>
    <row r="4" spans="1:7" x14ac:dyDescent="0.2">
      <c r="A4" s="1" t="s">
        <v>16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</row>
    <row r="5" spans="1:7" x14ac:dyDescent="0.2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 x14ac:dyDescent="0.2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</row>
    <row r="8" spans="1:7" x14ac:dyDescent="0.2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</row>
    <row r="9" spans="1:7" x14ac:dyDescent="0.2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7" x14ac:dyDescent="0.2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</row>
    <row r="11" spans="1:7" x14ac:dyDescent="0.2">
      <c r="A11" s="1" t="s">
        <v>60</v>
      </c>
      <c r="B11" s="1" t="s">
        <v>61</v>
      </c>
      <c r="C11" s="1" t="s">
        <v>62</v>
      </c>
      <c r="D11" s="1" t="s">
        <v>56</v>
      </c>
      <c r="E11" s="1" t="s">
        <v>63</v>
      </c>
      <c r="F11" s="1" t="s">
        <v>64</v>
      </c>
      <c r="G11" s="1" t="s">
        <v>65</v>
      </c>
    </row>
    <row r="12" spans="1:7" x14ac:dyDescent="0.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49</v>
      </c>
      <c r="G12" s="1" t="s">
        <v>71</v>
      </c>
    </row>
    <row r="13" spans="1:7" x14ac:dyDescent="0.2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</row>
    <row r="14" spans="1:7" x14ac:dyDescent="0.2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</row>
    <row r="15" spans="1:7" x14ac:dyDescent="0.2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</row>
    <row r="16" spans="1:7" x14ac:dyDescent="0.2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</row>
    <row r="17" spans="1:7" x14ac:dyDescent="0.2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106</v>
      </c>
    </row>
    <row r="18" spans="1:7" x14ac:dyDescent="0.2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112</v>
      </c>
      <c r="G18" s="1" t="s">
        <v>113</v>
      </c>
    </row>
    <row r="19" spans="1:7" x14ac:dyDescent="0.2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120</v>
      </c>
    </row>
    <row r="20" spans="1:7" x14ac:dyDescent="0.2">
      <c r="A20" s="1" t="s">
        <v>121</v>
      </c>
      <c r="B20" s="1" t="s">
        <v>122</v>
      </c>
      <c r="C20" s="1" t="s">
        <v>123</v>
      </c>
      <c r="D20" s="1" t="s">
        <v>124</v>
      </c>
      <c r="E20" s="1" t="s">
        <v>125</v>
      </c>
      <c r="F20" s="1" t="s">
        <v>126</v>
      </c>
      <c r="G20" s="1" t="s">
        <v>127</v>
      </c>
    </row>
    <row r="21" spans="1:7" x14ac:dyDescent="0.2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  <c r="G21" s="1" t="s">
        <v>134</v>
      </c>
    </row>
    <row r="22" spans="1:7" x14ac:dyDescent="0.2">
      <c r="A22" s="1" t="s">
        <v>135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 t="s">
        <v>141</v>
      </c>
    </row>
    <row r="23" spans="1:7" x14ac:dyDescent="0.2">
      <c r="A23" s="1" t="s">
        <v>142</v>
      </c>
      <c r="B23" s="1" t="s">
        <v>143</v>
      </c>
      <c r="C23" s="1" t="s">
        <v>144</v>
      </c>
      <c r="D23" s="1" t="s">
        <v>145</v>
      </c>
      <c r="E23" s="1" t="s">
        <v>146</v>
      </c>
      <c r="F23" s="1" t="s">
        <v>147</v>
      </c>
      <c r="G23" s="1" t="s">
        <v>148</v>
      </c>
    </row>
    <row r="24" spans="1:7" x14ac:dyDescent="0.2">
      <c r="A24" s="1" t="s">
        <v>149</v>
      </c>
      <c r="B24" s="1" t="s">
        <v>150</v>
      </c>
      <c r="C24" s="1" t="s">
        <v>151</v>
      </c>
      <c r="D24" s="1" t="s">
        <v>152</v>
      </c>
      <c r="E24" s="1" t="s">
        <v>153</v>
      </c>
      <c r="F24" s="1" t="s">
        <v>154</v>
      </c>
      <c r="G24" s="1" t="s">
        <v>155</v>
      </c>
    </row>
    <row r="25" spans="1:7" x14ac:dyDescent="0.2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161</v>
      </c>
      <c r="G25" s="1" t="s">
        <v>162</v>
      </c>
    </row>
    <row r="26" spans="1:7" x14ac:dyDescent="0.2">
      <c r="A26" s="1" t="s">
        <v>163</v>
      </c>
      <c r="B26" s="1" t="s">
        <v>164</v>
      </c>
      <c r="C26" s="1" t="s">
        <v>165</v>
      </c>
      <c r="D26" s="1" t="s">
        <v>166</v>
      </c>
      <c r="E26" s="1" t="s">
        <v>167</v>
      </c>
      <c r="F26" s="1" t="s">
        <v>168</v>
      </c>
      <c r="G26" s="1" t="s">
        <v>169</v>
      </c>
    </row>
    <row r="27" spans="1:7" x14ac:dyDescent="0.2">
      <c r="A27" s="1" t="s">
        <v>170</v>
      </c>
      <c r="B27" s="1" t="s">
        <v>171</v>
      </c>
      <c r="C27" s="1" t="s">
        <v>172</v>
      </c>
      <c r="D27" s="1" t="s">
        <v>173</v>
      </c>
      <c r="E27" s="1" t="s">
        <v>174</v>
      </c>
      <c r="F27" s="1" t="s">
        <v>175</v>
      </c>
      <c r="G27" s="1" t="s">
        <v>176</v>
      </c>
    </row>
    <row r="28" spans="1:7" x14ac:dyDescent="0.2">
      <c r="A28" s="1" t="s">
        <v>177</v>
      </c>
      <c r="B28" s="1" t="s">
        <v>178</v>
      </c>
      <c r="C28" s="1" t="s">
        <v>28</v>
      </c>
      <c r="D28" s="1" t="s">
        <v>179</v>
      </c>
      <c r="E28" s="1" t="s">
        <v>180</v>
      </c>
      <c r="F28" s="1" t="s">
        <v>104</v>
      </c>
      <c r="G28" s="1" t="s">
        <v>181</v>
      </c>
    </row>
    <row r="29" spans="1:7" x14ac:dyDescent="0.2">
      <c r="A29" s="1" t="s">
        <v>182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188</v>
      </c>
    </row>
    <row r="30" spans="1:7" x14ac:dyDescent="0.2">
      <c r="A30" s="1" t="s">
        <v>189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</row>
    <row r="31" spans="1:7" x14ac:dyDescent="0.2">
      <c r="A31" s="1" t="s">
        <v>196</v>
      </c>
      <c r="B31" s="1" t="s">
        <v>197</v>
      </c>
      <c r="C31" s="1" t="s">
        <v>198</v>
      </c>
      <c r="D31" s="1" t="s">
        <v>199</v>
      </c>
      <c r="E31" s="1" t="s">
        <v>200</v>
      </c>
      <c r="F31" s="1" t="s">
        <v>201</v>
      </c>
      <c r="G31" s="1" t="s">
        <v>202</v>
      </c>
    </row>
    <row r="32" spans="1:7" x14ac:dyDescent="0.2">
      <c r="A32" s="1" t="s">
        <v>203</v>
      </c>
      <c r="B32" s="1" t="s">
        <v>204</v>
      </c>
      <c r="C32" s="1" t="s">
        <v>205</v>
      </c>
      <c r="D32" s="1" t="s">
        <v>206</v>
      </c>
      <c r="E32" s="1" t="s">
        <v>198</v>
      </c>
      <c r="F32" s="1" t="s">
        <v>207</v>
      </c>
      <c r="G32" s="1" t="s">
        <v>208</v>
      </c>
    </row>
    <row r="33" spans="1:7" x14ac:dyDescent="0.2">
      <c r="A33" s="1" t="s">
        <v>209</v>
      </c>
      <c r="B33" s="1" t="s">
        <v>210</v>
      </c>
      <c r="C33" s="1" t="s">
        <v>211</v>
      </c>
      <c r="D33" s="1" t="s">
        <v>212</v>
      </c>
      <c r="E33" s="1" t="s">
        <v>213</v>
      </c>
      <c r="F33" s="1" t="s">
        <v>214</v>
      </c>
      <c r="G33" s="1" t="s">
        <v>215</v>
      </c>
    </row>
    <row r="34" spans="1:7" x14ac:dyDescent="0.2">
      <c r="A34" s="1" t="s">
        <v>216</v>
      </c>
      <c r="B34" s="1" t="s">
        <v>217</v>
      </c>
      <c r="C34" s="1" t="s">
        <v>218</v>
      </c>
      <c r="D34" s="1" t="s">
        <v>219</v>
      </c>
      <c r="E34" s="1" t="s">
        <v>220</v>
      </c>
      <c r="F34" s="1" t="s">
        <v>221</v>
      </c>
      <c r="G34" s="1" t="s">
        <v>222</v>
      </c>
    </row>
    <row r="35" spans="1:7" x14ac:dyDescent="0.2">
      <c r="A35" s="1" t="s">
        <v>223</v>
      </c>
      <c r="B35" s="1" t="s">
        <v>224</v>
      </c>
      <c r="C35" s="1" t="s">
        <v>225</v>
      </c>
      <c r="D35" s="1" t="s">
        <v>226</v>
      </c>
      <c r="E35" s="1" t="s">
        <v>227</v>
      </c>
      <c r="F35" s="1" t="s">
        <v>228</v>
      </c>
      <c r="G35" s="1" t="s">
        <v>229</v>
      </c>
    </row>
    <row r="36" spans="1:7" x14ac:dyDescent="0.2">
      <c r="A36" s="1" t="s">
        <v>230</v>
      </c>
      <c r="B36" s="1" t="s">
        <v>231</v>
      </c>
      <c r="C36" s="1" t="s">
        <v>232</v>
      </c>
      <c r="D36" s="1" t="s">
        <v>233</v>
      </c>
      <c r="E36" s="1" t="s">
        <v>234</v>
      </c>
      <c r="F36" s="1" t="s">
        <v>235</v>
      </c>
      <c r="G36" s="1" t="s">
        <v>236</v>
      </c>
    </row>
    <row r="37" spans="1:7" x14ac:dyDescent="0.2">
      <c r="A37" s="1" t="s">
        <v>237</v>
      </c>
      <c r="B37" s="1" t="s">
        <v>238</v>
      </c>
      <c r="C37" s="1" t="s">
        <v>239</v>
      </c>
      <c r="D37" s="1" t="s">
        <v>240</v>
      </c>
      <c r="E37" s="1" t="s">
        <v>241</v>
      </c>
      <c r="F37" s="1" t="s">
        <v>242</v>
      </c>
      <c r="G37" s="1" t="s">
        <v>243</v>
      </c>
    </row>
    <row r="38" spans="1:7" x14ac:dyDescent="0.2">
      <c r="A38" s="1" t="s">
        <v>244</v>
      </c>
      <c r="B38" s="1" t="s">
        <v>245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</row>
    <row r="39" spans="1:7" x14ac:dyDescent="0.2">
      <c r="A39" s="1" t="s">
        <v>251</v>
      </c>
      <c r="B39" s="1" t="s">
        <v>252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</row>
    <row r="40" spans="1:7" x14ac:dyDescent="0.2">
      <c r="A40" s="1" t="s">
        <v>258</v>
      </c>
      <c r="B40" s="1" t="s">
        <v>259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</row>
    <row r="41" spans="1:7" x14ac:dyDescent="0.2">
      <c r="A41" s="1" t="s">
        <v>265</v>
      </c>
      <c r="B41" s="1" t="s">
        <v>266</v>
      </c>
      <c r="C41" s="1" t="s">
        <v>267</v>
      </c>
      <c r="D41" s="1" t="s">
        <v>267</v>
      </c>
      <c r="E41" s="1" t="s">
        <v>268</v>
      </c>
      <c r="F41" s="1" t="s">
        <v>269</v>
      </c>
      <c r="G41" s="1" t="s">
        <v>270</v>
      </c>
    </row>
    <row r="42" spans="1:7" x14ac:dyDescent="0.2">
      <c r="A42" s="1" t="s">
        <v>271</v>
      </c>
      <c r="B42" s="1" t="s">
        <v>272</v>
      </c>
      <c r="C42" s="1" t="s">
        <v>273</v>
      </c>
      <c r="D42" s="1" t="s">
        <v>274</v>
      </c>
      <c r="E42" s="1" t="s">
        <v>275</v>
      </c>
      <c r="F42" s="1" t="s">
        <v>276</v>
      </c>
      <c r="G42" s="1" t="s">
        <v>277</v>
      </c>
    </row>
    <row r="43" spans="1:7" x14ac:dyDescent="0.2">
      <c r="A43" s="1" t="s">
        <v>278</v>
      </c>
      <c r="B43" s="1" t="s">
        <v>279</v>
      </c>
      <c r="C43" s="1" t="s">
        <v>280</v>
      </c>
      <c r="D43" s="1" t="s">
        <v>281</v>
      </c>
      <c r="E43" s="1" t="s">
        <v>282</v>
      </c>
      <c r="F43" s="1" t="s">
        <v>283</v>
      </c>
      <c r="G43" s="1" t="s">
        <v>284</v>
      </c>
    </row>
    <row r="44" spans="1:7" x14ac:dyDescent="0.2">
      <c r="A44" s="1" t="s">
        <v>285</v>
      </c>
      <c r="B44" s="1" t="s">
        <v>286</v>
      </c>
      <c r="C44" s="1" t="s">
        <v>287</v>
      </c>
      <c r="D44" s="1" t="s">
        <v>288</v>
      </c>
      <c r="E44" s="1" t="s">
        <v>289</v>
      </c>
      <c r="F44" s="1" t="s">
        <v>232</v>
      </c>
      <c r="G44" s="1" t="s">
        <v>290</v>
      </c>
    </row>
    <row r="45" spans="1:7" x14ac:dyDescent="0.2">
      <c r="A45" s="1" t="s">
        <v>291</v>
      </c>
      <c r="B45" s="1" t="s">
        <v>292</v>
      </c>
      <c r="C45" s="1" t="s">
        <v>293</v>
      </c>
      <c r="D45" s="1" t="s">
        <v>294</v>
      </c>
      <c r="E45" s="1" t="s">
        <v>295</v>
      </c>
      <c r="F45" s="1" t="s">
        <v>296</v>
      </c>
      <c r="G45" s="1" t="s">
        <v>297</v>
      </c>
    </row>
    <row r="46" spans="1:7" x14ac:dyDescent="0.2">
      <c r="A46" s="1" t="s">
        <v>298</v>
      </c>
      <c r="B46" s="1" t="s">
        <v>299</v>
      </c>
      <c r="C46" s="1" t="s">
        <v>300</v>
      </c>
      <c r="D46" s="1" t="s">
        <v>301</v>
      </c>
      <c r="E46" s="1" t="s">
        <v>302</v>
      </c>
      <c r="F46" s="1" t="s">
        <v>303</v>
      </c>
      <c r="G46" s="1" t="s">
        <v>304</v>
      </c>
    </row>
    <row r="47" spans="1:7" x14ac:dyDescent="0.2">
      <c r="A47" s="1" t="s">
        <v>305</v>
      </c>
      <c r="B47" s="1" t="s">
        <v>306</v>
      </c>
      <c r="C47" s="1" t="s">
        <v>307</v>
      </c>
      <c r="D47" s="1" t="s">
        <v>308</v>
      </c>
      <c r="E47" s="1" t="s">
        <v>309</v>
      </c>
      <c r="F47" s="1" t="s">
        <v>310</v>
      </c>
      <c r="G47" s="1" t="s">
        <v>311</v>
      </c>
    </row>
    <row r="48" spans="1:7" x14ac:dyDescent="0.2">
      <c r="A48" s="1" t="s">
        <v>312</v>
      </c>
      <c r="B48" s="1" t="s">
        <v>313</v>
      </c>
      <c r="C48" s="1" t="s">
        <v>314</v>
      </c>
      <c r="D48" s="1" t="s">
        <v>315</v>
      </c>
      <c r="E48" s="1" t="s">
        <v>316</v>
      </c>
      <c r="F48" s="1" t="s">
        <v>317</v>
      </c>
      <c r="G48" s="1" t="s">
        <v>318</v>
      </c>
    </row>
    <row r="49" spans="1:7" x14ac:dyDescent="0.2">
      <c r="A49" s="1" t="s">
        <v>319</v>
      </c>
      <c r="B49" s="1" t="s">
        <v>320</v>
      </c>
      <c r="C49" s="1" t="s">
        <v>321</v>
      </c>
      <c r="D49" s="1" t="s">
        <v>322</v>
      </c>
      <c r="E49" s="1" t="s">
        <v>323</v>
      </c>
      <c r="F49" s="1" t="s">
        <v>133</v>
      </c>
      <c r="G49" s="1" t="s">
        <v>324</v>
      </c>
    </row>
    <row r="50" spans="1:7" x14ac:dyDescent="0.2">
      <c r="A50" s="1" t="s">
        <v>325</v>
      </c>
      <c r="B50" s="1" t="s">
        <v>326</v>
      </c>
      <c r="C50" s="1" t="s">
        <v>327</v>
      </c>
      <c r="D50" s="1" t="s">
        <v>328</v>
      </c>
      <c r="E50" s="1" t="s">
        <v>329</v>
      </c>
      <c r="F50" s="1" t="s">
        <v>328</v>
      </c>
      <c r="G50" s="1" t="s">
        <v>330</v>
      </c>
    </row>
    <row r="51" spans="1:7" x14ac:dyDescent="0.2">
      <c r="A51" s="1" t="s">
        <v>331</v>
      </c>
      <c r="B51" s="1" t="s">
        <v>332</v>
      </c>
      <c r="C51" s="1" t="s">
        <v>333</v>
      </c>
      <c r="D51" s="1" t="s">
        <v>334</v>
      </c>
      <c r="E51" s="1" t="s">
        <v>335</v>
      </c>
      <c r="F51" s="1" t="s">
        <v>336</v>
      </c>
      <c r="G51" s="1" t="s">
        <v>337</v>
      </c>
    </row>
    <row r="52" spans="1:7" x14ac:dyDescent="0.2">
      <c r="A52" s="1" t="s">
        <v>338</v>
      </c>
      <c r="B52" s="1" t="s">
        <v>339</v>
      </c>
      <c r="C52" s="1" t="s">
        <v>340</v>
      </c>
      <c r="D52" s="1" t="s">
        <v>341</v>
      </c>
      <c r="E52" s="1" t="s">
        <v>342</v>
      </c>
      <c r="F52" s="1" t="s">
        <v>343</v>
      </c>
      <c r="G52" s="1" t="s">
        <v>344</v>
      </c>
    </row>
    <row r="53" spans="1:7" x14ac:dyDescent="0.2">
      <c r="A53" s="1" t="s">
        <v>345</v>
      </c>
      <c r="B53" s="1" t="s">
        <v>346</v>
      </c>
      <c r="C53" s="1" t="s">
        <v>347</v>
      </c>
      <c r="D53" s="1" t="s">
        <v>348</v>
      </c>
      <c r="E53" s="1" t="s">
        <v>349</v>
      </c>
      <c r="F53" s="1" t="s">
        <v>350</v>
      </c>
      <c r="G53" s="1" t="s">
        <v>351</v>
      </c>
    </row>
    <row r="54" spans="1:7" x14ac:dyDescent="0.2">
      <c r="A54" s="1" t="s">
        <v>352</v>
      </c>
      <c r="B54" s="1" t="s">
        <v>353</v>
      </c>
      <c r="C54" s="1" t="s">
        <v>354</v>
      </c>
      <c r="D54" s="1" t="s">
        <v>355</v>
      </c>
      <c r="E54" s="1" t="s">
        <v>356</v>
      </c>
      <c r="F54" s="1" t="s">
        <v>357</v>
      </c>
      <c r="G54" s="1" t="s">
        <v>358</v>
      </c>
    </row>
    <row r="55" spans="1:7" x14ac:dyDescent="0.2">
      <c r="A55" s="1" t="s">
        <v>359</v>
      </c>
      <c r="B55" s="1" t="s">
        <v>360</v>
      </c>
      <c r="C55" s="1" t="s">
        <v>361</v>
      </c>
      <c r="D55" s="1" t="s">
        <v>362</v>
      </c>
      <c r="E55" s="1" t="s">
        <v>363</v>
      </c>
      <c r="F55" s="1" t="s">
        <v>364</v>
      </c>
      <c r="G55" s="1" t="s">
        <v>365</v>
      </c>
    </row>
    <row r="56" spans="1:7" x14ac:dyDescent="0.2">
      <c r="A56" s="1" t="s">
        <v>366</v>
      </c>
      <c r="B56" s="1" t="s">
        <v>367</v>
      </c>
      <c r="C56" s="1" t="s">
        <v>368</v>
      </c>
      <c r="D56" s="1" t="s">
        <v>369</v>
      </c>
      <c r="E56" s="1" t="s">
        <v>370</v>
      </c>
      <c r="F56" s="1" t="s">
        <v>240</v>
      </c>
      <c r="G56" s="1" t="s">
        <v>371</v>
      </c>
    </row>
    <row r="57" spans="1:7" x14ac:dyDescent="0.2">
      <c r="A57" s="1" t="s">
        <v>372</v>
      </c>
      <c r="B57" s="1" t="s">
        <v>373</v>
      </c>
      <c r="C57" s="1" t="s">
        <v>374</v>
      </c>
      <c r="D57" s="1" t="s">
        <v>375</v>
      </c>
      <c r="E57" s="1" t="s">
        <v>175</v>
      </c>
      <c r="F57" s="1" t="s">
        <v>376</v>
      </c>
      <c r="G57" s="1" t="s">
        <v>377</v>
      </c>
    </row>
    <row r="58" spans="1:7" x14ac:dyDescent="0.2">
      <c r="A58" s="1" t="s">
        <v>378</v>
      </c>
      <c r="B58" s="1" t="s">
        <v>379</v>
      </c>
      <c r="C58" s="1" t="s">
        <v>380</v>
      </c>
      <c r="D58" s="1" t="s">
        <v>381</v>
      </c>
      <c r="E58" s="1" t="s">
        <v>382</v>
      </c>
      <c r="F58" s="1" t="s">
        <v>382</v>
      </c>
      <c r="G58" s="1" t="s">
        <v>383</v>
      </c>
    </row>
    <row r="59" spans="1:7" x14ac:dyDescent="0.2">
      <c r="A59" s="1" t="s">
        <v>384</v>
      </c>
      <c r="B59" s="1" t="s">
        <v>385</v>
      </c>
      <c r="C59" s="1" t="s">
        <v>386</v>
      </c>
      <c r="D59" s="1" t="s">
        <v>387</v>
      </c>
      <c r="E59" s="1" t="s">
        <v>388</v>
      </c>
      <c r="F59" s="1" t="s">
        <v>389</v>
      </c>
      <c r="G59" s="1" t="s">
        <v>390</v>
      </c>
    </row>
    <row r="60" spans="1:7" x14ac:dyDescent="0.2">
      <c r="A60" s="1" t="s">
        <v>391</v>
      </c>
      <c r="B60" s="1" t="s">
        <v>392</v>
      </c>
      <c r="C60" s="1" t="s">
        <v>393</v>
      </c>
      <c r="D60" s="1" t="s">
        <v>394</v>
      </c>
      <c r="E60" s="1" t="s">
        <v>395</v>
      </c>
      <c r="F60" s="1" t="s">
        <v>396</v>
      </c>
      <c r="G60" s="1" t="s">
        <v>397</v>
      </c>
    </row>
    <row r="61" spans="1:7" x14ac:dyDescent="0.2">
      <c r="A61" s="1" t="s">
        <v>398</v>
      </c>
      <c r="B61" s="1" t="s">
        <v>399</v>
      </c>
      <c r="C61" s="1" t="s">
        <v>400</v>
      </c>
      <c r="D61" s="1" t="s">
        <v>401</v>
      </c>
      <c r="E61" s="1" t="s">
        <v>402</v>
      </c>
      <c r="F61" s="1" t="s">
        <v>403</v>
      </c>
      <c r="G61" s="1" t="s">
        <v>404</v>
      </c>
    </row>
    <row r="62" spans="1:7" x14ac:dyDescent="0.2">
      <c r="A62" s="1" t="s">
        <v>405</v>
      </c>
      <c r="B62" s="1" t="s">
        <v>406</v>
      </c>
      <c r="C62" s="1" t="s">
        <v>407</v>
      </c>
      <c r="D62" s="1" t="s">
        <v>408</v>
      </c>
      <c r="E62" s="1" t="s">
        <v>409</v>
      </c>
      <c r="F62" s="1" t="s">
        <v>133</v>
      </c>
      <c r="G62" s="1" t="s">
        <v>410</v>
      </c>
    </row>
    <row r="63" spans="1:7" x14ac:dyDescent="0.2">
      <c r="A63" s="1" t="s">
        <v>411</v>
      </c>
      <c r="B63" s="1" t="s">
        <v>412</v>
      </c>
      <c r="C63" s="1" t="s">
        <v>413</v>
      </c>
      <c r="D63" s="1" t="s">
        <v>240</v>
      </c>
      <c r="E63" s="1" t="s">
        <v>414</v>
      </c>
      <c r="F63" s="1" t="s">
        <v>415</v>
      </c>
      <c r="G63" s="1" t="s">
        <v>416</v>
      </c>
    </row>
    <row r="64" spans="1:7" x14ac:dyDescent="0.2">
      <c r="A64" s="1" t="s">
        <v>417</v>
      </c>
      <c r="B64" s="1" t="s">
        <v>418</v>
      </c>
      <c r="C64" s="1" t="s">
        <v>419</v>
      </c>
      <c r="D64" s="1" t="s">
        <v>420</v>
      </c>
      <c r="E64" s="1" t="s">
        <v>421</v>
      </c>
      <c r="F64" s="1" t="s">
        <v>422</v>
      </c>
      <c r="G64" s="1" t="s">
        <v>423</v>
      </c>
    </row>
    <row r="65" spans="1:7" x14ac:dyDescent="0.2">
      <c r="A65" s="1" t="s">
        <v>424</v>
      </c>
      <c r="B65" s="1" t="s">
        <v>425</v>
      </c>
      <c r="C65" s="1" t="s">
        <v>426</v>
      </c>
      <c r="D65" s="1" t="s">
        <v>427</v>
      </c>
      <c r="E65" s="1" t="s">
        <v>91</v>
      </c>
      <c r="F65" s="1" t="s">
        <v>428</v>
      </c>
      <c r="G65" s="1" t="s">
        <v>429</v>
      </c>
    </row>
    <row r="66" spans="1:7" x14ac:dyDescent="0.2">
      <c r="A66" s="1" t="s">
        <v>430</v>
      </c>
      <c r="B66" s="1" t="s">
        <v>431</v>
      </c>
      <c r="C66" s="1" t="s">
        <v>432</v>
      </c>
      <c r="D66" s="1" t="s">
        <v>433</v>
      </c>
      <c r="E66" s="1" t="s">
        <v>434</v>
      </c>
      <c r="F66" s="1" t="s">
        <v>435</v>
      </c>
      <c r="G66" s="1" t="s">
        <v>436</v>
      </c>
    </row>
    <row r="67" spans="1:7" x14ac:dyDescent="0.2">
      <c r="A67" s="1" t="s">
        <v>437</v>
      </c>
      <c r="B67" s="1" t="s">
        <v>438</v>
      </c>
      <c r="C67" s="1" t="s">
        <v>439</v>
      </c>
      <c r="D67" s="1" t="s">
        <v>440</v>
      </c>
      <c r="E67" s="1" t="s">
        <v>419</v>
      </c>
      <c r="F67" s="1" t="s">
        <v>441</v>
      </c>
      <c r="G67" s="1" t="s">
        <v>442</v>
      </c>
    </row>
    <row r="68" spans="1:7" x14ac:dyDescent="0.2">
      <c r="A68" s="1" t="s">
        <v>443</v>
      </c>
      <c r="B68" s="1" t="s">
        <v>444</v>
      </c>
      <c r="C68" s="1" t="s">
        <v>445</v>
      </c>
      <c r="D68" s="1" t="s">
        <v>446</v>
      </c>
      <c r="E68" s="1" t="s">
        <v>447</v>
      </c>
      <c r="F68" s="1" t="s">
        <v>448</v>
      </c>
      <c r="G68" s="1" t="s">
        <v>449</v>
      </c>
    </row>
    <row r="69" spans="1:7" x14ac:dyDescent="0.2">
      <c r="A69" s="1" t="s">
        <v>450</v>
      </c>
      <c r="B69" s="1" t="s">
        <v>451</v>
      </c>
      <c r="C69" s="1" t="s">
        <v>452</v>
      </c>
      <c r="D69" s="1" t="s">
        <v>453</v>
      </c>
      <c r="E69" s="1" t="s">
        <v>454</v>
      </c>
      <c r="F69" s="1" t="s">
        <v>455</v>
      </c>
      <c r="G69" s="1" t="s">
        <v>456</v>
      </c>
    </row>
    <row r="70" spans="1:7" x14ac:dyDescent="0.2">
      <c r="A70" s="1" t="s">
        <v>457</v>
      </c>
      <c r="B70" s="1" t="s">
        <v>458</v>
      </c>
      <c r="C70" s="1" t="s">
        <v>459</v>
      </c>
      <c r="D70" s="1" t="s">
        <v>460</v>
      </c>
      <c r="E70" s="1" t="s">
        <v>461</v>
      </c>
      <c r="F70" s="1" t="s">
        <v>462</v>
      </c>
      <c r="G70" s="1" t="s">
        <v>463</v>
      </c>
    </row>
    <row r="71" spans="1:7" x14ac:dyDescent="0.2">
      <c r="A71" s="1" t="s">
        <v>464</v>
      </c>
      <c r="B71" s="1" t="s">
        <v>465</v>
      </c>
      <c r="C71" s="1" t="s">
        <v>466</v>
      </c>
      <c r="D71" s="1" t="s">
        <v>467</v>
      </c>
      <c r="E71" s="1" t="s">
        <v>468</v>
      </c>
      <c r="F71" s="1" t="s">
        <v>469</v>
      </c>
      <c r="G71" s="1" t="s">
        <v>470</v>
      </c>
    </row>
    <row r="72" spans="1:7" x14ac:dyDescent="0.2">
      <c r="A72" s="1" t="s">
        <v>471</v>
      </c>
      <c r="B72" s="1" t="s">
        <v>472</v>
      </c>
      <c r="C72" s="1" t="s">
        <v>473</v>
      </c>
      <c r="D72" s="1" t="s">
        <v>474</v>
      </c>
      <c r="E72" s="1" t="s">
        <v>475</v>
      </c>
      <c r="F72" s="1" t="s">
        <v>88</v>
      </c>
      <c r="G72" s="1" t="s">
        <v>476</v>
      </c>
    </row>
    <row r="73" spans="1:7" x14ac:dyDescent="0.2">
      <c r="A73" s="1" t="s">
        <v>477</v>
      </c>
      <c r="B73" s="1" t="s">
        <v>444</v>
      </c>
      <c r="C73" s="1" t="s">
        <v>445</v>
      </c>
      <c r="D73" s="1" t="s">
        <v>478</v>
      </c>
      <c r="E73" s="1" t="s">
        <v>479</v>
      </c>
      <c r="F73" s="1" t="s">
        <v>480</v>
      </c>
      <c r="G73" s="1" t="s">
        <v>481</v>
      </c>
    </row>
    <row r="74" spans="1:7" x14ac:dyDescent="0.2">
      <c r="A74" s="1" t="s">
        <v>482</v>
      </c>
      <c r="B74" s="1" t="s">
        <v>483</v>
      </c>
      <c r="C74" s="1" t="s">
        <v>484</v>
      </c>
      <c r="D74" s="1" t="s">
        <v>485</v>
      </c>
      <c r="E74" s="1" t="s">
        <v>486</v>
      </c>
      <c r="F74" s="1" t="s">
        <v>487</v>
      </c>
      <c r="G74" s="1" t="s">
        <v>488</v>
      </c>
    </row>
    <row r="75" spans="1:7" x14ac:dyDescent="0.2">
      <c r="A75" s="1" t="s">
        <v>489</v>
      </c>
      <c r="B75" s="1" t="s">
        <v>490</v>
      </c>
      <c r="C75" s="1" t="s">
        <v>491</v>
      </c>
      <c r="D75" s="1" t="s">
        <v>492</v>
      </c>
      <c r="E75" s="1" t="s">
        <v>493</v>
      </c>
      <c r="F75" s="1" t="s">
        <v>494</v>
      </c>
      <c r="G75" s="1" t="s">
        <v>495</v>
      </c>
    </row>
    <row r="76" spans="1:7" x14ac:dyDescent="0.2">
      <c r="A76" s="1" t="s">
        <v>496</v>
      </c>
      <c r="B76" s="1" t="s">
        <v>497</v>
      </c>
      <c r="C76" s="1" t="s">
        <v>498</v>
      </c>
      <c r="D76" s="1" t="s">
        <v>499</v>
      </c>
      <c r="E76" s="1" t="s">
        <v>500</v>
      </c>
      <c r="F76" s="1" t="s">
        <v>501</v>
      </c>
      <c r="G76" s="1" t="s">
        <v>502</v>
      </c>
    </row>
    <row r="77" spans="1:7" x14ac:dyDescent="0.2">
      <c r="A77" s="1" t="s">
        <v>503</v>
      </c>
      <c r="B77" s="1" t="s">
        <v>504</v>
      </c>
      <c r="C77" s="1" t="s">
        <v>505</v>
      </c>
      <c r="D77" s="1" t="s">
        <v>506</v>
      </c>
      <c r="E77" s="1" t="s">
        <v>507</v>
      </c>
      <c r="F77" s="1" t="s">
        <v>508</v>
      </c>
      <c r="G77" s="1" t="s">
        <v>509</v>
      </c>
    </row>
    <row r="78" spans="1:7" x14ac:dyDescent="0.2">
      <c r="A78" s="1" t="s">
        <v>510</v>
      </c>
      <c r="B78" s="1" t="s">
        <v>511</v>
      </c>
      <c r="C78" s="1" t="s">
        <v>512</v>
      </c>
      <c r="D78" s="1" t="s">
        <v>513</v>
      </c>
      <c r="E78" s="1" t="s">
        <v>514</v>
      </c>
      <c r="F78" s="1" t="s">
        <v>427</v>
      </c>
      <c r="G78" s="1" t="s">
        <v>515</v>
      </c>
    </row>
    <row r="79" spans="1:7" x14ac:dyDescent="0.2">
      <c r="A79" s="1" t="s">
        <v>516</v>
      </c>
      <c r="B79" s="1" t="s">
        <v>517</v>
      </c>
      <c r="C79" s="1" t="s">
        <v>518</v>
      </c>
      <c r="D79" s="1" t="s">
        <v>519</v>
      </c>
      <c r="E79" s="1" t="s">
        <v>520</v>
      </c>
      <c r="F79" s="1" t="s">
        <v>521</v>
      </c>
      <c r="G79" s="1" t="s">
        <v>522</v>
      </c>
    </row>
    <row r="80" spans="1:7" x14ac:dyDescent="0.2">
      <c r="A80" s="1" t="s">
        <v>523</v>
      </c>
      <c r="B80" s="1" t="s">
        <v>524</v>
      </c>
      <c r="C80" s="1" t="s">
        <v>525</v>
      </c>
      <c r="D80" s="1" t="s">
        <v>526</v>
      </c>
      <c r="E80" s="1" t="s">
        <v>527</v>
      </c>
      <c r="F80" s="1" t="s">
        <v>528</v>
      </c>
      <c r="G80" s="1" t="s">
        <v>529</v>
      </c>
    </row>
    <row r="81" spans="1:7" x14ac:dyDescent="0.2">
      <c r="A81" s="1" t="s">
        <v>530</v>
      </c>
      <c r="B81" s="1" t="s">
        <v>531</v>
      </c>
      <c r="C81" s="1" t="s">
        <v>532</v>
      </c>
      <c r="D81" s="1" t="s">
        <v>491</v>
      </c>
      <c r="E81" s="1" t="s">
        <v>533</v>
      </c>
      <c r="F81" s="1" t="s">
        <v>534</v>
      </c>
      <c r="G81" s="1" t="s">
        <v>535</v>
      </c>
    </row>
    <row r="82" spans="1:7" x14ac:dyDescent="0.2">
      <c r="A82" s="1" t="s">
        <v>536</v>
      </c>
      <c r="B82" s="1" t="s">
        <v>537</v>
      </c>
      <c r="C82" s="1" t="s">
        <v>538</v>
      </c>
      <c r="D82" s="1" t="s">
        <v>191</v>
      </c>
      <c r="E82" s="1" t="s">
        <v>539</v>
      </c>
      <c r="F82" s="1" t="s">
        <v>479</v>
      </c>
      <c r="G82" s="1" t="s">
        <v>540</v>
      </c>
    </row>
    <row r="83" spans="1:7" x14ac:dyDescent="0.2">
      <c r="A83" s="1" t="s">
        <v>541</v>
      </c>
      <c r="B83" s="1" t="s">
        <v>542</v>
      </c>
      <c r="C83" s="1" t="s">
        <v>543</v>
      </c>
      <c r="D83" s="1" t="s">
        <v>544</v>
      </c>
      <c r="E83" s="1" t="s">
        <v>545</v>
      </c>
      <c r="F83" s="1" t="s">
        <v>546</v>
      </c>
      <c r="G83" s="1" t="s">
        <v>547</v>
      </c>
    </row>
    <row r="84" spans="1:7" x14ac:dyDescent="0.2">
      <c r="A84" s="1" t="s">
        <v>548</v>
      </c>
      <c r="B84" s="1" t="s">
        <v>549</v>
      </c>
      <c r="C84" s="1" t="s">
        <v>550</v>
      </c>
      <c r="D84" s="1" t="s">
        <v>551</v>
      </c>
      <c r="E84" s="1" t="s">
        <v>552</v>
      </c>
      <c r="F84" s="1" t="s">
        <v>553</v>
      </c>
      <c r="G84" s="1" t="s">
        <v>554</v>
      </c>
    </row>
    <row r="85" spans="1:7" x14ac:dyDescent="0.2">
      <c r="A85" s="1" t="s">
        <v>555</v>
      </c>
      <c r="B85" s="1" t="s">
        <v>556</v>
      </c>
      <c r="C85" s="1" t="s">
        <v>557</v>
      </c>
      <c r="D85" s="1" t="s">
        <v>558</v>
      </c>
      <c r="E85" s="1" t="s">
        <v>559</v>
      </c>
      <c r="F85" s="1" t="s">
        <v>560</v>
      </c>
      <c r="G85" s="1" t="s">
        <v>561</v>
      </c>
    </row>
    <row r="86" spans="1:7" x14ac:dyDescent="0.2">
      <c r="A86" s="1" t="s">
        <v>562</v>
      </c>
      <c r="B86" s="1" t="s">
        <v>563</v>
      </c>
      <c r="C86" s="1" t="s">
        <v>564</v>
      </c>
      <c r="D86" s="1" t="s">
        <v>474</v>
      </c>
      <c r="E86" s="1" t="s">
        <v>565</v>
      </c>
      <c r="F86" s="1" t="s">
        <v>566</v>
      </c>
      <c r="G86" s="1" t="s">
        <v>567</v>
      </c>
    </row>
    <row r="87" spans="1:7" x14ac:dyDescent="0.2">
      <c r="A87" s="1" t="s">
        <v>568</v>
      </c>
      <c r="B87" s="1" t="s">
        <v>569</v>
      </c>
      <c r="C87" s="1" t="s">
        <v>570</v>
      </c>
      <c r="D87" s="1" t="s">
        <v>571</v>
      </c>
      <c r="E87" s="1" t="s">
        <v>572</v>
      </c>
      <c r="F87" s="1" t="s">
        <v>573</v>
      </c>
      <c r="G87" s="1" t="s">
        <v>574</v>
      </c>
    </row>
    <row r="88" spans="1:7" x14ac:dyDescent="0.2">
      <c r="A88" s="1" t="s">
        <v>575</v>
      </c>
      <c r="B88" s="1" t="s">
        <v>576</v>
      </c>
      <c r="C88" s="1" t="s">
        <v>577</v>
      </c>
      <c r="D88" s="1" t="s">
        <v>191</v>
      </c>
      <c r="E88" s="1" t="s">
        <v>220</v>
      </c>
      <c r="F88" s="1" t="s">
        <v>104</v>
      </c>
      <c r="G88" s="1" t="s">
        <v>578</v>
      </c>
    </row>
    <row r="89" spans="1:7" x14ac:dyDescent="0.2">
      <c r="A89" s="1" t="s">
        <v>579</v>
      </c>
      <c r="B89" s="1" t="s">
        <v>580</v>
      </c>
      <c r="C89" s="1" t="s">
        <v>581</v>
      </c>
      <c r="D89" s="1" t="s">
        <v>582</v>
      </c>
      <c r="E89" s="1" t="s">
        <v>583</v>
      </c>
      <c r="F89" s="1" t="s">
        <v>584</v>
      </c>
      <c r="G89" s="1" t="s">
        <v>585</v>
      </c>
    </row>
    <row r="90" spans="1:7" x14ac:dyDescent="0.2">
      <c r="A90" s="1" t="s">
        <v>586</v>
      </c>
      <c r="B90" s="1" t="s">
        <v>587</v>
      </c>
      <c r="C90" s="1" t="s">
        <v>588</v>
      </c>
      <c r="D90" s="1" t="s">
        <v>589</v>
      </c>
      <c r="E90" s="1" t="s">
        <v>590</v>
      </c>
      <c r="F90" s="1" t="s">
        <v>591</v>
      </c>
      <c r="G90" s="1" t="s">
        <v>592</v>
      </c>
    </row>
    <row r="91" spans="1:7" x14ac:dyDescent="0.2">
      <c r="A91" s="1" t="s">
        <v>593</v>
      </c>
      <c r="B91" s="1" t="s">
        <v>594</v>
      </c>
      <c r="C91" s="1" t="s">
        <v>595</v>
      </c>
      <c r="D91" s="1" t="s">
        <v>596</v>
      </c>
      <c r="E91" s="1" t="s">
        <v>597</v>
      </c>
      <c r="F91" s="1" t="s">
        <v>598</v>
      </c>
      <c r="G91" s="1" t="s">
        <v>599</v>
      </c>
    </row>
    <row r="92" spans="1:7" x14ac:dyDescent="0.2">
      <c r="A92" s="1" t="s">
        <v>600</v>
      </c>
      <c r="B92" s="1" t="s">
        <v>601</v>
      </c>
      <c r="C92" s="1" t="s">
        <v>602</v>
      </c>
      <c r="D92" s="1" t="s">
        <v>603</v>
      </c>
      <c r="E92" s="1" t="s">
        <v>604</v>
      </c>
      <c r="F92" s="1" t="s">
        <v>605</v>
      </c>
      <c r="G92" s="1" t="s">
        <v>606</v>
      </c>
    </row>
    <row r="93" spans="1:7" x14ac:dyDescent="0.2">
      <c r="A93" s="1" t="s">
        <v>607</v>
      </c>
      <c r="B93" s="1" t="s">
        <v>608</v>
      </c>
      <c r="C93" s="1" t="s">
        <v>609</v>
      </c>
      <c r="D93" s="1" t="s">
        <v>610</v>
      </c>
      <c r="E93" s="1" t="s">
        <v>611</v>
      </c>
      <c r="F93" s="1" t="s">
        <v>612</v>
      </c>
      <c r="G93" s="1" t="s">
        <v>613</v>
      </c>
    </row>
    <row r="94" spans="1:7" x14ac:dyDescent="0.2">
      <c r="A94" s="1" t="s">
        <v>614</v>
      </c>
      <c r="B94" s="1" t="s">
        <v>615</v>
      </c>
      <c r="C94" s="1" t="s">
        <v>616</v>
      </c>
      <c r="D94" s="1" t="s">
        <v>617</v>
      </c>
      <c r="E94" s="1" t="s">
        <v>618</v>
      </c>
      <c r="F94" s="1" t="s">
        <v>619</v>
      </c>
      <c r="G94" s="1" t="s">
        <v>620</v>
      </c>
    </row>
    <row r="95" spans="1:7" x14ac:dyDescent="0.2">
      <c r="A95" s="1" t="s">
        <v>621</v>
      </c>
      <c r="B95" s="1" t="s">
        <v>622</v>
      </c>
      <c r="C95" s="1" t="s">
        <v>623</v>
      </c>
      <c r="D95" s="1" t="s">
        <v>624</v>
      </c>
      <c r="E95" s="1" t="s">
        <v>625</v>
      </c>
      <c r="F95" s="1" t="s">
        <v>626</v>
      </c>
      <c r="G95" s="1" t="s">
        <v>627</v>
      </c>
    </row>
    <row r="96" spans="1:7" x14ac:dyDescent="0.2">
      <c r="A96" s="1" t="s">
        <v>628</v>
      </c>
      <c r="B96" s="1" t="s">
        <v>629</v>
      </c>
      <c r="C96" s="1" t="s">
        <v>630</v>
      </c>
      <c r="D96" s="1" t="s">
        <v>631</v>
      </c>
      <c r="E96" s="1" t="s">
        <v>632</v>
      </c>
      <c r="F96" s="1" t="s">
        <v>633</v>
      </c>
      <c r="G96" s="1" t="s">
        <v>634</v>
      </c>
    </row>
    <row r="97" spans="1:7" x14ac:dyDescent="0.2">
      <c r="A97" s="1" t="s">
        <v>635</v>
      </c>
      <c r="B97" s="1" t="s">
        <v>636</v>
      </c>
      <c r="C97" s="1" t="s">
        <v>637</v>
      </c>
      <c r="D97" s="1" t="s">
        <v>638</v>
      </c>
      <c r="E97" s="1" t="s">
        <v>639</v>
      </c>
      <c r="F97" s="1" t="s">
        <v>640</v>
      </c>
      <c r="G97" s="1" t="s">
        <v>641</v>
      </c>
    </row>
    <row r="98" spans="1:7" x14ac:dyDescent="0.2">
      <c r="A98" s="1" t="s">
        <v>642</v>
      </c>
      <c r="B98" s="1" t="s">
        <v>643</v>
      </c>
      <c r="C98" s="1" t="s">
        <v>644</v>
      </c>
      <c r="D98" s="1" t="s">
        <v>645</v>
      </c>
      <c r="E98" s="1" t="s">
        <v>646</v>
      </c>
      <c r="F98" s="1" t="s">
        <v>647</v>
      </c>
      <c r="G98" s="1" t="s">
        <v>648</v>
      </c>
    </row>
    <row r="99" spans="1:7" x14ac:dyDescent="0.2">
      <c r="A99" s="1" t="s">
        <v>649</v>
      </c>
      <c r="B99" s="1" t="s">
        <v>346</v>
      </c>
      <c r="C99" s="1" t="s">
        <v>347</v>
      </c>
      <c r="D99" s="1" t="s">
        <v>650</v>
      </c>
      <c r="E99" s="1" t="s">
        <v>651</v>
      </c>
      <c r="F99" s="1" t="s">
        <v>652</v>
      </c>
      <c r="G99" s="1" t="s">
        <v>653</v>
      </c>
    </row>
    <row r="100" spans="1:7" x14ac:dyDescent="0.2">
      <c r="A100" s="1" t="s">
        <v>654</v>
      </c>
      <c r="B100" s="1" t="s">
        <v>655</v>
      </c>
      <c r="C100" s="1" t="s">
        <v>656</v>
      </c>
      <c r="D100" s="1" t="s">
        <v>657</v>
      </c>
      <c r="E100" s="1" t="s">
        <v>658</v>
      </c>
      <c r="F100" s="1" t="s">
        <v>659</v>
      </c>
      <c r="G100" s="1" t="s">
        <v>660</v>
      </c>
    </row>
    <row r="101" spans="1:7" x14ac:dyDescent="0.2">
      <c r="A101" s="1" t="s">
        <v>661</v>
      </c>
      <c r="B101" s="1" t="s">
        <v>662</v>
      </c>
      <c r="C101" s="1" t="s">
        <v>663</v>
      </c>
      <c r="D101" s="1" t="s">
        <v>664</v>
      </c>
      <c r="E101" s="1" t="s">
        <v>124</v>
      </c>
      <c r="F101" s="1" t="s">
        <v>665</v>
      </c>
      <c r="G101" s="1" t="s">
        <v>666</v>
      </c>
    </row>
    <row r="102" spans="1:7" x14ac:dyDescent="0.2">
      <c r="A102" s="1" t="s">
        <v>667</v>
      </c>
      <c r="B102" s="1" t="s">
        <v>668</v>
      </c>
      <c r="C102" s="1" t="s">
        <v>669</v>
      </c>
      <c r="D102" s="1" t="s">
        <v>158</v>
      </c>
      <c r="E102" s="1" t="s">
        <v>670</v>
      </c>
      <c r="F102" s="1" t="s">
        <v>671</v>
      </c>
      <c r="G102" s="1" t="s">
        <v>672</v>
      </c>
    </row>
    <row r="103" spans="1:7" x14ac:dyDescent="0.2">
      <c r="A103" s="1" t="s">
        <v>673</v>
      </c>
      <c r="B103" s="1" t="s">
        <v>674</v>
      </c>
      <c r="C103" s="1" t="s">
        <v>675</v>
      </c>
      <c r="D103" s="1" t="s">
        <v>676</v>
      </c>
      <c r="E103" s="1" t="s">
        <v>670</v>
      </c>
      <c r="F103" s="1" t="s">
        <v>677</v>
      </c>
      <c r="G103" s="1" t="s">
        <v>678</v>
      </c>
    </row>
    <row r="104" spans="1:7" x14ac:dyDescent="0.2">
      <c r="A104" s="1" t="s">
        <v>679</v>
      </c>
      <c r="B104" s="1" t="s">
        <v>680</v>
      </c>
      <c r="C104" s="1" t="s">
        <v>681</v>
      </c>
      <c r="D104" s="1" t="s">
        <v>682</v>
      </c>
      <c r="E104" s="1" t="s">
        <v>683</v>
      </c>
      <c r="F104" s="1" t="s">
        <v>684</v>
      </c>
      <c r="G104" s="1" t="s">
        <v>685</v>
      </c>
    </row>
    <row r="105" spans="1:7" x14ac:dyDescent="0.2">
      <c r="A105" s="1" t="s">
        <v>686</v>
      </c>
      <c r="B105" s="1" t="s">
        <v>687</v>
      </c>
      <c r="C105" s="1" t="s">
        <v>688</v>
      </c>
      <c r="D105" s="1" t="s">
        <v>689</v>
      </c>
      <c r="E105" s="1" t="s">
        <v>690</v>
      </c>
      <c r="F105" s="1" t="s">
        <v>691</v>
      </c>
      <c r="G105" s="1" t="s">
        <v>692</v>
      </c>
    </row>
    <row r="106" spans="1:7" x14ac:dyDescent="0.2">
      <c r="A106" s="1" t="s">
        <v>693</v>
      </c>
      <c r="B106" s="1" t="s">
        <v>694</v>
      </c>
      <c r="C106" s="1" t="s">
        <v>695</v>
      </c>
      <c r="D106" s="1" t="s">
        <v>696</v>
      </c>
      <c r="E106" s="1" t="s">
        <v>697</v>
      </c>
      <c r="F106" s="1" t="s">
        <v>698</v>
      </c>
      <c r="G106" s="1" t="s">
        <v>699</v>
      </c>
    </row>
    <row r="107" spans="1:7" x14ac:dyDescent="0.2">
      <c r="A107" s="1" t="s">
        <v>700</v>
      </c>
      <c r="B107" s="1" t="s">
        <v>701</v>
      </c>
      <c r="C107" s="1" t="s">
        <v>702</v>
      </c>
      <c r="D107" s="1" t="s">
        <v>703</v>
      </c>
      <c r="E107" s="1" t="s">
        <v>704</v>
      </c>
      <c r="F107" s="1" t="s">
        <v>705</v>
      </c>
      <c r="G107" s="1" t="s">
        <v>706</v>
      </c>
    </row>
    <row r="108" spans="1:7" x14ac:dyDescent="0.2">
      <c r="A108" s="1" t="s">
        <v>707</v>
      </c>
      <c r="B108" s="1" t="s">
        <v>708</v>
      </c>
      <c r="C108" s="1" t="s">
        <v>709</v>
      </c>
      <c r="D108" s="1" t="s">
        <v>710</v>
      </c>
      <c r="E108" s="1" t="s">
        <v>711</v>
      </c>
      <c r="F108" s="1" t="s">
        <v>712</v>
      </c>
      <c r="G108" s="1" t="s">
        <v>713</v>
      </c>
    </row>
    <row r="109" spans="1:7" x14ac:dyDescent="0.2">
      <c r="A109" s="1" t="s">
        <v>714</v>
      </c>
      <c r="B109" s="1" t="s">
        <v>715</v>
      </c>
      <c r="C109" s="1" t="s">
        <v>716</v>
      </c>
      <c r="D109" s="1" t="s">
        <v>717</v>
      </c>
      <c r="E109" s="1" t="s">
        <v>718</v>
      </c>
      <c r="F109" s="1" t="s">
        <v>719</v>
      </c>
      <c r="G109" s="1" t="s">
        <v>720</v>
      </c>
    </row>
    <row r="110" spans="1:7" x14ac:dyDescent="0.2">
      <c r="A110" s="1" t="s">
        <v>721</v>
      </c>
      <c r="B110" s="1" t="s">
        <v>722</v>
      </c>
      <c r="C110" s="1" t="s">
        <v>723</v>
      </c>
      <c r="D110" s="1" t="s">
        <v>724</v>
      </c>
      <c r="E110" s="1" t="s">
        <v>725</v>
      </c>
      <c r="F110" s="1" t="s">
        <v>726</v>
      </c>
      <c r="G110" s="1" t="s">
        <v>727</v>
      </c>
    </row>
    <row r="111" spans="1:7" x14ac:dyDescent="0.2">
      <c r="A111" s="1" t="s">
        <v>728</v>
      </c>
      <c r="B111" s="1" t="s">
        <v>729</v>
      </c>
      <c r="C111" s="1" t="s">
        <v>730</v>
      </c>
      <c r="D111" s="1" t="s">
        <v>731</v>
      </c>
      <c r="E111" s="1" t="s">
        <v>732</v>
      </c>
      <c r="F111" s="1" t="s">
        <v>733</v>
      </c>
      <c r="G111" s="1" t="s">
        <v>734</v>
      </c>
    </row>
    <row r="112" spans="1:7" x14ac:dyDescent="0.2">
      <c r="A112" s="1" t="s">
        <v>735</v>
      </c>
      <c r="B112" s="1" t="s">
        <v>736</v>
      </c>
      <c r="C112" s="1" t="s">
        <v>737</v>
      </c>
      <c r="D112" s="1" t="s">
        <v>738</v>
      </c>
      <c r="E112" s="1" t="s">
        <v>739</v>
      </c>
      <c r="F112" s="1" t="s">
        <v>740</v>
      </c>
      <c r="G112" s="1" t="s">
        <v>741</v>
      </c>
    </row>
    <row r="113" spans="1:7" x14ac:dyDescent="0.2">
      <c r="A113" s="1" t="s">
        <v>742</v>
      </c>
      <c r="B113" s="1" t="s">
        <v>743</v>
      </c>
      <c r="C113" s="1" t="s">
        <v>744</v>
      </c>
      <c r="D113" s="1" t="s">
        <v>745</v>
      </c>
      <c r="E113" s="1" t="s">
        <v>746</v>
      </c>
      <c r="F113" s="1" t="s">
        <v>747</v>
      </c>
      <c r="G113" s="1" t="s">
        <v>748</v>
      </c>
    </row>
    <row r="114" spans="1:7" x14ac:dyDescent="0.2">
      <c r="A114" s="1" t="s">
        <v>749</v>
      </c>
      <c r="B114" s="1" t="s">
        <v>750</v>
      </c>
      <c r="C114" s="1" t="s">
        <v>751</v>
      </c>
      <c r="D114" s="1" t="s">
        <v>752</v>
      </c>
      <c r="E114" s="1" t="s">
        <v>753</v>
      </c>
      <c r="F114" s="1" t="s">
        <v>754</v>
      </c>
      <c r="G114" s="1" t="s">
        <v>755</v>
      </c>
    </row>
    <row r="115" spans="1:7" x14ac:dyDescent="0.2">
      <c r="A115" s="1" t="s">
        <v>756</v>
      </c>
      <c r="B115" s="1" t="s">
        <v>757</v>
      </c>
      <c r="C115" s="1" t="s">
        <v>758</v>
      </c>
      <c r="D115" s="1" t="s">
        <v>759</v>
      </c>
      <c r="E115" s="1" t="s">
        <v>760</v>
      </c>
      <c r="F115" s="1" t="s">
        <v>761</v>
      </c>
      <c r="G115" s="1" t="s">
        <v>762</v>
      </c>
    </row>
    <row r="116" spans="1:7" x14ac:dyDescent="0.2">
      <c r="A116" s="1" t="s">
        <v>763</v>
      </c>
      <c r="B116" s="1" t="s">
        <v>764</v>
      </c>
      <c r="C116" s="1" t="s">
        <v>765</v>
      </c>
      <c r="D116" s="1" t="s">
        <v>766</v>
      </c>
      <c r="E116" s="1" t="s">
        <v>767</v>
      </c>
      <c r="F116" s="1" t="s">
        <v>768</v>
      </c>
      <c r="G116" s="1" t="s">
        <v>769</v>
      </c>
    </row>
    <row r="117" spans="1:7" x14ac:dyDescent="0.2">
      <c r="A117" s="1" t="s">
        <v>770</v>
      </c>
      <c r="B117" s="1" t="s">
        <v>771</v>
      </c>
      <c r="C117" s="1" t="s">
        <v>772</v>
      </c>
      <c r="D117" s="1" t="s">
        <v>773</v>
      </c>
      <c r="E117" s="1" t="s">
        <v>774</v>
      </c>
      <c r="F117" s="1" t="s">
        <v>775</v>
      </c>
      <c r="G117" s="1" t="s">
        <v>776</v>
      </c>
    </row>
    <row r="118" spans="1:7" x14ac:dyDescent="0.2">
      <c r="A118" s="1" t="s">
        <v>777</v>
      </c>
      <c r="B118" s="1" t="s">
        <v>778</v>
      </c>
      <c r="C118" s="1" t="s">
        <v>779</v>
      </c>
      <c r="D118" s="1" t="s">
        <v>780</v>
      </c>
      <c r="E118" s="1" t="s">
        <v>781</v>
      </c>
      <c r="F118" s="1" t="s">
        <v>782</v>
      </c>
      <c r="G118" s="1" t="s">
        <v>783</v>
      </c>
    </row>
    <row r="119" spans="1:7" x14ac:dyDescent="0.2">
      <c r="A119" s="1" t="s">
        <v>784</v>
      </c>
      <c r="B119" s="1" t="s">
        <v>785</v>
      </c>
      <c r="C119" s="1" t="s">
        <v>786</v>
      </c>
      <c r="D119" s="1" t="s">
        <v>787</v>
      </c>
      <c r="E119" s="1" t="s">
        <v>788</v>
      </c>
      <c r="F119" s="1" t="s">
        <v>789</v>
      </c>
      <c r="G119" s="1" t="s">
        <v>790</v>
      </c>
    </row>
    <row r="120" spans="1:7" x14ac:dyDescent="0.2">
      <c r="A120" s="1" t="s">
        <v>791</v>
      </c>
      <c r="B120" s="1" t="s">
        <v>792</v>
      </c>
      <c r="C120" s="1" t="s">
        <v>793</v>
      </c>
      <c r="D120" s="1" t="s">
        <v>794</v>
      </c>
      <c r="E120" s="1" t="s">
        <v>795</v>
      </c>
      <c r="F120" s="1" t="s">
        <v>796</v>
      </c>
      <c r="G120" s="1" t="s">
        <v>797</v>
      </c>
    </row>
    <row r="121" spans="1:7" x14ac:dyDescent="0.2">
      <c r="A121" s="1" t="s">
        <v>798</v>
      </c>
      <c r="B121" s="1" t="s">
        <v>799</v>
      </c>
      <c r="C121" s="1" t="s">
        <v>800</v>
      </c>
      <c r="D121" s="1" t="s">
        <v>801</v>
      </c>
      <c r="E121" s="1" t="s">
        <v>802</v>
      </c>
      <c r="F121" s="1" t="s">
        <v>803</v>
      </c>
      <c r="G121" s="1" t="s">
        <v>804</v>
      </c>
    </row>
    <row r="122" spans="1:7" x14ac:dyDescent="0.2">
      <c r="A122" s="1" t="s">
        <v>805</v>
      </c>
      <c r="B122" s="1" t="s">
        <v>806</v>
      </c>
      <c r="C122" s="1" t="s">
        <v>807</v>
      </c>
      <c r="D122" s="1" t="s">
        <v>808</v>
      </c>
      <c r="E122" s="1" t="s">
        <v>809</v>
      </c>
      <c r="F122" s="1" t="s">
        <v>810</v>
      </c>
      <c r="G122" s="1" t="s">
        <v>811</v>
      </c>
    </row>
    <row r="123" spans="1:7" x14ac:dyDescent="0.2">
      <c r="A123" s="1" t="s">
        <v>812</v>
      </c>
      <c r="B123" s="1" t="s">
        <v>813</v>
      </c>
      <c r="C123" s="1" t="s">
        <v>814</v>
      </c>
      <c r="D123" s="1" t="s">
        <v>815</v>
      </c>
      <c r="E123" s="1" t="s">
        <v>816</v>
      </c>
      <c r="F123" s="1" t="s">
        <v>817</v>
      </c>
      <c r="G123" s="1" t="s">
        <v>818</v>
      </c>
    </row>
    <row r="124" spans="1:7" x14ac:dyDescent="0.2">
      <c r="A124" s="1" t="s">
        <v>819</v>
      </c>
      <c r="B124" s="1" t="s">
        <v>820</v>
      </c>
      <c r="C124" s="1" t="s">
        <v>821</v>
      </c>
      <c r="D124" s="1" t="s">
        <v>631</v>
      </c>
      <c r="E124" s="1" t="s">
        <v>822</v>
      </c>
      <c r="F124" s="1" t="s">
        <v>823</v>
      </c>
      <c r="G124" s="1" t="s">
        <v>824</v>
      </c>
    </row>
    <row r="125" spans="1:7" x14ac:dyDescent="0.2">
      <c r="A125" s="1" t="s">
        <v>825</v>
      </c>
      <c r="B125" s="1" t="s">
        <v>826</v>
      </c>
      <c r="C125" s="1" t="s">
        <v>827</v>
      </c>
      <c r="D125" s="1" t="s">
        <v>828</v>
      </c>
      <c r="E125" s="1" t="s">
        <v>829</v>
      </c>
      <c r="F125" s="1" t="s">
        <v>830</v>
      </c>
      <c r="G125" s="1" t="s">
        <v>831</v>
      </c>
    </row>
    <row r="126" spans="1:7" x14ac:dyDescent="0.2">
      <c r="A126" s="1" t="s">
        <v>832</v>
      </c>
      <c r="B126" s="1" t="s">
        <v>833</v>
      </c>
      <c r="C126" s="1" t="s">
        <v>834</v>
      </c>
      <c r="D126" s="1" t="s">
        <v>835</v>
      </c>
      <c r="E126" s="1" t="s">
        <v>836</v>
      </c>
      <c r="F126" s="1" t="s">
        <v>837</v>
      </c>
      <c r="G126" s="1" t="s">
        <v>838</v>
      </c>
    </row>
    <row r="127" spans="1:7" x14ac:dyDescent="0.2">
      <c r="A127" s="1" t="s">
        <v>839</v>
      </c>
      <c r="B127" s="1" t="s">
        <v>840</v>
      </c>
      <c r="C127" s="1" t="s">
        <v>841</v>
      </c>
      <c r="D127" s="1" t="s">
        <v>842</v>
      </c>
      <c r="E127" s="1" t="s">
        <v>427</v>
      </c>
      <c r="F127" s="1" t="s">
        <v>843</v>
      </c>
      <c r="G127" s="1" t="s">
        <v>844</v>
      </c>
    </row>
    <row r="128" spans="1:7" x14ac:dyDescent="0.2">
      <c r="A128" s="1" t="s">
        <v>845</v>
      </c>
      <c r="B128" s="1" t="s">
        <v>846</v>
      </c>
      <c r="C128" s="1" t="s">
        <v>847</v>
      </c>
      <c r="D128" s="1" t="s">
        <v>848</v>
      </c>
      <c r="E128" s="1" t="s">
        <v>849</v>
      </c>
      <c r="F128" s="1" t="s">
        <v>485</v>
      </c>
      <c r="G128" s="1" t="s">
        <v>850</v>
      </c>
    </row>
    <row r="129" spans="1:7" x14ac:dyDescent="0.2">
      <c r="A129" s="1" t="s">
        <v>851</v>
      </c>
      <c r="B129" s="1" t="s">
        <v>852</v>
      </c>
      <c r="C129" s="1" t="s">
        <v>853</v>
      </c>
      <c r="D129" s="1" t="s">
        <v>647</v>
      </c>
      <c r="E129" s="1" t="s">
        <v>854</v>
      </c>
      <c r="F129" s="1" t="s">
        <v>855</v>
      </c>
      <c r="G129" s="1" t="s">
        <v>856</v>
      </c>
    </row>
    <row r="130" spans="1:7" x14ac:dyDescent="0.2">
      <c r="A130" s="1" t="s">
        <v>857</v>
      </c>
      <c r="B130" s="1" t="s">
        <v>858</v>
      </c>
      <c r="C130" s="1" t="s">
        <v>859</v>
      </c>
      <c r="D130" s="1" t="s">
        <v>860</v>
      </c>
      <c r="E130" s="1" t="s">
        <v>861</v>
      </c>
      <c r="F130" s="1" t="s">
        <v>862</v>
      </c>
      <c r="G130" s="1" t="s">
        <v>863</v>
      </c>
    </row>
    <row r="131" spans="1:7" x14ac:dyDescent="0.2">
      <c r="A131" s="1" t="s">
        <v>864</v>
      </c>
      <c r="B131" s="1" t="s">
        <v>865</v>
      </c>
      <c r="C131" s="1" t="s">
        <v>866</v>
      </c>
      <c r="D131" s="1" t="s">
        <v>867</v>
      </c>
      <c r="E131" s="1" t="s">
        <v>868</v>
      </c>
      <c r="F131" s="1" t="s">
        <v>869</v>
      </c>
      <c r="G131" s="1" t="s">
        <v>870</v>
      </c>
    </row>
    <row r="132" spans="1:7" x14ac:dyDescent="0.2">
      <c r="A132" s="1" t="s">
        <v>871</v>
      </c>
      <c r="B132" s="1" t="s">
        <v>872</v>
      </c>
      <c r="C132" s="1" t="s">
        <v>263</v>
      </c>
      <c r="D132" s="1" t="s">
        <v>873</v>
      </c>
      <c r="E132" s="1" t="s">
        <v>874</v>
      </c>
      <c r="F132" s="1" t="s">
        <v>875</v>
      </c>
      <c r="G132" s="1" t="s">
        <v>876</v>
      </c>
    </row>
    <row r="133" spans="1:7" x14ac:dyDescent="0.2">
      <c r="A133" s="1" t="s">
        <v>877</v>
      </c>
      <c r="B133" s="1" t="s">
        <v>878</v>
      </c>
      <c r="C133" s="1" t="s">
        <v>388</v>
      </c>
      <c r="D133" s="1" t="s">
        <v>879</v>
      </c>
      <c r="E133" s="1" t="s">
        <v>880</v>
      </c>
      <c r="F133" s="1" t="s">
        <v>881</v>
      </c>
      <c r="G133" s="1" t="s">
        <v>882</v>
      </c>
    </row>
    <row r="134" spans="1:7" x14ac:dyDescent="0.2">
      <c r="A134" s="1" t="s">
        <v>883</v>
      </c>
      <c r="B134" s="1" t="s">
        <v>884</v>
      </c>
      <c r="C134" s="1" t="s">
        <v>885</v>
      </c>
      <c r="D134" s="1" t="s">
        <v>886</v>
      </c>
      <c r="E134" s="1" t="s">
        <v>887</v>
      </c>
      <c r="F134" s="1" t="s">
        <v>822</v>
      </c>
      <c r="G134" s="1" t="s">
        <v>888</v>
      </c>
    </row>
    <row r="135" spans="1:7" x14ac:dyDescent="0.2">
      <c r="A135" s="1" t="s">
        <v>889</v>
      </c>
      <c r="B135" s="1" t="s">
        <v>890</v>
      </c>
      <c r="C135" s="1" t="s">
        <v>891</v>
      </c>
      <c r="D135" s="1" t="s">
        <v>892</v>
      </c>
      <c r="E135" s="1" t="s">
        <v>893</v>
      </c>
      <c r="F135" s="1" t="s">
        <v>894</v>
      </c>
      <c r="G135" s="1" t="s">
        <v>895</v>
      </c>
    </row>
    <row r="136" spans="1:7" x14ac:dyDescent="0.2">
      <c r="A136" s="1" t="s">
        <v>896</v>
      </c>
      <c r="B136" s="1" t="s">
        <v>897</v>
      </c>
      <c r="C136" s="1" t="s">
        <v>898</v>
      </c>
      <c r="D136" s="1" t="s">
        <v>899</v>
      </c>
      <c r="E136" s="1" t="s">
        <v>900</v>
      </c>
      <c r="F136" s="1" t="s">
        <v>901</v>
      </c>
      <c r="G136" s="1" t="s">
        <v>902</v>
      </c>
    </row>
    <row r="137" spans="1:7" x14ac:dyDescent="0.2">
      <c r="A137" s="1" t="s">
        <v>903</v>
      </c>
      <c r="B137" s="1" t="s">
        <v>904</v>
      </c>
      <c r="C137" s="1" t="s">
        <v>905</v>
      </c>
      <c r="D137" s="1" t="s">
        <v>906</v>
      </c>
      <c r="E137" s="1" t="s">
        <v>907</v>
      </c>
      <c r="F137" s="1" t="s">
        <v>908</v>
      </c>
      <c r="G137" s="1" t="s">
        <v>909</v>
      </c>
    </row>
    <row r="138" spans="1:7" x14ac:dyDescent="0.2">
      <c r="A138" s="1" t="s">
        <v>910</v>
      </c>
      <c r="B138" s="1" t="s">
        <v>911</v>
      </c>
      <c r="C138" s="1" t="s">
        <v>389</v>
      </c>
      <c r="D138" s="1" t="s">
        <v>912</v>
      </c>
      <c r="E138" s="1" t="s">
        <v>913</v>
      </c>
      <c r="F138" s="1" t="s">
        <v>912</v>
      </c>
      <c r="G138" s="1" t="s">
        <v>914</v>
      </c>
    </row>
    <row r="139" spans="1:7" x14ac:dyDescent="0.2">
      <c r="A139" s="1" t="s">
        <v>915</v>
      </c>
      <c r="B139" s="1" t="s">
        <v>916</v>
      </c>
      <c r="C139" s="1" t="s">
        <v>691</v>
      </c>
      <c r="D139" s="1" t="s">
        <v>917</v>
      </c>
      <c r="E139" s="1" t="s">
        <v>918</v>
      </c>
      <c r="F139" s="1" t="s">
        <v>691</v>
      </c>
      <c r="G139" s="1" t="s">
        <v>919</v>
      </c>
    </row>
    <row r="140" spans="1:7" x14ac:dyDescent="0.2">
      <c r="A140" s="1" t="s">
        <v>920</v>
      </c>
      <c r="B140" s="1" t="s">
        <v>921</v>
      </c>
      <c r="C140" s="1" t="s">
        <v>922</v>
      </c>
      <c r="D140" s="1" t="s">
        <v>923</v>
      </c>
      <c r="E140" s="1" t="s">
        <v>924</v>
      </c>
      <c r="F140" s="1" t="s">
        <v>925</v>
      </c>
      <c r="G140" s="1" t="s">
        <v>926</v>
      </c>
    </row>
    <row r="141" spans="1:7" x14ac:dyDescent="0.2">
      <c r="A141" s="1" t="s">
        <v>927</v>
      </c>
      <c r="B141" s="1" t="s">
        <v>928</v>
      </c>
      <c r="C141" s="1" t="s">
        <v>712</v>
      </c>
      <c r="D141" s="1" t="s">
        <v>929</v>
      </c>
      <c r="E141" s="1" t="s">
        <v>930</v>
      </c>
      <c r="F141" s="1" t="s">
        <v>931</v>
      </c>
      <c r="G141" s="1" t="s">
        <v>932</v>
      </c>
    </row>
    <row r="142" spans="1:7" x14ac:dyDescent="0.2">
      <c r="A142" s="1" t="s">
        <v>933</v>
      </c>
      <c r="B142" s="1" t="s">
        <v>934</v>
      </c>
      <c r="C142" s="1" t="s">
        <v>935</v>
      </c>
      <c r="D142" s="1" t="s">
        <v>931</v>
      </c>
      <c r="E142" s="1" t="s">
        <v>822</v>
      </c>
      <c r="F142" s="1" t="s">
        <v>936</v>
      </c>
      <c r="G142" s="1" t="s">
        <v>937</v>
      </c>
    </row>
    <row r="143" spans="1:7" x14ac:dyDescent="0.2">
      <c r="A143" s="1" t="s">
        <v>938</v>
      </c>
      <c r="B143" s="1" t="s">
        <v>939</v>
      </c>
      <c r="C143" s="1" t="s">
        <v>940</v>
      </c>
      <c r="D143" s="1" t="s">
        <v>941</v>
      </c>
      <c r="E143" s="1" t="s">
        <v>942</v>
      </c>
      <c r="F143" s="1" t="s">
        <v>943</v>
      </c>
      <c r="G143" s="1" t="s">
        <v>944</v>
      </c>
    </row>
    <row r="144" spans="1:7" x14ac:dyDescent="0.2">
      <c r="A144" s="1" t="s">
        <v>945</v>
      </c>
      <c r="B144" s="1" t="s">
        <v>946</v>
      </c>
      <c r="C144" s="1" t="s">
        <v>947</v>
      </c>
      <c r="D144" s="1" t="s">
        <v>948</v>
      </c>
      <c r="E144" s="1" t="s">
        <v>949</v>
      </c>
      <c r="F144" s="1" t="s">
        <v>950</v>
      </c>
      <c r="G144" s="1" t="s">
        <v>951</v>
      </c>
    </row>
    <row r="145" spans="1:7" x14ac:dyDescent="0.2">
      <c r="A145" s="1" t="s">
        <v>952</v>
      </c>
      <c r="B145" s="1" t="s">
        <v>953</v>
      </c>
      <c r="C145" s="1" t="s">
        <v>954</v>
      </c>
      <c r="D145" s="1" t="s">
        <v>955</v>
      </c>
      <c r="E145" s="1" t="s">
        <v>956</v>
      </c>
      <c r="F145" s="1" t="s">
        <v>957</v>
      </c>
      <c r="G145" s="1" t="s">
        <v>958</v>
      </c>
    </row>
    <row r="146" spans="1:7" x14ac:dyDescent="0.2">
      <c r="A146" s="1" t="s">
        <v>959</v>
      </c>
      <c r="B146" s="1" t="s">
        <v>960</v>
      </c>
      <c r="C146" s="1" t="s">
        <v>247</v>
      </c>
      <c r="D146" s="1" t="s">
        <v>961</v>
      </c>
      <c r="E146" s="1" t="s">
        <v>962</v>
      </c>
      <c r="F146" s="1" t="s">
        <v>963</v>
      </c>
      <c r="G146" s="1" t="s">
        <v>964</v>
      </c>
    </row>
    <row r="147" spans="1:7" x14ac:dyDescent="0.2">
      <c r="A147" s="1" t="s">
        <v>965</v>
      </c>
      <c r="B147" s="1" t="s">
        <v>966</v>
      </c>
      <c r="C147" s="1" t="s">
        <v>967</v>
      </c>
      <c r="D147" s="1" t="s">
        <v>968</v>
      </c>
      <c r="E147" s="1" t="s">
        <v>969</v>
      </c>
      <c r="F147" s="1" t="s">
        <v>970</v>
      </c>
      <c r="G147" s="1" t="s">
        <v>971</v>
      </c>
    </row>
    <row r="148" spans="1:7" x14ac:dyDescent="0.2">
      <c r="A148" s="1" t="s">
        <v>972</v>
      </c>
      <c r="B148" s="1" t="s">
        <v>973</v>
      </c>
      <c r="C148" s="1" t="s">
        <v>974</v>
      </c>
      <c r="D148" s="1" t="s">
        <v>975</v>
      </c>
      <c r="E148" s="1" t="s">
        <v>976</v>
      </c>
      <c r="F148" s="1" t="s">
        <v>977</v>
      </c>
      <c r="G148" s="1" t="s">
        <v>978</v>
      </c>
    </row>
    <row r="149" spans="1:7" x14ac:dyDescent="0.2">
      <c r="A149" s="1" t="s">
        <v>979</v>
      </c>
      <c r="B149" s="1" t="s">
        <v>980</v>
      </c>
      <c r="C149" s="1" t="s">
        <v>981</v>
      </c>
      <c r="D149" s="1" t="s">
        <v>982</v>
      </c>
      <c r="E149" s="1" t="s">
        <v>151</v>
      </c>
      <c r="F149" s="1" t="s">
        <v>983</v>
      </c>
      <c r="G149" s="1" t="s">
        <v>984</v>
      </c>
    </row>
    <row r="150" spans="1:7" x14ac:dyDescent="0.2">
      <c r="A150" s="1" t="s">
        <v>985</v>
      </c>
      <c r="B150" s="1" t="s">
        <v>986</v>
      </c>
      <c r="C150" s="1" t="s">
        <v>987</v>
      </c>
      <c r="D150" s="1" t="s">
        <v>394</v>
      </c>
      <c r="E150" s="1" t="s">
        <v>988</v>
      </c>
      <c r="F150" s="1" t="s">
        <v>989</v>
      </c>
      <c r="G150" s="1" t="s">
        <v>990</v>
      </c>
    </row>
    <row r="151" spans="1:7" x14ac:dyDescent="0.2">
      <c r="A151" s="1" t="s">
        <v>991</v>
      </c>
      <c r="B151" s="1" t="s">
        <v>992</v>
      </c>
      <c r="C151" s="1" t="s">
        <v>993</v>
      </c>
      <c r="D151" s="1" t="s">
        <v>994</v>
      </c>
      <c r="E151" s="1" t="s">
        <v>995</v>
      </c>
      <c r="F151" s="1" t="s">
        <v>996</v>
      </c>
      <c r="G151" s="1" t="s">
        <v>997</v>
      </c>
    </row>
    <row r="152" spans="1:7" x14ac:dyDescent="0.2">
      <c r="A152" s="1" t="s">
        <v>998</v>
      </c>
      <c r="B152" s="1" t="s">
        <v>999</v>
      </c>
      <c r="C152" s="1" t="s">
        <v>1000</v>
      </c>
      <c r="D152" s="1" t="s">
        <v>1001</v>
      </c>
      <c r="E152" s="1" t="s">
        <v>1002</v>
      </c>
      <c r="F152" s="1" t="s">
        <v>1003</v>
      </c>
      <c r="G152" s="1" t="s">
        <v>1004</v>
      </c>
    </row>
    <row r="153" spans="1:7" x14ac:dyDescent="0.2">
      <c r="A153" s="1" t="s">
        <v>1005</v>
      </c>
      <c r="B153" s="1" t="s">
        <v>1006</v>
      </c>
      <c r="C153" s="1" t="s">
        <v>1007</v>
      </c>
      <c r="D153" s="1" t="s">
        <v>1008</v>
      </c>
      <c r="E153" s="1" t="s">
        <v>1009</v>
      </c>
      <c r="F153" s="1" t="s">
        <v>1010</v>
      </c>
      <c r="G153" s="1" t="s">
        <v>1011</v>
      </c>
    </row>
    <row r="154" spans="1:7" x14ac:dyDescent="0.2">
      <c r="A154" s="1" t="s">
        <v>1012</v>
      </c>
      <c r="B154" s="1" t="s">
        <v>1013</v>
      </c>
      <c r="C154" s="1" t="s">
        <v>1014</v>
      </c>
      <c r="D154" s="1" t="s">
        <v>1015</v>
      </c>
      <c r="E154" s="1" t="s">
        <v>1016</v>
      </c>
      <c r="F154" s="1" t="s">
        <v>1017</v>
      </c>
      <c r="G154" s="1" t="s">
        <v>1018</v>
      </c>
    </row>
    <row r="155" spans="1:7" x14ac:dyDescent="0.2">
      <c r="A155" s="1" t="s">
        <v>1019</v>
      </c>
      <c r="B155" s="1" t="s">
        <v>1020</v>
      </c>
      <c r="C155" s="1" t="s">
        <v>1021</v>
      </c>
      <c r="D155" s="1" t="s">
        <v>725</v>
      </c>
      <c r="E155" s="1" t="s">
        <v>1022</v>
      </c>
      <c r="F155" s="1" t="s">
        <v>1023</v>
      </c>
      <c r="G155" s="1" t="s">
        <v>1024</v>
      </c>
    </row>
    <row r="156" spans="1:7" x14ac:dyDescent="0.2">
      <c r="A156" s="1" t="s">
        <v>1025</v>
      </c>
      <c r="B156" s="1" t="s">
        <v>1026</v>
      </c>
      <c r="C156" s="1" t="s">
        <v>1027</v>
      </c>
      <c r="D156" s="1" t="s">
        <v>1028</v>
      </c>
      <c r="E156" s="1" t="s">
        <v>1029</v>
      </c>
      <c r="F156" s="1" t="s">
        <v>1030</v>
      </c>
      <c r="G156" s="1" t="s">
        <v>1031</v>
      </c>
    </row>
    <row r="157" spans="1:7" x14ac:dyDescent="0.2">
      <c r="A157" s="1" t="s">
        <v>1032</v>
      </c>
      <c r="B157" s="1" t="s">
        <v>1033</v>
      </c>
      <c r="C157" s="1" t="s">
        <v>1034</v>
      </c>
      <c r="D157" s="1" t="s">
        <v>746</v>
      </c>
      <c r="E157" s="1" t="s">
        <v>1035</v>
      </c>
      <c r="F157" s="1" t="s">
        <v>1036</v>
      </c>
      <c r="G157" s="1" t="s">
        <v>1037</v>
      </c>
    </row>
    <row r="158" spans="1:7" x14ac:dyDescent="0.2">
      <c r="A158" s="1" t="s">
        <v>1038</v>
      </c>
      <c r="B158" s="1" t="s">
        <v>1039</v>
      </c>
      <c r="C158" s="1" t="s">
        <v>1040</v>
      </c>
      <c r="D158" s="1" t="s">
        <v>1041</v>
      </c>
      <c r="E158" s="1" t="s">
        <v>1042</v>
      </c>
      <c r="F158" s="1" t="s">
        <v>1043</v>
      </c>
      <c r="G158" s="1" t="s">
        <v>1044</v>
      </c>
    </row>
    <row r="159" spans="1:7" x14ac:dyDescent="0.2">
      <c r="A159" s="1" t="s">
        <v>1045</v>
      </c>
      <c r="B159" s="1" t="s">
        <v>1046</v>
      </c>
      <c r="C159" s="1" t="s">
        <v>1047</v>
      </c>
      <c r="D159" s="1" t="s">
        <v>1048</v>
      </c>
      <c r="E159" s="1" t="s">
        <v>1049</v>
      </c>
      <c r="F159" s="1" t="s">
        <v>1050</v>
      </c>
      <c r="G159" s="1" t="s">
        <v>1051</v>
      </c>
    </row>
    <row r="160" spans="1:7" x14ac:dyDescent="0.2">
      <c r="A160" s="1" t="s">
        <v>1052</v>
      </c>
      <c r="B160" s="1" t="s">
        <v>1053</v>
      </c>
      <c r="C160" s="1" t="s">
        <v>740</v>
      </c>
      <c r="D160" s="1" t="s">
        <v>1054</v>
      </c>
      <c r="E160" s="1" t="s">
        <v>1055</v>
      </c>
      <c r="F160" s="1" t="s">
        <v>1056</v>
      </c>
      <c r="G160" s="1" t="s">
        <v>1057</v>
      </c>
    </row>
    <row r="161" spans="1:7" x14ac:dyDescent="0.2">
      <c r="A161" s="1" t="s">
        <v>1058</v>
      </c>
      <c r="B161" s="1" t="s">
        <v>1059</v>
      </c>
      <c r="C161" s="1" t="s">
        <v>1060</v>
      </c>
      <c r="D161" s="1" t="s">
        <v>801</v>
      </c>
      <c r="E161" s="1" t="s">
        <v>1061</v>
      </c>
      <c r="F161" s="1" t="s">
        <v>1062</v>
      </c>
      <c r="G161" s="1" t="s">
        <v>1063</v>
      </c>
    </row>
    <row r="162" spans="1:7" x14ac:dyDescent="0.2">
      <c r="A162" s="1" t="s">
        <v>1064</v>
      </c>
      <c r="B162" s="1" t="s">
        <v>1065</v>
      </c>
      <c r="C162" s="1" t="s">
        <v>1066</v>
      </c>
      <c r="D162" s="1" t="s">
        <v>1054</v>
      </c>
      <c r="E162" s="1" t="s">
        <v>1067</v>
      </c>
      <c r="F162" s="1" t="s">
        <v>1068</v>
      </c>
      <c r="G162" s="1" t="s">
        <v>1069</v>
      </c>
    </row>
    <row r="163" spans="1:7" x14ac:dyDescent="0.2">
      <c r="A163" s="1" t="s">
        <v>1070</v>
      </c>
      <c r="B163" s="1" t="s">
        <v>1071</v>
      </c>
      <c r="C163" s="1" t="s">
        <v>1072</v>
      </c>
      <c r="D163" s="1" t="s">
        <v>1073</v>
      </c>
      <c r="E163" s="1" t="s">
        <v>1074</v>
      </c>
      <c r="F163" s="1" t="s">
        <v>1075</v>
      </c>
      <c r="G163" s="1" t="s">
        <v>1076</v>
      </c>
    </row>
    <row r="164" spans="1:7" x14ac:dyDescent="0.2">
      <c r="A164" s="1" t="s">
        <v>1077</v>
      </c>
      <c r="B164" s="1" t="s">
        <v>1078</v>
      </c>
      <c r="C164" s="1" t="s">
        <v>1079</v>
      </c>
      <c r="D164" s="1" t="s">
        <v>1080</v>
      </c>
      <c r="E164" s="1" t="s">
        <v>1081</v>
      </c>
      <c r="F164" s="1" t="s">
        <v>1082</v>
      </c>
      <c r="G164" s="1" t="s">
        <v>1083</v>
      </c>
    </row>
    <row r="165" spans="1:7" x14ac:dyDescent="0.2">
      <c r="A165" s="1" t="s">
        <v>1084</v>
      </c>
      <c r="B165" s="1" t="s">
        <v>1085</v>
      </c>
      <c r="C165" s="1" t="s">
        <v>1086</v>
      </c>
      <c r="D165" s="1" t="s">
        <v>941</v>
      </c>
      <c r="E165" s="1" t="s">
        <v>918</v>
      </c>
      <c r="F165" s="1" t="s">
        <v>1087</v>
      </c>
      <c r="G165" s="1" t="s">
        <v>1088</v>
      </c>
    </row>
    <row r="166" spans="1:7" x14ac:dyDescent="0.2">
      <c r="A166" s="1" t="s">
        <v>1089</v>
      </c>
      <c r="B166" s="1" t="s">
        <v>1090</v>
      </c>
      <c r="C166" s="1" t="s">
        <v>1091</v>
      </c>
      <c r="D166" s="1" t="s">
        <v>1092</v>
      </c>
      <c r="E166" s="1" t="s">
        <v>1093</v>
      </c>
      <c r="F166" s="1" t="s">
        <v>387</v>
      </c>
      <c r="G166" s="1" t="s">
        <v>1094</v>
      </c>
    </row>
    <row r="167" spans="1:7" x14ac:dyDescent="0.2">
      <c r="A167" s="1" t="s">
        <v>1095</v>
      </c>
      <c r="B167" s="1" t="s">
        <v>1096</v>
      </c>
      <c r="C167" s="1" t="s">
        <v>1097</v>
      </c>
      <c r="D167" s="1" t="s">
        <v>1098</v>
      </c>
      <c r="E167" s="1" t="s">
        <v>1099</v>
      </c>
      <c r="F167" s="1" t="s">
        <v>1100</v>
      </c>
      <c r="G167" s="1" t="s">
        <v>1101</v>
      </c>
    </row>
    <row r="168" spans="1:7" x14ac:dyDescent="0.2">
      <c r="A168" s="1" t="s">
        <v>1102</v>
      </c>
      <c r="B168" s="1" t="s">
        <v>1103</v>
      </c>
      <c r="C168" s="1" t="s">
        <v>1104</v>
      </c>
      <c r="D168" s="1" t="s">
        <v>1105</v>
      </c>
      <c r="E168" s="1" t="s">
        <v>1106</v>
      </c>
      <c r="F168" s="1" t="s">
        <v>1107</v>
      </c>
      <c r="G168" s="1" t="s">
        <v>1108</v>
      </c>
    </row>
    <row r="169" spans="1:7" x14ac:dyDescent="0.2">
      <c r="A169" s="1" t="s">
        <v>1109</v>
      </c>
      <c r="B169" s="1" t="s">
        <v>1110</v>
      </c>
      <c r="C169" s="1" t="s">
        <v>1111</v>
      </c>
      <c r="D169" s="1" t="s">
        <v>1112</v>
      </c>
      <c r="E169" s="1" t="s">
        <v>1113</v>
      </c>
      <c r="F169" s="1" t="s">
        <v>1114</v>
      </c>
      <c r="G169" s="1" t="s">
        <v>1115</v>
      </c>
    </row>
    <row r="170" spans="1:7" x14ac:dyDescent="0.2">
      <c r="A170" s="1" t="s">
        <v>1116</v>
      </c>
      <c r="B170" s="1" t="s">
        <v>1117</v>
      </c>
      <c r="C170" s="1" t="s">
        <v>1118</v>
      </c>
      <c r="D170" s="1" t="s">
        <v>1119</v>
      </c>
      <c r="E170" s="1" t="s">
        <v>1120</v>
      </c>
      <c r="F170" s="1" t="s">
        <v>1121</v>
      </c>
      <c r="G170" s="1" t="s">
        <v>1122</v>
      </c>
    </row>
    <row r="171" spans="1:7" x14ac:dyDescent="0.2">
      <c r="A171" s="1" t="s">
        <v>1123</v>
      </c>
      <c r="B171" s="1" t="s">
        <v>1124</v>
      </c>
      <c r="C171" s="1" t="s">
        <v>1125</v>
      </c>
      <c r="D171" s="1" t="s">
        <v>1126</v>
      </c>
      <c r="E171" s="1" t="s">
        <v>1127</v>
      </c>
      <c r="F171" s="1" t="s">
        <v>1128</v>
      </c>
      <c r="G171" s="1" t="s">
        <v>1129</v>
      </c>
    </row>
    <row r="172" spans="1:7" x14ac:dyDescent="0.2">
      <c r="A172" s="1" t="s">
        <v>1130</v>
      </c>
      <c r="B172" s="1" t="s">
        <v>1131</v>
      </c>
      <c r="C172" s="1" t="s">
        <v>1132</v>
      </c>
      <c r="D172" s="1" t="s">
        <v>1133</v>
      </c>
      <c r="E172" s="1" t="s">
        <v>1134</v>
      </c>
      <c r="F172" s="1" t="s">
        <v>1135</v>
      </c>
      <c r="G172" s="1" t="s">
        <v>1136</v>
      </c>
    </row>
    <row r="173" spans="1:7" x14ac:dyDescent="0.2">
      <c r="A173" s="1" t="s">
        <v>1137</v>
      </c>
      <c r="B173" s="1" t="s">
        <v>1138</v>
      </c>
      <c r="C173" s="1" t="s">
        <v>1139</v>
      </c>
      <c r="D173" s="1" t="s">
        <v>1140</v>
      </c>
      <c r="E173" s="1" t="s">
        <v>1141</v>
      </c>
      <c r="F173" s="1" t="s">
        <v>1142</v>
      </c>
      <c r="G173" s="1" t="s">
        <v>1143</v>
      </c>
    </row>
    <row r="174" spans="1:7" x14ac:dyDescent="0.2">
      <c r="A174" s="1" t="s">
        <v>1144</v>
      </c>
      <c r="B174" s="1" t="s">
        <v>1145</v>
      </c>
      <c r="C174" s="1" t="s">
        <v>1146</v>
      </c>
      <c r="D174" s="1" t="s">
        <v>1147</v>
      </c>
      <c r="E174" s="1" t="s">
        <v>1148</v>
      </c>
      <c r="F174" s="1" t="s">
        <v>1149</v>
      </c>
      <c r="G174" s="1" t="s">
        <v>1150</v>
      </c>
    </row>
    <row r="175" spans="1:7" x14ac:dyDescent="0.2">
      <c r="A175" s="1" t="s">
        <v>1151</v>
      </c>
      <c r="B175" s="1" t="s">
        <v>1152</v>
      </c>
      <c r="C175" s="1" t="s">
        <v>1153</v>
      </c>
      <c r="D175" s="1" t="s">
        <v>1154</v>
      </c>
      <c r="E175" s="1" t="s">
        <v>1155</v>
      </c>
      <c r="F175" s="1" t="s">
        <v>1156</v>
      </c>
      <c r="G175" s="1" t="s">
        <v>1157</v>
      </c>
    </row>
    <row r="176" spans="1:7" x14ac:dyDescent="0.2">
      <c r="A176" s="1" t="s">
        <v>1158</v>
      </c>
      <c r="B176" s="1" t="s">
        <v>1159</v>
      </c>
      <c r="C176" s="1" t="s">
        <v>1160</v>
      </c>
      <c r="D176" s="1" t="s">
        <v>1161</v>
      </c>
      <c r="E176" s="1" t="s">
        <v>1162</v>
      </c>
      <c r="F176" s="1" t="s">
        <v>1163</v>
      </c>
      <c r="G176" s="1" t="s">
        <v>1164</v>
      </c>
    </row>
    <row r="177" spans="1:7" x14ac:dyDescent="0.2">
      <c r="A177" s="1" t="s">
        <v>1165</v>
      </c>
      <c r="B177" s="1" t="s">
        <v>1166</v>
      </c>
      <c r="C177" s="1" t="s">
        <v>1167</v>
      </c>
      <c r="D177" s="1" t="s">
        <v>1168</v>
      </c>
      <c r="E177" s="1" t="s">
        <v>1169</v>
      </c>
      <c r="F177" s="1" t="s">
        <v>1170</v>
      </c>
      <c r="G177" s="1" t="s">
        <v>978</v>
      </c>
    </row>
    <row r="178" spans="1:7" x14ac:dyDescent="0.2">
      <c r="A178" s="1" t="s">
        <v>1171</v>
      </c>
      <c r="B178" s="1" t="s">
        <v>1172</v>
      </c>
      <c r="C178" s="1" t="s">
        <v>1173</v>
      </c>
      <c r="D178" s="1" t="s">
        <v>1174</v>
      </c>
      <c r="E178" s="1" t="s">
        <v>1175</v>
      </c>
      <c r="F178" s="1" t="s">
        <v>1176</v>
      </c>
      <c r="G178" s="1" t="s">
        <v>1177</v>
      </c>
    </row>
    <row r="179" spans="1:7" x14ac:dyDescent="0.2">
      <c r="A179" s="1" t="s">
        <v>1178</v>
      </c>
      <c r="B179" s="1" t="s">
        <v>1179</v>
      </c>
      <c r="C179" s="1" t="s">
        <v>1180</v>
      </c>
      <c r="D179" s="1" t="s">
        <v>1181</v>
      </c>
      <c r="E179" s="1" t="s">
        <v>1182</v>
      </c>
      <c r="F179" s="1" t="s">
        <v>1183</v>
      </c>
      <c r="G179" s="1" t="s">
        <v>1184</v>
      </c>
    </row>
    <row r="180" spans="1:7" x14ac:dyDescent="0.2">
      <c r="A180" s="1" t="s">
        <v>1185</v>
      </c>
      <c r="B180" s="1" t="s">
        <v>1186</v>
      </c>
      <c r="C180" s="1" t="s">
        <v>1187</v>
      </c>
      <c r="D180" s="1" t="s">
        <v>1188</v>
      </c>
      <c r="E180" s="1" t="s">
        <v>1189</v>
      </c>
      <c r="F180" s="1" t="s">
        <v>1190</v>
      </c>
      <c r="G180" s="1" t="s">
        <v>1191</v>
      </c>
    </row>
    <row r="181" spans="1:7" x14ac:dyDescent="0.2">
      <c r="A181" s="1" t="s">
        <v>1192</v>
      </c>
      <c r="B181" s="1" t="s">
        <v>1193</v>
      </c>
      <c r="C181" s="1" t="s">
        <v>1194</v>
      </c>
      <c r="D181" s="1" t="s">
        <v>1195</v>
      </c>
      <c r="E181" s="1" t="s">
        <v>1196</v>
      </c>
      <c r="F181" s="1" t="s">
        <v>1197</v>
      </c>
      <c r="G181" s="1" t="s">
        <v>1198</v>
      </c>
    </row>
    <row r="182" spans="1:7" x14ac:dyDescent="0.2">
      <c r="A182" s="1" t="s">
        <v>1199</v>
      </c>
      <c r="B182" s="1" t="s">
        <v>1200</v>
      </c>
      <c r="C182" s="1" t="s">
        <v>1201</v>
      </c>
      <c r="D182" s="1" t="s">
        <v>1202</v>
      </c>
      <c r="E182" s="1" t="s">
        <v>1203</v>
      </c>
      <c r="F182" s="1" t="s">
        <v>1204</v>
      </c>
      <c r="G182" s="1" t="s">
        <v>1205</v>
      </c>
    </row>
    <row r="183" spans="1:7" x14ac:dyDescent="0.2">
      <c r="A183" s="1" t="s">
        <v>1206</v>
      </c>
      <c r="B183" s="1" t="s">
        <v>1207</v>
      </c>
      <c r="C183" s="1" t="s">
        <v>1208</v>
      </c>
      <c r="D183" s="1" t="s">
        <v>1209</v>
      </c>
      <c r="E183" s="1" t="s">
        <v>1210</v>
      </c>
      <c r="F183" s="1" t="s">
        <v>1211</v>
      </c>
      <c r="G183" s="1" t="s">
        <v>1212</v>
      </c>
    </row>
    <row r="184" spans="1:7" x14ac:dyDescent="0.2">
      <c r="A184" s="1" t="s">
        <v>1213</v>
      </c>
      <c r="B184" s="1" t="s">
        <v>1214</v>
      </c>
      <c r="C184" s="1" t="s">
        <v>1215</v>
      </c>
      <c r="D184" s="1" t="s">
        <v>1216</v>
      </c>
      <c r="E184" s="1" t="s">
        <v>1217</v>
      </c>
      <c r="F184" s="1" t="s">
        <v>1218</v>
      </c>
      <c r="G184" s="1" t="s">
        <v>1219</v>
      </c>
    </row>
    <row r="185" spans="1:7" x14ac:dyDescent="0.2">
      <c r="A185" s="1" t="s">
        <v>1220</v>
      </c>
      <c r="B185" s="1" t="s">
        <v>1221</v>
      </c>
      <c r="C185" s="1" t="s">
        <v>1188</v>
      </c>
      <c r="D185" s="1" t="s">
        <v>1222</v>
      </c>
      <c r="E185" s="1" t="s">
        <v>1223</v>
      </c>
      <c r="F185" s="1" t="s">
        <v>1224</v>
      </c>
      <c r="G185" s="1" t="s">
        <v>1225</v>
      </c>
    </row>
    <row r="186" spans="1:7" x14ac:dyDescent="0.2">
      <c r="A186" s="1" t="s">
        <v>1226</v>
      </c>
      <c r="B186" s="1" t="s">
        <v>1227</v>
      </c>
      <c r="C186" s="1" t="s">
        <v>1228</v>
      </c>
      <c r="D186" s="1" t="s">
        <v>1229</v>
      </c>
      <c r="E186" s="1" t="s">
        <v>1230</v>
      </c>
      <c r="F186" s="1" t="s">
        <v>1231</v>
      </c>
      <c r="G186" s="1" t="s">
        <v>1232</v>
      </c>
    </row>
    <row r="187" spans="1:7" x14ac:dyDescent="0.2">
      <c r="A187" s="1" t="s">
        <v>1233</v>
      </c>
      <c r="B187" s="1" t="s">
        <v>1234</v>
      </c>
      <c r="C187" s="1" t="s">
        <v>759</v>
      </c>
      <c r="D187" s="1" t="s">
        <v>1235</v>
      </c>
      <c r="E187" s="1" t="s">
        <v>1236</v>
      </c>
      <c r="F187" s="1" t="s">
        <v>1237</v>
      </c>
      <c r="G187" s="1" t="s">
        <v>1238</v>
      </c>
    </row>
    <row r="188" spans="1:7" x14ac:dyDescent="0.2">
      <c r="A188" s="1" t="s">
        <v>1239</v>
      </c>
      <c r="B188" s="1" t="s">
        <v>1240</v>
      </c>
      <c r="C188" s="1" t="s">
        <v>1241</v>
      </c>
      <c r="D188" s="1" t="s">
        <v>1242</v>
      </c>
      <c r="E188" s="1" t="s">
        <v>1243</v>
      </c>
      <c r="F188" s="1" t="s">
        <v>1244</v>
      </c>
      <c r="G188" s="1" t="s">
        <v>1245</v>
      </c>
    </row>
    <row r="189" spans="1:7" x14ac:dyDescent="0.2">
      <c r="A189" s="1" t="s">
        <v>1246</v>
      </c>
      <c r="B189" s="1" t="s">
        <v>1247</v>
      </c>
      <c r="C189" s="1" t="s">
        <v>1248</v>
      </c>
      <c r="D189" s="1" t="s">
        <v>1249</v>
      </c>
      <c r="E189" s="1" t="s">
        <v>1250</v>
      </c>
      <c r="F189" s="1" t="s">
        <v>1251</v>
      </c>
      <c r="G189" s="1" t="s">
        <v>1252</v>
      </c>
    </row>
    <row r="190" spans="1:7" x14ac:dyDescent="0.2">
      <c r="A190" s="1" t="s">
        <v>1253</v>
      </c>
      <c r="B190" s="1" t="s">
        <v>1254</v>
      </c>
      <c r="C190" s="1" t="s">
        <v>1255</v>
      </c>
      <c r="D190" s="1" t="s">
        <v>1256</v>
      </c>
      <c r="E190" s="1" t="s">
        <v>1228</v>
      </c>
      <c r="F190" s="1" t="s">
        <v>1257</v>
      </c>
      <c r="G190" s="1" t="s">
        <v>1258</v>
      </c>
    </row>
    <row r="191" spans="1:7" x14ac:dyDescent="0.2">
      <c r="A191" s="1" t="s">
        <v>1259</v>
      </c>
      <c r="B191" s="1" t="s">
        <v>1260</v>
      </c>
      <c r="C191" s="1" t="s">
        <v>1261</v>
      </c>
      <c r="D191" s="1" t="s">
        <v>780</v>
      </c>
      <c r="E191" s="1" t="s">
        <v>1262</v>
      </c>
      <c r="F191" s="1" t="s">
        <v>1263</v>
      </c>
      <c r="G191" s="1" t="s">
        <v>1264</v>
      </c>
    </row>
    <row r="192" spans="1:7" x14ac:dyDescent="0.2">
      <c r="A192" s="1" t="s">
        <v>1265</v>
      </c>
      <c r="B192" s="1" t="s">
        <v>1266</v>
      </c>
      <c r="C192" s="1" t="s">
        <v>1267</v>
      </c>
      <c r="D192" s="1" t="s">
        <v>1268</v>
      </c>
      <c r="E192" s="1" t="s">
        <v>1269</v>
      </c>
      <c r="F192" s="1" t="s">
        <v>1270</v>
      </c>
      <c r="G192" s="1" t="s">
        <v>1271</v>
      </c>
    </row>
    <row r="193" spans="1:7" x14ac:dyDescent="0.2">
      <c r="A193" s="1" t="s">
        <v>1272</v>
      </c>
      <c r="B193" s="1" t="s">
        <v>1273</v>
      </c>
      <c r="C193" s="1" t="s">
        <v>1274</v>
      </c>
      <c r="D193" s="1" t="s">
        <v>1275</v>
      </c>
      <c r="E193" s="1" t="s">
        <v>1276</v>
      </c>
      <c r="F193" s="1" t="s">
        <v>1277</v>
      </c>
      <c r="G193" s="1" t="s">
        <v>1278</v>
      </c>
    </row>
    <row r="194" spans="1:7" x14ac:dyDescent="0.2">
      <c r="A194" s="1" t="s">
        <v>1279</v>
      </c>
      <c r="B194" s="1" t="s">
        <v>1280</v>
      </c>
      <c r="C194" s="1" t="s">
        <v>1281</v>
      </c>
      <c r="D194" s="1" t="s">
        <v>1282</v>
      </c>
      <c r="E194" s="1" t="s">
        <v>1283</v>
      </c>
      <c r="F194" s="1" t="s">
        <v>1284</v>
      </c>
      <c r="G194" s="1" t="s">
        <v>1285</v>
      </c>
    </row>
    <row r="195" spans="1:7" x14ac:dyDescent="0.2">
      <c r="A195" s="1" t="s">
        <v>1286</v>
      </c>
      <c r="B195" s="1" t="s">
        <v>1287</v>
      </c>
      <c r="C195" s="1" t="s">
        <v>1288</v>
      </c>
      <c r="D195" s="1" t="s">
        <v>1289</v>
      </c>
      <c r="E195" s="1" t="s">
        <v>1290</v>
      </c>
      <c r="F195" s="1" t="s">
        <v>1291</v>
      </c>
      <c r="G195" s="1" t="s">
        <v>1292</v>
      </c>
    </row>
    <row r="196" spans="1:7" x14ac:dyDescent="0.2">
      <c r="A196" s="1" t="s">
        <v>1293</v>
      </c>
      <c r="B196" s="1" t="s">
        <v>1294</v>
      </c>
      <c r="C196" s="1" t="s">
        <v>1295</v>
      </c>
      <c r="D196" s="1" t="s">
        <v>1296</v>
      </c>
      <c r="E196" s="1" t="s">
        <v>1297</v>
      </c>
      <c r="F196" s="1" t="s">
        <v>1298</v>
      </c>
      <c r="G196" s="1" t="s">
        <v>1299</v>
      </c>
    </row>
    <row r="197" spans="1:7" x14ac:dyDescent="0.2">
      <c r="A197" s="1" t="s">
        <v>1300</v>
      </c>
      <c r="B197" s="1" t="s">
        <v>1301</v>
      </c>
      <c r="C197" s="1" t="s">
        <v>1302</v>
      </c>
      <c r="D197" s="1" t="s">
        <v>1303</v>
      </c>
      <c r="E197" s="1" t="s">
        <v>1304</v>
      </c>
      <c r="F197" s="1" t="s">
        <v>1305</v>
      </c>
      <c r="G197" s="1" t="s">
        <v>1306</v>
      </c>
    </row>
    <row r="198" spans="1:7" x14ac:dyDescent="0.2">
      <c r="A198" s="1" t="s">
        <v>1307</v>
      </c>
      <c r="B198" s="1" t="s">
        <v>1308</v>
      </c>
      <c r="C198" s="1" t="s">
        <v>1309</v>
      </c>
      <c r="D198" s="1" t="s">
        <v>1310</v>
      </c>
      <c r="E198" s="1" t="s">
        <v>1311</v>
      </c>
      <c r="F198" s="1" t="s">
        <v>1312</v>
      </c>
      <c r="G198" s="1" t="s">
        <v>1313</v>
      </c>
    </row>
    <row r="199" spans="1:7" x14ac:dyDescent="0.2">
      <c r="A199" s="1" t="s">
        <v>1314</v>
      </c>
      <c r="B199" s="1" t="s">
        <v>1315</v>
      </c>
      <c r="C199" s="1" t="s">
        <v>1316</v>
      </c>
      <c r="D199" s="1" t="s">
        <v>1229</v>
      </c>
      <c r="E199" s="1" t="s">
        <v>1317</v>
      </c>
      <c r="F199" s="1" t="s">
        <v>1318</v>
      </c>
      <c r="G199" s="1" t="s">
        <v>1319</v>
      </c>
    </row>
    <row r="200" spans="1:7" x14ac:dyDescent="0.2">
      <c r="A200" s="1" t="s">
        <v>1320</v>
      </c>
      <c r="B200" s="1" t="s">
        <v>1321</v>
      </c>
      <c r="C200" s="1" t="s">
        <v>1322</v>
      </c>
      <c r="D200" s="1" t="s">
        <v>1323</v>
      </c>
      <c r="E200" s="1" t="s">
        <v>1324</v>
      </c>
      <c r="F200" s="1" t="s">
        <v>1100</v>
      </c>
      <c r="G200" s="1" t="s">
        <v>1325</v>
      </c>
    </row>
    <row r="201" spans="1:7" x14ac:dyDescent="0.2">
      <c r="A201" s="1" t="s">
        <v>1326</v>
      </c>
      <c r="B201" s="1" t="s">
        <v>1327</v>
      </c>
      <c r="C201" s="1" t="s">
        <v>1328</v>
      </c>
      <c r="D201" s="1" t="s">
        <v>1329</v>
      </c>
      <c r="E201" s="1" t="s">
        <v>1330</v>
      </c>
      <c r="F201" s="1" t="s">
        <v>1331</v>
      </c>
      <c r="G201" s="1" t="s">
        <v>1332</v>
      </c>
    </row>
    <row r="202" spans="1:7" x14ac:dyDescent="0.2">
      <c r="A202" s="1" t="s">
        <v>1333</v>
      </c>
      <c r="B202" s="1" t="s">
        <v>1334</v>
      </c>
      <c r="C202" s="1" t="s">
        <v>1335</v>
      </c>
      <c r="D202" s="1" t="s">
        <v>1336</v>
      </c>
      <c r="E202" s="1" t="s">
        <v>1337</v>
      </c>
      <c r="F202" s="1" t="s">
        <v>1338</v>
      </c>
      <c r="G202" s="1" t="s">
        <v>1339</v>
      </c>
    </row>
    <row r="203" spans="1:7" x14ac:dyDescent="0.2">
      <c r="A203" s="1" t="s">
        <v>1340</v>
      </c>
      <c r="B203" s="1" t="s">
        <v>1341</v>
      </c>
      <c r="C203" s="1" t="s">
        <v>1342</v>
      </c>
      <c r="D203" s="1" t="s">
        <v>396</v>
      </c>
      <c r="E203" s="1" t="s">
        <v>1343</v>
      </c>
      <c r="F203" s="1" t="s">
        <v>396</v>
      </c>
      <c r="G203" s="1" t="s">
        <v>1344</v>
      </c>
    </row>
    <row r="204" spans="1:7" x14ac:dyDescent="0.2">
      <c r="A204" s="1" t="s">
        <v>1345</v>
      </c>
      <c r="B204" s="1" t="s">
        <v>1346</v>
      </c>
      <c r="C204" s="1" t="s">
        <v>1347</v>
      </c>
      <c r="D204" s="1" t="s">
        <v>1348</v>
      </c>
      <c r="E204" s="1" t="s">
        <v>1349</v>
      </c>
      <c r="F204" s="1" t="s">
        <v>1350</v>
      </c>
      <c r="G204" s="1" t="s">
        <v>1351</v>
      </c>
    </row>
    <row r="205" spans="1:7" x14ac:dyDescent="0.2">
      <c r="A205" s="1" t="s">
        <v>1352</v>
      </c>
      <c r="B205" s="1" t="s">
        <v>1353</v>
      </c>
      <c r="C205" s="1" t="s">
        <v>1354</v>
      </c>
      <c r="D205" s="1" t="s">
        <v>665</v>
      </c>
      <c r="E205" s="1" t="s">
        <v>1355</v>
      </c>
      <c r="F205" s="1" t="s">
        <v>1356</v>
      </c>
      <c r="G205" s="1" t="s">
        <v>1357</v>
      </c>
    </row>
    <row r="206" spans="1:7" x14ac:dyDescent="0.2">
      <c r="A206" s="1" t="s">
        <v>1358</v>
      </c>
      <c r="B206" s="1" t="s">
        <v>1359</v>
      </c>
      <c r="C206" s="1" t="s">
        <v>1360</v>
      </c>
      <c r="D206" s="1" t="s">
        <v>1361</v>
      </c>
      <c r="E206" s="1" t="s">
        <v>1362</v>
      </c>
      <c r="F206" s="1" t="s">
        <v>1363</v>
      </c>
      <c r="G206" s="1" t="s">
        <v>1364</v>
      </c>
    </row>
    <row r="207" spans="1:7" x14ac:dyDescent="0.2">
      <c r="A207" s="1" t="s">
        <v>1365</v>
      </c>
      <c r="B207" s="1" t="s">
        <v>1366</v>
      </c>
      <c r="C207" s="1" t="s">
        <v>1367</v>
      </c>
      <c r="D207" s="1" t="s">
        <v>1368</v>
      </c>
      <c r="E207" s="1" t="s">
        <v>1369</v>
      </c>
      <c r="F207" s="1" t="s">
        <v>1370</v>
      </c>
      <c r="G207" s="1" t="s">
        <v>1371</v>
      </c>
    </row>
    <row r="208" spans="1:7" x14ac:dyDescent="0.2">
      <c r="A208" s="1" t="s">
        <v>1372</v>
      </c>
      <c r="B208" s="1" t="s">
        <v>1373</v>
      </c>
      <c r="C208" s="1" t="s">
        <v>1374</v>
      </c>
      <c r="D208" s="1" t="s">
        <v>485</v>
      </c>
      <c r="E208" s="1" t="s">
        <v>1375</v>
      </c>
      <c r="F208" s="1" t="s">
        <v>1376</v>
      </c>
      <c r="G208" s="1" t="s">
        <v>1377</v>
      </c>
    </row>
    <row r="209" spans="1:7" x14ac:dyDescent="0.2">
      <c r="A209" s="1" t="s">
        <v>1378</v>
      </c>
      <c r="B209" s="1" t="s">
        <v>1379</v>
      </c>
      <c r="C209" s="1" t="s">
        <v>1380</v>
      </c>
      <c r="D209" s="1" t="s">
        <v>1381</v>
      </c>
      <c r="E209" s="1" t="s">
        <v>1382</v>
      </c>
      <c r="F209" s="1" t="s">
        <v>1383</v>
      </c>
      <c r="G209" s="1" t="s">
        <v>1384</v>
      </c>
    </row>
    <row r="210" spans="1:7" x14ac:dyDescent="0.2">
      <c r="A210" s="1" t="s">
        <v>1385</v>
      </c>
      <c r="B210" s="1" t="s">
        <v>1386</v>
      </c>
      <c r="C210" s="1" t="s">
        <v>1387</v>
      </c>
      <c r="D210" s="1" t="s">
        <v>1388</v>
      </c>
      <c r="E210" s="1" t="s">
        <v>1389</v>
      </c>
      <c r="F210" s="1" t="s">
        <v>1390</v>
      </c>
      <c r="G210" s="1" t="s">
        <v>1391</v>
      </c>
    </row>
    <row r="211" spans="1:7" x14ac:dyDescent="0.2">
      <c r="A211" s="1" t="s">
        <v>1392</v>
      </c>
      <c r="B211" s="1" t="s">
        <v>1393</v>
      </c>
      <c r="C211" s="1" t="s">
        <v>1394</v>
      </c>
      <c r="D211" s="1" t="s">
        <v>1395</v>
      </c>
      <c r="E211" s="1" t="s">
        <v>1396</v>
      </c>
      <c r="F211" s="1" t="s">
        <v>1397</v>
      </c>
      <c r="G211" s="1" t="s">
        <v>1398</v>
      </c>
    </row>
    <row r="212" spans="1:7" x14ac:dyDescent="0.2">
      <c r="A212" s="1" t="s">
        <v>1399</v>
      </c>
      <c r="B212" s="1" t="s">
        <v>1400</v>
      </c>
      <c r="C212" s="1" t="s">
        <v>1401</v>
      </c>
      <c r="D212" s="1" t="s">
        <v>1402</v>
      </c>
      <c r="E212" s="1" t="s">
        <v>1403</v>
      </c>
      <c r="F212" s="1" t="s">
        <v>1404</v>
      </c>
      <c r="G212" s="1" t="s">
        <v>1405</v>
      </c>
    </row>
    <row r="213" spans="1:7" x14ac:dyDescent="0.2">
      <c r="A213" s="1" t="s">
        <v>1406</v>
      </c>
      <c r="B213" s="1" t="s">
        <v>1407</v>
      </c>
      <c r="C213" s="1" t="s">
        <v>1408</v>
      </c>
      <c r="D213" s="1" t="s">
        <v>1409</v>
      </c>
      <c r="E213" s="1" t="s">
        <v>1410</v>
      </c>
      <c r="F213" s="1" t="s">
        <v>1411</v>
      </c>
      <c r="G213" s="1" t="s">
        <v>1412</v>
      </c>
    </row>
    <row r="214" spans="1:7" x14ac:dyDescent="0.2">
      <c r="A214" s="1" t="s">
        <v>1413</v>
      </c>
      <c r="B214" s="1" t="s">
        <v>1414</v>
      </c>
      <c r="C214" s="1" t="s">
        <v>1415</v>
      </c>
      <c r="D214" s="1" t="s">
        <v>1416</v>
      </c>
      <c r="E214" s="1" t="s">
        <v>1408</v>
      </c>
      <c r="F214" s="1" t="s">
        <v>1417</v>
      </c>
      <c r="G214" s="1" t="s">
        <v>1418</v>
      </c>
    </row>
    <row r="215" spans="1:7" x14ac:dyDescent="0.2">
      <c r="A215" s="1" t="s">
        <v>1419</v>
      </c>
      <c r="B215" s="1" t="s">
        <v>1420</v>
      </c>
      <c r="C215" s="1" t="s">
        <v>1421</v>
      </c>
      <c r="D215" s="1" t="s">
        <v>1422</v>
      </c>
      <c r="E215" s="1" t="s">
        <v>1423</v>
      </c>
      <c r="F215" s="1" t="s">
        <v>1424</v>
      </c>
      <c r="G215" s="1" t="s">
        <v>1425</v>
      </c>
    </row>
    <row r="216" spans="1:7" x14ac:dyDescent="0.2">
      <c r="A216" s="1" t="s">
        <v>1426</v>
      </c>
      <c r="B216" s="1" t="s">
        <v>1427</v>
      </c>
      <c r="C216" s="1" t="s">
        <v>1428</v>
      </c>
      <c r="D216" s="1" t="s">
        <v>454</v>
      </c>
      <c r="E216" s="1" t="s">
        <v>1429</v>
      </c>
      <c r="F216" s="1" t="s">
        <v>1430</v>
      </c>
      <c r="G216" s="1" t="s">
        <v>1431</v>
      </c>
    </row>
    <row r="217" spans="1:7" x14ac:dyDescent="0.2">
      <c r="A217" s="1" t="s">
        <v>1432</v>
      </c>
      <c r="B217" s="1" t="s">
        <v>1433</v>
      </c>
      <c r="C217" s="1" t="s">
        <v>1434</v>
      </c>
      <c r="D217" s="1" t="s">
        <v>48</v>
      </c>
      <c r="E217" s="1" t="s">
        <v>1435</v>
      </c>
      <c r="F217" s="1" t="s">
        <v>1436</v>
      </c>
      <c r="G217" s="1" t="s">
        <v>1437</v>
      </c>
    </row>
    <row r="218" spans="1:7" x14ac:dyDescent="0.2">
      <c r="A218" s="1" t="s">
        <v>1438</v>
      </c>
      <c r="B218" s="1" t="s">
        <v>1439</v>
      </c>
      <c r="C218" s="1" t="s">
        <v>1440</v>
      </c>
      <c r="D218" s="1" t="s">
        <v>1441</v>
      </c>
      <c r="E218" s="1" t="s">
        <v>1442</v>
      </c>
      <c r="F218" s="1" t="s">
        <v>1443</v>
      </c>
      <c r="G218" s="1" t="s">
        <v>1444</v>
      </c>
    </row>
    <row r="219" spans="1:7" x14ac:dyDescent="0.2">
      <c r="A219" s="1" t="s">
        <v>1445</v>
      </c>
      <c r="B219" s="1" t="s">
        <v>1446</v>
      </c>
      <c r="C219" s="1" t="s">
        <v>1447</v>
      </c>
      <c r="D219" s="1" t="s">
        <v>1448</v>
      </c>
      <c r="E219" s="1" t="s">
        <v>1449</v>
      </c>
      <c r="F219" s="1" t="s">
        <v>1450</v>
      </c>
      <c r="G219" s="1" t="s">
        <v>1451</v>
      </c>
    </row>
    <row r="220" spans="1:7" x14ac:dyDescent="0.2">
      <c r="A220" s="1" t="s">
        <v>1452</v>
      </c>
      <c r="B220" s="1" t="s">
        <v>1453</v>
      </c>
      <c r="C220" s="1" t="s">
        <v>1454</v>
      </c>
      <c r="D220" s="1" t="s">
        <v>1455</v>
      </c>
      <c r="E220" s="1" t="s">
        <v>1456</v>
      </c>
      <c r="F220" s="1" t="s">
        <v>1457</v>
      </c>
      <c r="G220" s="1" t="s">
        <v>1458</v>
      </c>
    </row>
    <row r="221" spans="1:7" x14ac:dyDescent="0.2">
      <c r="A221" s="1" t="s">
        <v>1459</v>
      </c>
      <c r="B221" s="1" t="s">
        <v>1460</v>
      </c>
      <c r="C221" s="1" t="s">
        <v>1461</v>
      </c>
      <c r="D221" s="1" t="s">
        <v>1462</v>
      </c>
      <c r="E221" s="1" t="s">
        <v>1463</v>
      </c>
      <c r="F221" s="1" t="s">
        <v>1464</v>
      </c>
      <c r="G221" s="1" t="s">
        <v>1465</v>
      </c>
    </row>
    <row r="222" spans="1:7" x14ac:dyDescent="0.2">
      <c r="A222" s="1" t="s">
        <v>1466</v>
      </c>
      <c r="B222" s="1" t="s">
        <v>1467</v>
      </c>
      <c r="C222" s="1" t="s">
        <v>1468</v>
      </c>
      <c r="D222" s="1" t="s">
        <v>1469</v>
      </c>
      <c r="E222" s="1" t="s">
        <v>1470</v>
      </c>
      <c r="F222" s="1" t="s">
        <v>1471</v>
      </c>
      <c r="G222" s="1" t="s">
        <v>1472</v>
      </c>
    </row>
    <row r="223" spans="1:7" x14ac:dyDescent="0.2">
      <c r="A223" s="1" t="s">
        <v>1473</v>
      </c>
      <c r="B223" s="1" t="s">
        <v>1474</v>
      </c>
      <c r="C223" s="1" t="s">
        <v>1475</v>
      </c>
      <c r="D223" s="1" t="s">
        <v>1476</v>
      </c>
      <c r="E223" s="1" t="s">
        <v>1477</v>
      </c>
      <c r="F223" s="1" t="s">
        <v>1478</v>
      </c>
      <c r="G223" s="1" t="s">
        <v>1479</v>
      </c>
    </row>
    <row r="224" spans="1:7" x14ac:dyDescent="0.2">
      <c r="A224" s="1" t="s">
        <v>1480</v>
      </c>
      <c r="B224" s="1" t="s">
        <v>1481</v>
      </c>
      <c r="C224" s="1" t="s">
        <v>1482</v>
      </c>
      <c r="D224" s="1" t="s">
        <v>1483</v>
      </c>
      <c r="E224" s="1" t="s">
        <v>1484</v>
      </c>
      <c r="F224" s="1" t="s">
        <v>1485</v>
      </c>
      <c r="G224" s="1" t="s">
        <v>1486</v>
      </c>
    </row>
    <row r="225" spans="1:7" x14ac:dyDescent="0.2">
      <c r="A225" s="1" t="s">
        <v>1487</v>
      </c>
      <c r="B225" s="1" t="s">
        <v>1488</v>
      </c>
      <c r="C225" s="1" t="s">
        <v>1489</v>
      </c>
      <c r="D225" s="1" t="s">
        <v>1490</v>
      </c>
      <c r="E225" s="1" t="s">
        <v>1491</v>
      </c>
      <c r="F225" s="1" t="s">
        <v>1492</v>
      </c>
      <c r="G225" s="1" t="s">
        <v>1493</v>
      </c>
    </row>
    <row r="226" spans="1:7" x14ac:dyDescent="0.2">
      <c r="A226" s="1" t="s">
        <v>1494</v>
      </c>
      <c r="B226" s="1" t="s">
        <v>1495</v>
      </c>
      <c r="C226" s="1" t="s">
        <v>1496</v>
      </c>
      <c r="D226" s="1" t="s">
        <v>1497</v>
      </c>
      <c r="E226" s="1" t="s">
        <v>1498</v>
      </c>
      <c r="F226" s="1" t="s">
        <v>1499</v>
      </c>
      <c r="G226" s="1" t="s">
        <v>1500</v>
      </c>
    </row>
    <row r="227" spans="1:7" x14ac:dyDescent="0.2">
      <c r="A227" s="1" t="s">
        <v>1501</v>
      </c>
      <c r="B227" s="1" t="s">
        <v>1502</v>
      </c>
      <c r="C227" s="1" t="s">
        <v>1503</v>
      </c>
      <c r="D227" s="1" t="s">
        <v>1504</v>
      </c>
      <c r="E227" s="1" t="s">
        <v>1505</v>
      </c>
      <c r="F227" s="1" t="s">
        <v>1506</v>
      </c>
      <c r="G227" s="1" t="s">
        <v>1507</v>
      </c>
    </row>
    <row r="228" spans="1:7" x14ac:dyDescent="0.2">
      <c r="A228" s="1" t="s">
        <v>1508</v>
      </c>
      <c r="B228" s="1" t="s">
        <v>1509</v>
      </c>
      <c r="C228" s="1" t="s">
        <v>1510</v>
      </c>
      <c r="D228" s="1" t="s">
        <v>1511</v>
      </c>
      <c r="E228" s="1" t="s">
        <v>1512</v>
      </c>
      <c r="F228" s="1" t="s">
        <v>1513</v>
      </c>
      <c r="G228" s="1" t="s">
        <v>1514</v>
      </c>
    </row>
    <row r="229" spans="1:7" x14ac:dyDescent="0.2">
      <c r="A229" s="1" t="s">
        <v>1515</v>
      </c>
      <c r="B229" s="1" t="s">
        <v>1516</v>
      </c>
      <c r="C229" s="1" t="s">
        <v>1517</v>
      </c>
      <c r="D229" s="1" t="s">
        <v>1518</v>
      </c>
      <c r="E229" s="1" t="s">
        <v>1519</v>
      </c>
      <c r="F229" s="1" t="s">
        <v>1520</v>
      </c>
      <c r="G229" s="1" t="s">
        <v>1521</v>
      </c>
    </row>
    <row r="230" spans="1:7" x14ac:dyDescent="0.2">
      <c r="A230" s="1" t="s">
        <v>1522</v>
      </c>
      <c r="B230" s="1" t="s">
        <v>1523</v>
      </c>
      <c r="C230" s="1" t="s">
        <v>1524</v>
      </c>
      <c r="D230" s="1" t="s">
        <v>1525</v>
      </c>
      <c r="E230" s="1" t="s">
        <v>1526</v>
      </c>
      <c r="F230" s="1" t="s">
        <v>1527</v>
      </c>
      <c r="G230" s="1" t="s">
        <v>1528</v>
      </c>
    </row>
    <row r="231" spans="1:7" x14ac:dyDescent="0.2">
      <c r="A231" s="1" t="s">
        <v>1529</v>
      </c>
      <c r="B231" s="1" t="s">
        <v>1530</v>
      </c>
      <c r="C231" s="1" t="s">
        <v>1531</v>
      </c>
      <c r="D231" s="1" t="s">
        <v>1532</v>
      </c>
      <c r="E231" s="1" t="s">
        <v>1533</v>
      </c>
      <c r="F231" s="1" t="s">
        <v>1534</v>
      </c>
      <c r="G231" s="1" t="s">
        <v>1535</v>
      </c>
    </row>
    <row r="232" spans="1:7" x14ac:dyDescent="0.2">
      <c r="A232" s="1" t="s">
        <v>1536</v>
      </c>
      <c r="B232" s="1" t="s">
        <v>1537</v>
      </c>
      <c r="C232" s="1" t="s">
        <v>1538</v>
      </c>
      <c r="D232" s="1" t="s">
        <v>1539</v>
      </c>
      <c r="E232" s="1" t="s">
        <v>1540</v>
      </c>
      <c r="F232" s="1" t="s">
        <v>1541</v>
      </c>
      <c r="G232" s="1" t="s">
        <v>1542</v>
      </c>
    </row>
    <row r="233" spans="1:7" x14ac:dyDescent="0.2">
      <c r="A233" s="1" t="s">
        <v>1543</v>
      </c>
      <c r="B233" s="1" t="s">
        <v>1544</v>
      </c>
      <c r="C233" s="1" t="s">
        <v>1545</v>
      </c>
      <c r="D233" s="1" t="s">
        <v>1546</v>
      </c>
      <c r="E233" s="1" t="s">
        <v>1547</v>
      </c>
      <c r="F233" s="1" t="s">
        <v>1548</v>
      </c>
      <c r="G233" s="1" t="s">
        <v>1549</v>
      </c>
    </row>
    <row r="234" spans="1:7" x14ac:dyDescent="0.2">
      <c r="A234" s="1" t="s">
        <v>1550</v>
      </c>
      <c r="B234" s="1" t="s">
        <v>1551</v>
      </c>
      <c r="C234" s="1" t="s">
        <v>1552</v>
      </c>
      <c r="D234" s="1" t="s">
        <v>1553</v>
      </c>
      <c r="E234" s="1" t="s">
        <v>1554</v>
      </c>
      <c r="F234" s="1" t="s">
        <v>1555</v>
      </c>
      <c r="G234" s="1" t="s">
        <v>1556</v>
      </c>
    </row>
    <row r="235" spans="1:7" x14ac:dyDescent="0.2">
      <c r="A235" s="1" t="s">
        <v>1557</v>
      </c>
      <c r="B235" s="1" t="s">
        <v>1558</v>
      </c>
      <c r="C235" s="1" t="s">
        <v>1559</v>
      </c>
      <c r="D235" s="1" t="s">
        <v>1560</v>
      </c>
      <c r="E235" s="1" t="s">
        <v>1561</v>
      </c>
      <c r="F235" s="1" t="s">
        <v>1562</v>
      </c>
      <c r="G235" s="1" t="s">
        <v>1563</v>
      </c>
    </row>
    <row r="236" spans="1:7" x14ac:dyDescent="0.2">
      <c r="A236" s="1" t="s">
        <v>1564</v>
      </c>
      <c r="B236" s="1" t="s">
        <v>1565</v>
      </c>
      <c r="C236" s="1" t="s">
        <v>1566</v>
      </c>
      <c r="D236" s="1" t="s">
        <v>1567</v>
      </c>
      <c r="E236" s="1" t="s">
        <v>1568</v>
      </c>
      <c r="F236" s="1" t="s">
        <v>1569</v>
      </c>
      <c r="G236" s="1" t="s">
        <v>1570</v>
      </c>
    </row>
    <row r="237" spans="1:7" x14ac:dyDescent="0.2">
      <c r="A237" s="1" t="s">
        <v>1571</v>
      </c>
      <c r="B237" s="1" t="s">
        <v>1572</v>
      </c>
      <c r="C237" s="1" t="s">
        <v>1573</v>
      </c>
      <c r="D237" s="1" t="s">
        <v>1574</v>
      </c>
      <c r="E237" s="1" t="s">
        <v>1575</v>
      </c>
      <c r="F237" s="1" t="s">
        <v>1576</v>
      </c>
      <c r="G237" s="1" t="s">
        <v>1577</v>
      </c>
    </row>
    <row r="238" spans="1:7" x14ac:dyDescent="0.2">
      <c r="A238" s="1" t="s">
        <v>1578</v>
      </c>
      <c r="B238" s="1" t="s">
        <v>1579</v>
      </c>
      <c r="C238" s="1" t="s">
        <v>1580</v>
      </c>
      <c r="D238" s="1" t="s">
        <v>1581</v>
      </c>
      <c r="E238" s="1" t="s">
        <v>1582</v>
      </c>
      <c r="F238" s="1" t="s">
        <v>1583</v>
      </c>
      <c r="G238" s="1" t="s">
        <v>1584</v>
      </c>
    </row>
    <row r="239" spans="1:7" x14ac:dyDescent="0.2">
      <c r="A239" s="1" t="s">
        <v>1585</v>
      </c>
      <c r="B239" s="1" t="s">
        <v>1586</v>
      </c>
      <c r="C239" s="1" t="s">
        <v>1587</v>
      </c>
      <c r="D239" s="1" t="s">
        <v>1588</v>
      </c>
      <c r="E239" s="1" t="s">
        <v>1589</v>
      </c>
      <c r="F239" s="1" t="s">
        <v>1590</v>
      </c>
      <c r="G239" s="1" t="s">
        <v>1591</v>
      </c>
    </row>
    <row r="240" spans="1:7" x14ac:dyDescent="0.2">
      <c r="A240" s="1" t="s">
        <v>1592</v>
      </c>
      <c r="B240" s="1" t="s">
        <v>1593</v>
      </c>
      <c r="C240" s="1" t="s">
        <v>1594</v>
      </c>
      <c r="D240" s="1" t="s">
        <v>1595</v>
      </c>
      <c r="E240" s="1" t="s">
        <v>1596</v>
      </c>
      <c r="F240" s="1" t="s">
        <v>1597</v>
      </c>
      <c r="G240" s="1" t="s">
        <v>1598</v>
      </c>
    </row>
    <row r="241" spans="1:7" x14ac:dyDescent="0.2">
      <c r="A241" s="1" t="s">
        <v>1599</v>
      </c>
      <c r="B241" s="1" t="s">
        <v>1600</v>
      </c>
      <c r="C241" s="1" t="s">
        <v>1601</v>
      </c>
      <c r="D241" s="1" t="s">
        <v>1602</v>
      </c>
      <c r="E241" s="1" t="s">
        <v>1603</v>
      </c>
      <c r="F241" s="1" t="s">
        <v>1604</v>
      </c>
      <c r="G241" s="1" t="s">
        <v>1605</v>
      </c>
    </row>
    <row r="242" spans="1:7" x14ac:dyDescent="0.2">
      <c r="A242" s="1" t="s">
        <v>1606</v>
      </c>
      <c r="B242" s="1" t="s">
        <v>1607</v>
      </c>
      <c r="C242" s="1" t="s">
        <v>1608</v>
      </c>
      <c r="D242" s="1" t="s">
        <v>1609</v>
      </c>
      <c r="E242" s="1" t="s">
        <v>1531</v>
      </c>
      <c r="F242" s="1" t="s">
        <v>1610</v>
      </c>
      <c r="G242" s="1" t="s">
        <v>1611</v>
      </c>
    </row>
    <row r="243" spans="1:7" x14ac:dyDescent="0.2">
      <c r="A243" s="1" t="s">
        <v>1612</v>
      </c>
      <c r="B243" s="1" t="s">
        <v>1613</v>
      </c>
      <c r="C243" s="1" t="s">
        <v>1614</v>
      </c>
      <c r="D243" s="1" t="s">
        <v>1615</v>
      </c>
      <c r="E243" s="1" t="s">
        <v>1616</v>
      </c>
      <c r="F243" s="1" t="s">
        <v>1617</v>
      </c>
      <c r="G243" s="1" t="s">
        <v>1618</v>
      </c>
    </row>
    <row r="244" spans="1:7" x14ac:dyDescent="0.2">
      <c r="A244" s="1" t="s">
        <v>1619</v>
      </c>
      <c r="B244" s="1" t="s">
        <v>1620</v>
      </c>
      <c r="C244" s="1" t="s">
        <v>1621</v>
      </c>
      <c r="D244" s="1" t="s">
        <v>1622</v>
      </c>
      <c r="E244" s="1" t="s">
        <v>1623</v>
      </c>
      <c r="F244" s="1" t="s">
        <v>1624</v>
      </c>
      <c r="G244" s="1" t="s">
        <v>1625</v>
      </c>
    </row>
    <row r="245" spans="1:7" x14ac:dyDescent="0.2">
      <c r="A245" s="1" t="s">
        <v>1626</v>
      </c>
      <c r="B245" s="1" t="s">
        <v>1627</v>
      </c>
      <c r="C245" s="1" t="s">
        <v>1628</v>
      </c>
      <c r="D245" s="1" t="s">
        <v>1629</v>
      </c>
      <c r="E245" s="1" t="s">
        <v>1630</v>
      </c>
      <c r="F245" s="1" t="s">
        <v>1631</v>
      </c>
      <c r="G245" s="1" t="s">
        <v>1632</v>
      </c>
    </row>
    <row r="246" spans="1:7" x14ac:dyDescent="0.2">
      <c r="A246" s="1" t="s">
        <v>1633</v>
      </c>
      <c r="B246" s="1" t="s">
        <v>1634</v>
      </c>
      <c r="C246" s="1" t="s">
        <v>1635</v>
      </c>
      <c r="D246" s="1" t="s">
        <v>1636</v>
      </c>
      <c r="E246" s="1" t="s">
        <v>1637</v>
      </c>
      <c r="F246" s="1" t="s">
        <v>1638</v>
      </c>
      <c r="G246" s="1" t="s">
        <v>1639</v>
      </c>
    </row>
    <row r="247" spans="1:7" x14ac:dyDescent="0.2">
      <c r="A247" s="1" t="s">
        <v>1640</v>
      </c>
      <c r="B247" s="1" t="s">
        <v>1641</v>
      </c>
      <c r="C247" s="1" t="s">
        <v>1642</v>
      </c>
      <c r="D247" s="1" t="s">
        <v>1643</v>
      </c>
      <c r="E247" s="1" t="s">
        <v>1644</v>
      </c>
      <c r="F247" s="1" t="s">
        <v>1645</v>
      </c>
      <c r="G247" s="1" t="s">
        <v>1646</v>
      </c>
    </row>
    <row r="248" spans="1:7" x14ac:dyDescent="0.2">
      <c r="A248" s="1" t="s">
        <v>1647</v>
      </c>
      <c r="B248" s="1" t="s">
        <v>1648</v>
      </c>
      <c r="C248" s="1" t="s">
        <v>1649</v>
      </c>
      <c r="D248" s="1" t="s">
        <v>1650</v>
      </c>
      <c r="E248" s="1" t="s">
        <v>1651</v>
      </c>
      <c r="F248" s="1" t="s">
        <v>1652</v>
      </c>
      <c r="G248" s="1" t="s">
        <v>1653</v>
      </c>
    </row>
    <row r="249" spans="1:7" x14ac:dyDescent="0.2">
      <c r="A249" s="1" t="s">
        <v>1654</v>
      </c>
      <c r="B249" s="1" t="s">
        <v>1655</v>
      </c>
      <c r="C249" s="1" t="s">
        <v>1656</v>
      </c>
      <c r="D249" s="1" t="s">
        <v>1657</v>
      </c>
      <c r="E249" s="1" t="s">
        <v>1658</v>
      </c>
      <c r="F249" s="1" t="s">
        <v>1659</v>
      </c>
      <c r="G249" s="1" t="s">
        <v>1660</v>
      </c>
    </row>
    <row r="250" spans="1:7" x14ac:dyDescent="0.2">
      <c r="A250" s="1" t="s">
        <v>1661</v>
      </c>
      <c r="B250" s="1" t="s">
        <v>1662</v>
      </c>
      <c r="C250" s="1" t="s">
        <v>1663</v>
      </c>
      <c r="D250" s="1" t="s">
        <v>1664</v>
      </c>
      <c r="E250" s="1" t="s">
        <v>1665</v>
      </c>
      <c r="F250" s="1" t="s">
        <v>1666</v>
      </c>
      <c r="G250" s="1" t="s">
        <v>1667</v>
      </c>
    </row>
    <row r="251" spans="1:7" x14ac:dyDescent="0.2">
      <c r="A251" s="1" t="s">
        <v>1668</v>
      </c>
      <c r="B251" s="1" t="s">
        <v>1669</v>
      </c>
      <c r="C251" s="1" t="s">
        <v>1670</v>
      </c>
      <c r="D251" s="1" t="s">
        <v>1671</v>
      </c>
      <c r="E251" s="1" t="s">
        <v>1672</v>
      </c>
      <c r="F251" s="1" t="s">
        <v>1673</v>
      </c>
      <c r="G251" s="1" t="s">
        <v>1674</v>
      </c>
    </row>
    <row r="252" spans="1:7" x14ac:dyDescent="0.2">
      <c r="A252" s="1" t="s">
        <v>1675</v>
      </c>
      <c r="B252" s="1" t="s">
        <v>1676</v>
      </c>
      <c r="C252" s="1" t="s">
        <v>1677</v>
      </c>
      <c r="D252" s="1" t="s">
        <v>1678</v>
      </c>
      <c r="E252" s="1" t="s">
        <v>1679</v>
      </c>
      <c r="F252" s="1" t="s">
        <v>1680</v>
      </c>
      <c r="G252" s="1" t="s">
        <v>1681</v>
      </c>
    </row>
    <row r="253" spans="1:7" x14ac:dyDescent="0.2">
      <c r="A253" s="1" t="s">
        <v>1682</v>
      </c>
      <c r="B253" s="1" t="s">
        <v>1683</v>
      </c>
      <c r="C253" s="1" t="s">
        <v>1684</v>
      </c>
      <c r="D253" s="1" t="s">
        <v>1685</v>
      </c>
      <c r="E253" s="1" t="s">
        <v>1686</v>
      </c>
      <c r="F253" s="1" t="s">
        <v>1687</v>
      </c>
      <c r="G253" s="1" t="s">
        <v>1688</v>
      </c>
    </row>
    <row r="254" spans="1:7" x14ac:dyDescent="0.2">
      <c r="A254" s="1" t="s">
        <v>1689</v>
      </c>
      <c r="B254" s="1" t="s">
        <v>1690</v>
      </c>
      <c r="C254" s="1" t="s">
        <v>1691</v>
      </c>
      <c r="D254" s="1" t="s">
        <v>1692</v>
      </c>
      <c r="E254" s="1" t="s">
        <v>1693</v>
      </c>
      <c r="F254" s="1" t="s">
        <v>1694</v>
      </c>
      <c r="G254" s="1" t="s">
        <v>1695</v>
      </c>
    </row>
    <row r="255" spans="1:7" x14ac:dyDescent="0.2">
      <c r="A255" s="1" t="s">
        <v>1696</v>
      </c>
      <c r="B255" s="1" t="s">
        <v>1697</v>
      </c>
      <c r="C255" s="1" t="s">
        <v>1698</v>
      </c>
      <c r="D255" s="1" t="s">
        <v>1699</v>
      </c>
      <c r="E255" s="1" t="s">
        <v>1700</v>
      </c>
      <c r="F255" s="1" t="s">
        <v>1701</v>
      </c>
      <c r="G255" s="1" t="s">
        <v>1702</v>
      </c>
    </row>
    <row r="256" spans="1:7" x14ac:dyDescent="0.2">
      <c r="A256" s="1" t="s">
        <v>1703</v>
      </c>
      <c r="B256" s="1" t="s">
        <v>1704</v>
      </c>
      <c r="C256" s="1" t="s">
        <v>1705</v>
      </c>
      <c r="D256" s="1" t="s">
        <v>1706</v>
      </c>
      <c r="E256" s="1" t="s">
        <v>1707</v>
      </c>
      <c r="F256" s="1" t="s">
        <v>1708</v>
      </c>
      <c r="G256" s="1" t="s">
        <v>1709</v>
      </c>
    </row>
    <row r="257" spans="1:7" x14ac:dyDescent="0.2">
      <c r="A257" s="1" t="s">
        <v>1710</v>
      </c>
      <c r="B257" s="1" t="s">
        <v>1711</v>
      </c>
      <c r="C257" s="1" t="s">
        <v>1712</v>
      </c>
      <c r="D257" s="1" t="s">
        <v>1713</v>
      </c>
      <c r="E257" s="1" t="s">
        <v>1714</v>
      </c>
      <c r="F257" s="1" t="s">
        <v>1715</v>
      </c>
      <c r="G257" s="1" t="s">
        <v>1716</v>
      </c>
    </row>
    <row r="258" spans="1:7" x14ac:dyDescent="0.2">
      <c r="A258" s="1" t="s">
        <v>1717</v>
      </c>
      <c r="B258" s="1" t="s">
        <v>1718</v>
      </c>
      <c r="C258" s="1" t="s">
        <v>1719</v>
      </c>
      <c r="D258" s="1" t="s">
        <v>1720</v>
      </c>
      <c r="E258" s="1" t="s">
        <v>1721</v>
      </c>
      <c r="F258" s="1" t="s">
        <v>1722</v>
      </c>
      <c r="G258" s="1" t="s">
        <v>1723</v>
      </c>
    </row>
    <row r="259" spans="1:7" x14ac:dyDescent="0.2">
      <c r="A259" s="1" t="s">
        <v>1724</v>
      </c>
      <c r="B259" s="1" t="s">
        <v>1725</v>
      </c>
      <c r="C259" s="1" t="s">
        <v>1726</v>
      </c>
      <c r="D259" s="1" t="s">
        <v>1727</v>
      </c>
      <c r="E259" s="1" t="s">
        <v>1651</v>
      </c>
      <c r="F259" s="1" t="s">
        <v>1728</v>
      </c>
      <c r="G259" s="1" t="s">
        <v>1729</v>
      </c>
    </row>
    <row r="260" spans="1:7" x14ac:dyDescent="0.2">
      <c r="A260" s="1" t="s">
        <v>1730</v>
      </c>
      <c r="B260" s="1" t="s">
        <v>1731</v>
      </c>
      <c r="C260" s="1" t="s">
        <v>1732</v>
      </c>
      <c r="D260" s="1" t="s">
        <v>1733</v>
      </c>
      <c r="E260" s="1" t="s">
        <v>1734</v>
      </c>
      <c r="F260" s="1" t="s">
        <v>1735</v>
      </c>
      <c r="G260" s="1" t="s">
        <v>1736</v>
      </c>
    </row>
    <row r="261" spans="1:7" x14ac:dyDescent="0.2">
      <c r="A261" s="1" t="s">
        <v>1737</v>
      </c>
      <c r="B261" s="1" t="s">
        <v>1738</v>
      </c>
      <c r="C261" s="1" t="s">
        <v>1739</v>
      </c>
      <c r="D261" s="1" t="s">
        <v>1740</v>
      </c>
      <c r="E261" s="1" t="s">
        <v>1741</v>
      </c>
      <c r="F261" s="1" t="s">
        <v>1742</v>
      </c>
      <c r="G261" s="1" t="s">
        <v>1743</v>
      </c>
    </row>
    <row r="262" spans="1:7" x14ac:dyDescent="0.2">
      <c r="A262" s="1" t="s">
        <v>1744</v>
      </c>
      <c r="B262" s="1" t="s">
        <v>1745</v>
      </c>
      <c r="C262" s="1" t="s">
        <v>1746</v>
      </c>
      <c r="D262" s="1" t="s">
        <v>1652</v>
      </c>
      <c r="E262" s="1" t="s">
        <v>1747</v>
      </c>
      <c r="F262" s="1" t="s">
        <v>1657</v>
      </c>
      <c r="G262" s="1" t="s">
        <v>1748</v>
      </c>
    </row>
    <row r="263" spans="1:7" x14ac:dyDescent="0.2">
      <c r="A263" s="1" t="s">
        <v>1749</v>
      </c>
      <c r="B263" s="1" t="s">
        <v>1750</v>
      </c>
      <c r="C263" s="1" t="s">
        <v>1751</v>
      </c>
      <c r="D263" s="1" t="s">
        <v>1752</v>
      </c>
      <c r="E263" s="1" t="s">
        <v>1753</v>
      </c>
      <c r="F263" s="1" t="s">
        <v>1754</v>
      </c>
      <c r="G263" s="1" t="s">
        <v>1755</v>
      </c>
    </row>
    <row r="264" spans="1:7" x14ac:dyDescent="0.2">
      <c r="A264" s="1" t="s">
        <v>1756</v>
      </c>
      <c r="B264" s="1" t="s">
        <v>1757</v>
      </c>
      <c r="C264" s="1" t="s">
        <v>1758</v>
      </c>
      <c r="D264" s="1" t="s">
        <v>1759</v>
      </c>
      <c r="E264" s="1" t="s">
        <v>1760</v>
      </c>
      <c r="F264" s="1" t="s">
        <v>1761</v>
      </c>
      <c r="G264" s="1" t="s">
        <v>1762</v>
      </c>
    </row>
    <row r="265" spans="1:7" x14ac:dyDescent="0.2">
      <c r="A265" s="1" t="s">
        <v>1763</v>
      </c>
      <c r="B265" s="1" t="s">
        <v>1764</v>
      </c>
      <c r="C265" s="1" t="s">
        <v>1765</v>
      </c>
      <c r="D265" s="1" t="s">
        <v>1766</v>
      </c>
      <c r="E265" s="1" t="s">
        <v>1767</v>
      </c>
      <c r="F265" s="1" t="s">
        <v>1768</v>
      </c>
      <c r="G265" s="1" t="s">
        <v>1769</v>
      </c>
    </row>
    <row r="266" spans="1:7" x14ac:dyDescent="0.2">
      <c r="A266" s="1" t="s">
        <v>1770</v>
      </c>
      <c r="B266" s="1" t="s">
        <v>1771</v>
      </c>
      <c r="C266" s="1" t="s">
        <v>1772</v>
      </c>
      <c r="D266" s="1" t="s">
        <v>1773</v>
      </c>
      <c r="E266" s="1" t="s">
        <v>1774</v>
      </c>
      <c r="F266" s="1" t="s">
        <v>1775</v>
      </c>
      <c r="G266" s="1" t="s">
        <v>1776</v>
      </c>
    </row>
    <row r="267" spans="1:7" x14ac:dyDescent="0.2">
      <c r="A267" s="1" t="s">
        <v>1777</v>
      </c>
      <c r="B267" s="1" t="s">
        <v>1778</v>
      </c>
      <c r="C267" s="1" t="s">
        <v>1779</v>
      </c>
      <c r="D267" s="1" t="s">
        <v>1780</v>
      </c>
      <c r="E267" s="1" t="s">
        <v>1781</v>
      </c>
      <c r="F267" s="1" t="s">
        <v>1782</v>
      </c>
      <c r="G267" s="1" t="s">
        <v>1783</v>
      </c>
    </row>
    <row r="268" spans="1:7" x14ac:dyDescent="0.2">
      <c r="A268" s="1" t="s">
        <v>1784</v>
      </c>
      <c r="B268" s="1" t="s">
        <v>1785</v>
      </c>
      <c r="C268" s="1" t="s">
        <v>1786</v>
      </c>
      <c r="D268" s="1" t="s">
        <v>1787</v>
      </c>
      <c r="E268" s="1" t="s">
        <v>1788</v>
      </c>
      <c r="F268" s="1" t="s">
        <v>1545</v>
      </c>
      <c r="G268" s="1" t="s">
        <v>1789</v>
      </c>
    </row>
    <row r="269" spans="1:7" x14ac:dyDescent="0.2">
      <c r="A269" s="1" t="s">
        <v>1790</v>
      </c>
      <c r="B269" s="1" t="s">
        <v>1791</v>
      </c>
      <c r="C269" s="1" t="s">
        <v>1792</v>
      </c>
      <c r="D269" s="1" t="s">
        <v>1793</v>
      </c>
      <c r="E269" s="1" t="s">
        <v>1794</v>
      </c>
      <c r="F269" s="1" t="s">
        <v>1795</v>
      </c>
      <c r="G269" s="1" t="s">
        <v>1796</v>
      </c>
    </row>
    <row r="270" spans="1:7" x14ac:dyDescent="0.2">
      <c r="A270" s="1" t="s">
        <v>1797</v>
      </c>
      <c r="B270" s="1" t="s">
        <v>1798</v>
      </c>
      <c r="C270" s="1" t="s">
        <v>1799</v>
      </c>
      <c r="D270" s="1" t="s">
        <v>1800</v>
      </c>
      <c r="E270" s="1" t="s">
        <v>1801</v>
      </c>
      <c r="F270" s="1" t="s">
        <v>1802</v>
      </c>
      <c r="G270" s="1" t="s">
        <v>1803</v>
      </c>
    </row>
    <row r="271" spans="1:7" x14ac:dyDescent="0.2">
      <c r="A271" s="1" t="s">
        <v>1804</v>
      </c>
      <c r="B271" s="1" t="s">
        <v>1805</v>
      </c>
      <c r="C271" s="1" t="s">
        <v>1806</v>
      </c>
      <c r="D271" s="1" t="s">
        <v>1807</v>
      </c>
      <c r="E271" s="1" t="s">
        <v>1808</v>
      </c>
      <c r="F271" s="1" t="s">
        <v>1809</v>
      </c>
      <c r="G271" s="1" t="s">
        <v>1810</v>
      </c>
    </row>
    <row r="272" spans="1:7" x14ac:dyDescent="0.2">
      <c r="A272" s="1" t="s">
        <v>1811</v>
      </c>
      <c r="B272" s="1" t="s">
        <v>1812</v>
      </c>
      <c r="C272" s="1" t="s">
        <v>1813</v>
      </c>
      <c r="D272" s="1" t="s">
        <v>1814</v>
      </c>
      <c r="E272" s="1" t="s">
        <v>1815</v>
      </c>
      <c r="F272" s="1" t="s">
        <v>1816</v>
      </c>
      <c r="G272" s="1" t="s">
        <v>1817</v>
      </c>
    </row>
    <row r="273" spans="1:7" x14ac:dyDescent="0.2">
      <c r="A273" s="1" t="s">
        <v>1818</v>
      </c>
      <c r="B273" s="1" t="s">
        <v>1819</v>
      </c>
      <c r="C273" s="1" t="s">
        <v>1820</v>
      </c>
      <c r="D273" s="1" t="s">
        <v>1821</v>
      </c>
      <c r="E273" s="1" t="s">
        <v>1822</v>
      </c>
      <c r="F273" s="1" t="s">
        <v>1823</v>
      </c>
      <c r="G273" s="1" t="s">
        <v>1824</v>
      </c>
    </row>
    <row r="274" spans="1:7" x14ac:dyDescent="0.2">
      <c r="A274" s="1" t="s">
        <v>1825</v>
      </c>
      <c r="B274" s="1" t="s">
        <v>1826</v>
      </c>
      <c r="C274" s="1" t="s">
        <v>1827</v>
      </c>
      <c r="D274" s="1" t="s">
        <v>1828</v>
      </c>
      <c r="E274" s="1" t="s">
        <v>1829</v>
      </c>
      <c r="F274" s="1" t="s">
        <v>1830</v>
      </c>
      <c r="G274" s="1" t="s">
        <v>1831</v>
      </c>
    </row>
    <row r="275" spans="1:7" x14ac:dyDescent="0.2">
      <c r="A275" s="1" t="s">
        <v>1832</v>
      </c>
      <c r="B275" s="1" t="s">
        <v>1833</v>
      </c>
      <c r="C275" s="1" t="s">
        <v>1692</v>
      </c>
      <c r="D275" s="1" t="s">
        <v>1834</v>
      </c>
      <c r="E275" s="1" t="s">
        <v>1835</v>
      </c>
      <c r="F275" s="1" t="s">
        <v>1836</v>
      </c>
      <c r="G275" s="1" t="s">
        <v>1837</v>
      </c>
    </row>
    <row r="276" spans="1:7" x14ac:dyDescent="0.2">
      <c r="A276" s="1" t="s">
        <v>1838</v>
      </c>
      <c r="B276" s="1" t="s">
        <v>1839</v>
      </c>
      <c r="C276" s="1" t="s">
        <v>1840</v>
      </c>
      <c r="D276" s="1" t="s">
        <v>1841</v>
      </c>
      <c r="E276" s="1" t="s">
        <v>1842</v>
      </c>
      <c r="F276" s="1" t="s">
        <v>1843</v>
      </c>
      <c r="G276" s="1" t="s">
        <v>1844</v>
      </c>
    </row>
    <row r="277" spans="1:7" x14ac:dyDescent="0.2">
      <c r="A277" s="1" t="s">
        <v>1845</v>
      </c>
      <c r="B277" s="1" t="s">
        <v>1846</v>
      </c>
      <c r="C277" s="1" t="s">
        <v>1847</v>
      </c>
      <c r="D277" s="1" t="s">
        <v>1848</v>
      </c>
      <c r="E277" s="1" t="s">
        <v>1739</v>
      </c>
      <c r="F277" s="1" t="s">
        <v>1849</v>
      </c>
      <c r="G277" s="1" t="s">
        <v>1850</v>
      </c>
    </row>
    <row r="278" spans="1:7" x14ac:dyDescent="0.2">
      <c r="A278" s="1" t="s">
        <v>1851</v>
      </c>
      <c r="B278" s="1" t="s">
        <v>1852</v>
      </c>
      <c r="C278" s="1" t="s">
        <v>1853</v>
      </c>
      <c r="D278" s="1" t="s">
        <v>1854</v>
      </c>
      <c r="E278" s="1" t="s">
        <v>1855</v>
      </c>
      <c r="F278" s="1" t="s">
        <v>1856</v>
      </c>
      <c r="G278" s="1" t="s">
        <v>1857</v>
      </c>
    </row>
    <row r="279" spans="1:7" x14ac:dyDescent="0.2">
      <c r="A279" s="1" t="s">
        <v>1858</v>
      </c>
      <c r="B279" s="1" t="s">
        <v>1859</v>
      </c>
      <c r="C279" s="1" t="s">
        <v>1860</v>
      </c>
      <c r="D279" s="1" t="s">
        <v>1861</v>
      </c>
      <c r="E279" s="1" t="s">
        <v>1862</v>
      </c>
      <c r="F279" s="1" t="s">
        <v>1863</v>
      </c>
      <c r="G279" s="1" t="s">
        <v>1864</v>
      </c>
    </row>
    <row r="280" spans="1:7" x14ac:dyDescent="0.2">
      <c r="A280" s="1" t="s">
        <v>1865</v>
      </c>
      <c r="B280" s="1" t="s">
        <v>1866</v>
      </c>
      <c r="C280" s="1" t="s">
        <v>1867</v>
      </c>
      <c r="D280" s="1" t="s">
        <v>1868</v>
      </c>
      <c r="E280" s="1" t="s">
        <v>1869</v>
      </c>
      <c r="F280" s="1" t="s">
        <v>1870</v>
      </c>
      <c r="G280" s="1" t="s">
        <v>1871</v>
      </c>
    </row>
    <row r="281" spans="1:7" x14ac:dyDescent="0.2">
      <c r="A281" s="1" t="s">
        <v>1872</v>
      </c>
      <c r="B281" s="1" t="s">
        <v>1873</v>
      </c>
      <c r="C281" s="1" t="s">
        <v>1874</v>
      </c>
      <c r="D281" s="1" t="s">
        <v>1875</v>
      </c>
      <c r="E281" s="1" t="s">
        <v>1876</v>
      </c>
      <c r="F281" s="1" t="s">
        <v>1877</v>
      </c>
      <c r="G281" s="1" t="s">
        <v>1878</v>
      </c>
    </row>
    <row r="282" spans="1:7" x14ac:dyDescent="0.2">
      <c r="A282" s="1" t="s">
        <v>1879</v>
      </c>
      <c r="B282" s="1" t="s">
        <v>1880</v>
      </c>
      <c r="C282" s="1" t="s">
        <v>1881</v>
      </c>
      <c r="D282" s="1" t="s">
        <v>1882</v>
      </c>
      <c r="E282" s="1" t="s">
        <v>1883</v>
      </c>
      <c r="F282" s="1" t="s">
        <v>1524</v>
      </c>
      <c r="G282" s="1" t="s">
        <v>1884</v>
      </c>
    </row>
    <row r="283" spans="1:7" x14ac:dyDescent="0.2">
      <c r="A283" s="1" t="s">
        <v>1885</v>
      </c>
      <c r="B283" s="1" t="s">
        <v>1627</v>
      </c>
      <c r="C283" s="1" t="s">
        <v>1628</v>
      </c>
      <c r="D283" s="1" t="s">
        <v>1886</v>
      </c>
      <c r="E283" s="1" t="s">
        <v>1849</v>
      </c>
      <c r="F283" s="1" t="s">
        <v>1887</v>
      </c>
      <c r="G283" s="1" t="s">
        <v>1888</v>
      </c>
    </row>
    <row r="284" spans="1:7" x14ac:dyDescent="0.2">
      <c r="A284" s="1" t="s">
        <v>1889</v>
      </c>
      <c r="B284" s="1" t="s">
        <v>1890</v>
      </c>
      <c r="C284" s="1" t="s">
        <v>1891</v>
      </c>
      <c r="D284" s="1" t="s">
        <v>1892</v>
      </c>
      <c r="E284" s="1" t="s">
        <v>1874</v>
      </c>
      <c r="F284" s="1" t="s">
        <v>1893</v>
      </c>
      <c r="G284" s="1" t="s">
        <v>1894</v>
      </c>
    </row>
    <row r="285" spans="1:7" x14ac:dyDescent="0.2">
      <c r="A285" s="1" t="s">
        <v>1895</v>
      </c>
      <c r="B285" s="1" t="s">
        <v>1896</v>
      </c>
      <c r="C285" s="1" t="s">
        <v>1897</v>
      </c>
      <c r="D285" s="1" t="s">
        <v>1898</v>
      </c>
      <c r="E285" s="1" t="s">
        <v>1899</v>
      </c>
      <c r="F285" s="1" t="s">
        <v>1900</v>
      </c>
      <c r="G285" s="1" t="s">
        <v>1901</v>
      </c>
    </row>
    <row r="286" spans="1:7" x14ac:dyDescent="0.2">
      <c r="A286" s="1" t="s">
        <v>1902</v>
      </c>
      <c r="B286" s="1" t="s">
        <v>1903</v>
      </c>
      <c r="C286" s="1" t="s">
        <v>1904</v>
      </c>
      <c r="D286" s="1" t="s">
        <v>1905</v>
      </c>
      <c r="E286" s="1" t="s">
        <v>1906</v>
      </c>
      <c r="F286" s="1" t="s">
        <v>1907</v>
      </c>
      <c r="G286" s="1" t="s">
        <v>1908</v>
      </c>
    </row>
    <row r="287" spans="1:7" x14ac:dyDescent="0.2">
      <c r="A287" s="1" t="s">
        <v>1909</v>
      </c>
      <c r="B287" s="1" t="s">
        <v>1910</v>
      </c>
      <c r="C287" s="1" t="s">
        <v>1911</v>
      </c>
      <c r="D287" s="1" t="s">
        <v>1912</v>
      </c>
      <c r="E287" s="1" t="s">
        <v>1913</v>
      </c>
      <c r="F287" s="1" t="s">
        <v>1914</v>
      </c>
      <c r="G287" s="1" t="s">
        <v>1915</v>
      </c>
    </row>
    <row r="288" spans="1:7" x14ac:dyDescent="0.2">
      <c r="A288" s="1" t="s">
        <v>1916</v>
      </c>
      <c r="B288" s="1" t="s">
        <v>1917</v>
      </c>
      <c r="C288" s="1" t="s">
        <v>1918</v>
      </c>
      <c r="D288" s="1" t="s">
        <v>1919</v>
      </c>
      <c r="E288" s="1" t="s">
        <v>1561</v>
      </c>
      <c r="F288" s="1" t="s">
        <v>1920</v>
      </c>
      <c r="G288" s="1" t="s">
        <v>1921</v>
      </c>
    </row>
    <row r="289" spans="1:7" x14ac:dyDescent="0.2">
      <c r="A289" s="1" t="s">
        <v>1922</v>
      </c>
      <c r="B289" s="1" t="s">
        <v>1923</v>
      </c>
      <c r="C289" s="1" t="s">
        <v>1807</v>
      </c>
      <c r="D289" s="1" t="s">
        <v>1924</v>
      </c>
      <c r="E289" s="1" t="s">
        <v>1925</v>
      </c>
      <c r="F289" s="1" t="s">
        <v>1926</v>
      </c>
      <c r="G289" s="1" t="s">
        <v>1927</v>
      </c>
    </row>
    <row r="290" spans="1:7" x14ac:dyDescent="0.2">
      <c r="A290" s="1" t="s">
        <v>1928</v>
      </c>
      <c r="B290" s="1" t="s">
        <v>1929</v>
      </c>
      <c r="C290" s="1" t="s">
        <v>1930</v>
      </c>
      <c r="D290" s="1" t="s">
        <v>1931</v>
      </c>
      <c r="E290" s="1" t="s">
        <v>1932</v>
      </c>
      <c r="F290" s="1" t="s">
        <v>1933</v>
      </c>
      <c r="G290" s="1" t="s">
        <v>1934</v>
      </c>
    </row>
    <row r="291" spans="1:7" x14ac:dyDescent="0.2">
      <c r="A291" s="1" t="s">
        <v>1935</v>
      </c>
      <c r="B291" s="1" t="s">
        <v>1936</v>
      </c>
      <c r="C291" s="1" t="s">
        <v>1937</v>
      </c>
      <c r="D291" s="1" t="s">
        <v>1938</v>
      </c>
      <c r="E291" s="1" t="s">
        <v>1939</v>
      </c>
      <c r="F291" s="1" t="s">
        <v>1940</v>
      </c>
      <c r="G291" s="1" t="s">
        <v>1941</v>
      </c>
    </row>
    <row r="292" spans="1:7" x14ac:dyDescent="0.2">
      <c r="A292" s="1" t="s">
        <v>1942</v>
      </c>
      <c r="B292" s="1" t="s">
        <v>1943</v>
      </c>
      <c r="C292" s="1" t="s">
        <v>1944</v>
      </c>
      <c r="D292" s="1" t="s">
        <v>1945</v>
      </c>
      <c r="E292" s="1" t="s">
        <v>1946</v>
      </c>
      <c r="F292" s="1" t="s">
        <v>1947</v>
      </c>
      <c r="G292" s="1" t="s">
        <v>1948</v>
      </c>
    </row>
    <row r="293" spans="1:7" x14ac:dyDescent="0.2">
      <c r="A293" s="1" t="s">
        <v>1949</v>
      </c>
      <c r="B293" s="1" t="s">
        <v>1950</v>
      </c>
      <c r="C293" s="1" t="s">
        <v>1951</v>
      </c>
      <c r="D293" s="1" t="s">
        <v>1952</v>
      </c>
      <c r="E293" s="1" t="s">
        <v>1953</v>
      </c>
      <c r="F293" s="1" t="s">
        <v>1954</v>
      </c>
      <c r="G293" s="1" t="s">
        <v>1955</v>
      </c>
    </row>
    <row r="294" spans="1:7" x14ac:dyDescent="0.2">
      <c r="A294" s="1" t="s">
        <v>1956</v>
      </c>
      <c r="B294" s="1" t="s">
        <v>1957</v>
      </c>
      <c r="C294" s="1" t="s">
        <v>1958</v>
      </c>
      <c r="D294" s="1" t="s">
        <v>1959</v>
      </c>
      <c r="E294" s="1" t="s">
        <v>1960</v>
      </c>
      <c r="F294" s="1" t="s">
        <v>1961</v>
      </c>
      <c r="G294" s="1" t="s">
        <v>1962</v>
      </c>
    </row>
    <row r="295" spans="1:7" x14ac:dyDescent="0.2">
      <c r="A295" s="1" t="s">
        <v>1963</v>
      </c>
      <c r="B295" s="1" t="s">
        <v>1964</v>
      </c>
      <c r="C295" s="1" t="s">
        <v>1518</v>
      </c>
      <c r="D295" s="1" t="s">
        <v>1965</v>
      </c>
      <c r="E295" s="1" t="s">
        <v>1966</v>
      </c>
      <c r="F295" s="1" t="s">
        <v>1967</v>
      </c>
      <c r="G295" s="1" t="s">
        <v>1968</v>
      </c>
    </row>
    <row r="296" spans="1:7" x14ac:dyDescent="0.2">
      <c r="A296" s="1" t="s">
        <v>1969</v>
      </c>
      <c r="B296" s="1" t="s">
        <v>1970</v>
      </c>
      <c r="C296" s="1" t="s">
        <v>1971</v>
      </c>
      <c r="D296" s="1" t="s">
        <v>1972</v>
      </c>
      <c r="E296" s="1" t="s">
        <v>1973</v>
      </c>
      <c r="F296" s="1" t="s">
        <v>1974</v>
      </c>
      <c r="G296" s="1" t="s">
        <v>1975</v>
      </c>
    </row>
    <row r="297" spans="1:7" x14ac:dyDescent="0.2">
      <c r="A297" s="1" t="s">
        <v>1976</v>
      </c>
      <c r="B297" s="1" t="s">
        <v>1977</v>
      </c>
      <c r="C297" s="1" t="s">
        <v>1978</v>
      </c>
      <c r="D297" s="1" t="s">
        <v>1979</v>
      </c>
      <c r="E297" s="1" t="s">
        <v>1980</v>
      </c>
      <c r="F297" s="1" t="s">
        <v>1981</v>
      </c>
      <c r="G297" s="1" t="s">
        <v>1982</v>
      </c>
    </row>
    <row r="298" spans="1:7" x14ac:dyDescent="0.2">
      <c r="A298" s="1" t="s">
        <v>1983</v>
      </c>
      <c r="B298" s="1" t="s">
        <v>1984</v>
      </c>
      <c r="C298" s="1" t="s">
        <v>1961</v>
      </c>
      <c r="D298" s="1" t="s">
        <v>1985</v>
      </c>
      <c r="E298" s="1" t="s">
        <v>1986</v>
      </c>
      <c r="F298" s="1" t="s">
        <v>1987</v>
      </c>
      <c r="G298" s="1" t="s">
        <v>1988</v>
      </c>
    </row>
    <row r="299" spans="1:7" x14ac:dyDescent="0.2">
      <c r="A299" s="1" t="s">
        <v>1989</v>
      </c>
      <c r="B299" s="1" t="s">
        <v>1990</v>
      </c>
      <c r="C299" s="1" t="s">
        <v>1991</v>
      </c>
      <c r="D299" s="1" t="s">
        <v>1582</v>
      </c>
      <c r="E299" s="1" t="s">
        <v>1992</v>
      </c>
      <c r="F299" s="1" t="s">
        <v>1993</v>
      </c>
      <c r="G299" s="1" t="s">
        <v>1994</v>
      </c>
    </row>
    <row r="300" spans="1:7" x14ac:dyDescent="0.2">
      <c r="A300" s="1" t="s">
        <v>1995</v>
      </c>
      <c r="B300" s="1" t="s">
        <v>1996</v>
      </c>
      <c r="C300" s="1" t="s">
        <v>1997</v>
      </c>
      <c r="D300" s="1" t="s">
        <v>1998</v>
      </c>
      <c r="E300" s="1" t="s">
        <v>1999</v>
      </c>
      <c r="F300" s="1" t="s">
        <v>1906</v>
      </c>
      <c r="G300" s="1" t="s">
        <v>2000</v>
      </c>
    </row>
    <row r="301" spans="1:7" x14ac:dyDescent="0.2">
      <c r="A301" s="1" t="s">
        <v>2001</v>
      </c>
      <c r="B301" s="1" t="s">
        <v>2002</v>
      </c>
      <c r="C301" s="1" t="s">
        <v>2003</v>
      </c>
      <c r="D301" s="1" t="s">
        <v>1869</v>
      </c>
      <c r="E301" s="1" t="s">
        <v>2004</v>
      </c>
      <c r="F301" s="1" t="s">
        <v>2005</v>
      </c>
      <c r="G301" s="1" t="s">
        <v>2006</v>
      </c>
    </row>
    <row r="302" spans="1:7" x14ac:dyDescent="0.2">
      <c r="A302" s="1" t="s">
        <v>2007</v>
      </c>
      <c r="B302" s="1" t="s">
        <v>2008</v>
      </c>
      <c r="C302" s="1" t="s">
        <v>2009</v>
      </c>
      <c r="D302" s="1" t="s">
        <v>2010</v>
      </c>
      <c r="E302" s="1" t="s">
        <v>2011</v>
      </c>
      <c r="F302" s="1" t="s">
        <v>2012</v>
      </c>
      <c r="G302" s="1" t="s">
        <v>2013</v>
      </c>
    </row>
    <row r="303" spans="1:7" x14ac:dyDescent="0.2">
      <c r="A303" s="1" t="s">
        <v>2014</v>
      </c>
      <c r="B303" s="1" t="s">
        <v>2015</v>
      </c>
      <c r="C303" s="1" t="s">
        <v>2016</v>
      </c>
      <c r="D303" s="1" t="s">
        <v>2017</v>
      </c>
      <c r="E303" s="1" t="s">
        <v>1937</v>
      </c>
      <c r="F303" s="1" t="s">
        <v>2018</v>
      </c>
      <c r="G303" s="1" t="s">
        <v>2019</v>
      </c>
    </row>
    <row r="304" spans="1:7" x14ac:dyDescent="0.2">
      <c r="A304" s="1" t="s">
        <v>2020</v>
      </c>
      <c r="B304" s="1" t="s">
        <v>2021</v>
      </c>
      <c r="C304" s="1" t="s">
        <v>2022</v>
      </c>
      <c r="D304" s="1" t="s">
        <v>2023</v>
      </c>
      <c r="E304" s="1" t="s">
        <v>2024</v>
      </c>
      <c r="F304" s="1" t="s">
        <v>2025</v>
      </c>
      <c r="G304" s="1" t="s">
        <v>2026</v>
      </c>
    </row>
    <row r="305" spans="1:7" x14ac:dyDescent="0.2">
      <c r="A305" s="1" t="s">
        <v>2027</v>
      </c>
      <c r="B305" s="1" t="s">
        <v>2028</v>
      </c>
      <c r="C305" s="1" t="s">
        <v>2029</v>
      </c>
      <c r="D305" s="1" t="s">
        <v>2030</v>
      </c>
      <c r="E305" s="1" t="s">
        <v>2031</v>
      </c>
      <c r="F305" s="1" t="s">
        <v>2032</v>
      </c>
      <c r="G305" s="1" t="s">
        <v>2033</v>
      </c>
    </row>
    <row r="306" spans="1:7" x14ac:dyDescent="0.2">
      <c r="A306" s="1" t="s">
        <v>2034</v>
      </c>
      <c r="B306" s="1" t="s">
        <v>2035</v>
      </c>
      <c r="C306" s="1" t="s">
        <v>2036</v>
      </c>
      <c r="D306" s="1" t="s">
        <v>2037</v>
      </c>
      <c r="E306" s="1" t="s">
        <v>2038</v>
      </c>
      <c r="F306" s="1" t="s">
        <v>2039</v>
      </c>
      <c r="G306" s="1" t="s">
        <v>2040</v>
      </c>
    </row>
    <row r="307" spans="1:7" x14ac:dyDescent="0.2">
      <c r="A307" s="1" t="s">
        <v>2041</v>
      </c>
      <c r="B307" s="1" t="s">
        <v>2042</v>
      </c>
      <c r="C307" s="1" t="s">
        <v>2043</v>
      </c>
      <c r="D307" s="1" t="s">
        <v>2044</v>
      </c>
      <c r="E307" s="1" t="s">
        <v>2045</v>
      </c>
      <c r="F307" s="1" t="s">
        <v>2046</v>
      </c>
      <c r="G307" s="1" t="s">
        <v>2047</v>
      </c>
    </row>
    <row r="308" spans="1:7" x14ac:dyDescent="0.2">
      <c r="A308" s="1" t="s">
        <v>2048</v>
      </c>
      <c r="B308" s="1" t="s">
        <v>2049</v>
      </c>
      <c r="C308" s="1" t="s">
        <v>2050</v>
      </c>
      <c r="D308" s="1" t="s">
        <v>2051</v>
      </c>
      <c r="E308" s="1" t="s">
        <v>2052</v>
      </c>
      <c r="F308" s="1" t="s">
        <v>2053</v>
      </c>
      <c r="G308" s="1" t="s">
        <v>2054</v>
      </c>
    </row>
    <row r="309" spans="1:7" x14ac:dyDescent="0.2">
      <c r="A309" s="1" t="s">
        <v>2055</v>
      </c>
      <c r="B309" s="1" t="s">
        <v>2056</v>
      </c>
      <c r="C309" s="1" t="s">
        <v>2057</v>
      </c>
      <c r="D309" s="1" t="s">
        <v>2058</v>
      </c>
      <c r="E309" s="1" t="s">
        <v>2059</v>
      </c>
      <c r="F309" s="1" t="s">
        <v>2060</v>
      </c>
      <c r="G309" s="1" t="s">
        <v>2061</v>
      </c>
    </row>
    <row r="310" spans="1:7" x14ac:dyDescent="0.2">
      <c r="A310" s="1" t="s">
        <v>2062</v>
      </c>
      <c r="B310" s="1" t="s">
        <v>2063</v>
      </c>
      <c r="C310" s="1" t="s">
        <v>2064</v>
      </c>
      <c r="D310" s="1" t="s">
        <v>2065</v>
      </c>
      <c r="E310" s="1" t="s">
        <v>2066</v>
      </c>
      <c r="F310" s="1" t="s">
        <v>2067</v>
      </c>
      <c r="G310" s="1" t="s">
        <v>2068</v>
      </c>
    </row>
    <row r="311" spans="1:7" x14ac:dyDescent="0.2">
      <c r="A311" s="1" t="s">
        <v>2069</v>
      </c>
      <c r="B311" s="1" t="s">
        <v>2070</v>
      </c>
      <c r="C311" s="1" t="s">
        <v>2051</v>
      </c>
      <c r="D311" s="1" t="s">
        <v>2071</v>
      </c>
      <c r="E311" s="1" t="s">
        <v>2072</v>
      </c>
      <c r="F311" s="1" t="s">
        <v>2073</v>
      </c>
      <c r="G311" s="1" t="s">
        <v>2074</v>
      </c>
    </row>
    <row r="312" spans="1:7" x14ac:dyDescent="0.2">
      <c r="A312" s="1" t="s">
        <v>2075</v>
      </c>
      <c r="B312" s="1" t="s">
        <v>2076</v>
      </c>
      <c r="C312" s="1" t="s">
        <v>2077</v>
      </c>
      <c r="D312" s="1" t="s">
        <v>2078</v>
      </c>
      <c r="E312" s="1" t="s">
        <v>2079</v>
      </c>
      <c r="F312" s="1" t="s">
        <v>2080</v>
      </c>
      <c r="G312" s="1" t="s">
        <v>2081</v>
      </c>
    </row>
    <row r="313" spans="1:7" x14ac:dyDescent="0.2">
      <c r="A313" s="1" t="s">
        <v>2082</v>
      </c>
      <c r="B313" s="1" t="s">
        <v>2083</v>
      </c>
      <c r="C313" s="1" t="s">
        <v>2084</v>
      </c>
      <c r="D313" s="1" t="s">
        <v>2085</v>
      </c>
      <c r="E313" s="1" t="s">
        <v>2086</v>
      </c>
      <c r="F313" s="1" t="s">
        <v>2087</v>
      </c>
      <c r="G313" s="1" t="s">
        <v>2088</v>
      </c>
    </row>
    <row r="314" spans="1:7" x14ac:dyDescent="0.2">
      <c r="A314" s="1" t="s">
        <v>2089</v>
      </c>
      <c r="B314" s="1" t="s">
        <v>2090</v>
      </c>
      <c r="C314" s="1" t="s">
        <v>2091</v>
      </c>
      <c r="D314" s="1" t="s">
        <v>2092</v>
      </c>
      <c r="E314" s="1" t="s">
        <v>2093</v>
      </c>
      <c r="F314" s="1" t="s">
        <v>2094</v>
      </c>
      <c r="G314" s="1" t="s">
        <v>2095</v>
      </c>
    </row>
    <row r="315" spans="1:7" x14ac:dyDescent="0.2">
      <c r="A315" s="1" t="s">
        <v>2096</v>
      </c>
      <c r="B315" s="1" t="s">
        <v>2097</v>
      </c>
      <c r="C315" s="1" t="s">
        <v>2098</v>
      </c>
      <c r="D315" s="1" t="s">
        <v>2099</v>
      </c>
      <c r="E315" s="1" t="s">
        <v>2100</v>
      </c>
      <c r="F315" s="1" t="s">
        <v>2101</v>
      </c>
      <c r="G315" s="1" t="s">
        <v>2102</v>
      </c>
    </row>
    <row r="316" spans="1:7" x14ac:dyDescent="0.2">
      <c r="A316" s="1" t="s">
        <v>2103</v>
      </c>
      <c r="B316" s="1" t="s">
        <v>2104</v>
      </c>
      <c r="C316" s="1" t="s">
        <v>2105</v>
      </c>
      <c r="D316" s="1" t="s">
        <v>2106</v>
      </c>
      <c r="E316" s="1" t="s">
        <v>2107</v>
      </c>
      <c r="F316" s="1" t="s">
        <v>2108</v>
      </c>
      <c r="G316" s="1" t="s">
        <v>2109</v>
      </c>
    </row>
    <row r="317" spans="1:7" x14ac:dyDescent="0.2">
      <c r="A317" s="1" t="s">
        <v>2110</v>
      </c>
      <c r="B317" s="1" t="s">
        <v>2111</v>
      </c>
      <c r="C317" s="1" t="s">
        <v>2112</v>
      </c>
      <c r="D317" s="1" t="s">
        <v>2113</v>
      </c>
      <c r="E317" s="1" t="s">
        <v>2114</v>
      </c>
      <c r="F317" s="1" t="s">
        <v>2115</v>
      </c>
      <c r="G317" s="1" t="s">
        <v>2116</v>
      </c>
    </row>
    <row r="318" spans="1:7" x14ac:dyDescent="0.2">
      <c r="A318" s="1" t="s">
        <v>2117</v>
      </c>
      <c r="B318" s="1" t="s">
        <v>2118</v>
      </c>
      <c r="C318" s="1" t="s">
        <v>2119</v>
      </c>
      <c r="D318" s="1" t="s">
        <v>2120</v>
      </c>
      <c r="E318" s="1" t="s">
        <v>2121</v>
      </c>
      <c r="F318" s="1" t="s">
        <v>2122</v>
      </c>
      <c r="G318" s="1" t="s">
        <v>2123</v>
      </c>
    </row>
    <row r="319" spans="1:7" x14ac:dyDescent="0.2">
      <c r="A319" s="1" t="s">
        <v>2124</v>
      </c>
      <c r="B319" s="1" t="s">
        <v>2125</v>
      </c>
      <c r="C319" s="1" t="s">
        <v>2126</v>
      </c>
      <c r="D319" s="1" t="s">
        <v>2127</v>
      </c>
      <c r="E319" s="1" t="s">
        <v>2071</v>
      </c>
      <c r="F319" s="1" t="s">
        <v>2065</v>
      </c>
      <c r="G319" s="1" t="s">
        <v>2128</v>
      </c>
    </row>
    <row r="320" spans="1:7" x14ac:dyDescent="0.2">
      <c r="A320" s="1" t="s">
        <v>2129</v>
      </c>
      <c r="B320" s="1" t="s">
        <v>2130</v>
      </c>
      <c r="C320" s="1" t="s">
        <v>2131</v>
      </c>
      <c r="D320" s="1" t="s">
        <v>2132</v>
      </c>
      <c r="E320" s="1" t="s">
        <v>2133</v>
      </c>
      <c r="F320" s="1" t="s">
        <v>2134</v>
      </c>
      <c r="G320" s="1" t="s">
        <v>2135</v>
      </c>
    </row>
    <row r="321" spans="1:7" x14ac:dyDescent="0.2">
      <c r="A321" s="1" t="s">
        <v>2136</v>
      </c>
      <c r="B321" s="1" t="s">
        <v>2137</v>
      </c>
      <c r="C321" s="1" t="s">
        <v>2138</v>
      </c>
      <c r="D321" s="1" t="s">
        <v>2139</v>
      </c>
      <c r="E321" s="1" t="s">
        <v>2140</v>
      </c>
      <c r="F321" s="1" t="s">
        <v>2141</v>
      </c>
      <c r="G321" s="1" t="s">
        <v>2142</v>
      </c>
    </row>
    <row r="322" spans="1:7" x14ac:dyDescent="0.2">
      <c r="A322" s="1" t="s">
        <v>2143</v>
      </c>
      <c r="B322" s="1" t="s">
        <v>2144</v>
      </c>
      <c r="C322" s="1" t="s">
        <v>2145</v>
      </c>
      <c r="D322" s="1" t="s">
        <v>2146</v>
      </c>
      <c r="E322" s="1" t="s">
        <v>2147</v>
      </c>
      <c r="F322" s="1" t="s">
        <v>2148</v>
      </c>
      <c r="G322" s="1" t="s">
        <v>2149</v>
      </c>
    </row>
    <row r="323" spans="1:7" x14ac:dyDescent="0.2">
      <c r="A323" s="1" t="s">
        <v>2150</v>
      </c>
      <c r="B323" s="1" t="s">
        <v>2151</v>
      </c>
      <c r="C323" s="1" t="s">
        <v>2152</v>
      </c>
      <c r="D323" s="1" t="s">
        <v>2153</v>
      </c>
      <c r="E323" s="1" t="s">
        <v>2154</v>
      </c>
      <c r="F323" s="1" t="s">
        <v>2155</v>
      </c>
      <c r="G323" s="1" t="s">
        <v>2156</v>
      </c>
    </row>
    <row r="324" spans="1:7" x14ac:dyDescent="0.2">
      <c r="A324" s="1" t="s">
        <v>2157</v>
      </c>
      <c r="B324" s="1" t="s">
        <v>2158</v>
      </c>
      <c r="C324" s="1" t="s">
        <v>2159</v>
      </c>
      <c r="D324" s="1" t="s">
        <v>2160</v>
      </c>
      <c r="E324" s="1" t="s">
        <v>2161</v>
      </c>
      <c r="F324" s="1" t="s">
        <v>2162</v>
      </c>
      <c r="G324" s="1" t="s">
        <v>2163</v>
      </c>
    </row>
    <row r="325" spans="1:7" x14ac:dyDescent="0.2">
      <c r="A325" s="1" t="s">
        <v>2164</v>
      </c>
      <c r="B325" s="1" t="s">
        <v>2165</v>
      </c>
      <c r="C325" s="1" t="s">
        <v>2166</v>
      </c>
      <c r="D325" s="1" t="s">
        <v>2167</v>
      </c>
      <c r="E325" s="1" t="s">
        <v>2168</v>
      </c>
      <c r="F325" s="1" t="s">
        <v>2169</v>
      </c>
      <c r="G325" s="1" t="s">
        <v>2170</v>
      </c>
    </row>
    <row r="326" spans="1:7" x14ac:dyDescent="0.2">
      <c r="A326" s="1" t="s">
        <v>2171</v>
      </c>
      <c r="B326" s="1" t="s">
        <v>2172</v>
      </c>
      <c r="C326" s="1" t="s">
        <v>2173</v>
      </c>
      <c r="D326" s="1" t="s">
        <v>2174</v>
      </c>
      <c r="E326" s="1" t="s">
        <v>2175</v>
      </c>
      <c r="F326" s="1" t="s">
        <v>2176</v>
      </c>
      <c r="G326" s="1" t="s">
        <v>2177</v>
      </c>
    </row>
    <row r="327" spans="1:7" x14ac:dyDescent="0.2">
      <c r="A327" s="1" t="s">
        <v>2178</v>
      </c>
      <c r="B327" s="1" t="s">
        <v>2179</v>
      </c>
      <c r="C327" s="1" t="s">
        <v>2180</v>
      </c>
      <c r="D327" s="1" t="s">
        <v>2181</v>
      </c>
      <c r="E327" s="1" t="s">
        <v>2182</v>
      </c>
      <c r="F327" s="1" t="s">
        <v>2183</v>
      </c>
      <c r="G327" s="1" t="s">
        <v>2184</v>
      </c>
    </row>
    <row r="328" spans="1:7" x14ac:dyDescent="0.2">
      <c r="A328" s="1" t="s">
        <v>2185</v>
      </c>
      <c r="B328" s="1" t="s">
        <v>2186</v>
      </c>
      <c r="C328" s="1" t="s">
        <v>2187</v>
      </c>
      <c r="D328" s="1" t="s">
        <v>2188</v>
      </c>
      <c r="E328" s="1" t="s">
        <v>2189</v>
      </c>
      <c r="F328" s="1" t="s">
        <v>2190</v>
      </c>
      <c r="G328" s="1" t="s">
        <v>2191</v>
      </c>
    </row>
    <row r="329" spans="1:7" x14ac:dyDescent="0.2">
      <c r="A329" s="1" t="s">
        <v>2192</v>
      </c>
      <c r="B329" s="1" t="s">
        <v>2193</v>
      </c>
      <c r="C329" s="1" t="s">
        <v>2194</v>
      </c>
      <c r="D329" s="1" t="s">
        <v>2195</v>
      </c>
      <c r="E329" s="1" t="s">
        <v>2196</v>
      </c>
      <c r="F329" s="1" t="s">
        <v>2197</v>
      </c>
      <c r="G329" s="1" t="s">
        <v>2198</v>
      </c>
    </row>
    <row r="330" spans="1:7" x14ac:dyDescent="0.2">
      <c r="A330" s="1" t="s">
        <v>2199</v>
      </c>
      <c r="B330" s="1" t="s">
        <v>2200</v>
      </c>
      <c r="C330" s="1" t="s">
        <v>2201</v>
      </c>
      <c r="D330" s="1" t="s">
        <v>2202</v>
      </c>
      <c r="E330" s="1" t="s">
        <v>2203</v>
      </c>
      <c r="F330" s="1" t="s">
        <v>2154</v>
      </c>
      <c r="G330" s="1" t="s">
        <v>2204</v>
      </c>
    </row>
    <row r="331" spans="1:7" x14ac:dyDescent="0.2">
      <c r="A331" s="1" t="s">
        <v>2205</v>
      </c>
      <c r="B331" s="1" t="s">
        <v>2206</v>
      </c>
      <c r="C331" s="1" t="s">
        <v>2207</v>
      </c>
      <c r="D331" s="1" t="s">
        <v>2208</v>
      </c>
      <c r="E331" s="1" t="s">
        <v>2209</v>
      </c>
      <c r="F331" s="1" t="s">
        <v>2210</v>
      </c>
      <c r="G331" s="1" t="s">
        <v>2211</v>
      </c>
    </row>
    <row r="332" spans="1:7" x14ac:dyDescent="0.2">
      <c r="A332" s="1" t="s">
        <v>2212</v>
      </c>
      <c r="B332" s="1" t="s">
        <v>2213</v>
      </c>
      <c r="C332" s="1" t="s">
        <v>2214</v>
      </c>
      <c r="D332" s="1" t="s">
        <v>2215</v>
      </c>
      <c r="E332" s="1" t="s">
        <v>2216</v>
      </c>
      <c r="F332" s="1" t="s">
        <v>2217</v>
      </c>
      <c r="G332" s="1" t="s">
        <v>2218</v>
      </c>
    </row>
    <row r="333" spans="1:7" x14ac:dyDescent="0.2">
      <c r="A333" s="1" t="s">
        <v>2219</v>
      </c>
      <c r="B333" s="1" t="s">
        <v>2220</v>
      </c>
      <c r="C333" s="1" t="s">
        <v>2221</v>
      </c>
      <c r="D333" s="1" t="s">
        <v>2222</v>
      </c>
      <c r="E333" s="1" t="s">
        <v>2223</v>
      </c>
      <c r="F333" s="1" t="s">
        <v>2224</v>
      </c>
      <c r="G333" s="1" t="s">
        <v>2225</v>
      </c>
    </row>
    <row r="334" spans="1:7" x14ac:dyDescent="0.2">
      <c r="A334" s="1" t="s">
        <v>2226</v>
      </c>
      <c r="B334" s="1" t="s">
        <v>2227</v>
      </c>
      <c r="C334" s="1" t="s">
        <v>2228</v>
      </c>
      <c r="D334" s="1" t="s">
        <v>2229</v>
      </c>
      <c r="E334" s="1" t="s">
        <v>2230</v>
      </c>
      <c r="F334" s="1" t="s">
        <v>2168</v>
      </c>
      <c r="G334" s="1" t="s">
        <v>2231</v>
      </c>
    </row>
    <row r="335" spans="1:7" x14ac:dyDescent="0.2">
      <c r="A335" s="1" t="s">
        <v>2232</v>
      </c>
      <c r="B335" s="1" t="s">
        <v>2233</v>
      </c>
      <c r="C335" s="1" t="s">
        <v>2234</v>
      </c>
      <c r="D335" s="1" t="s">
        <v>2235</v>
      </c>
      <c r="E335" s="1" t="s">
        <v>2236</v>
      </c>
      <c r="F335" s="1" t="s">
        <v>2237</v>
      </c>
      <c r="G335" s="1" t="s">
        <v>2238</v>
      </c>
    </row>
    <row r="336" spans="1:7" x14ac:dyDescent="0.2">
      <c r="A336" s="1" t="s">
        <v>2239</v>
      </c>
      <c r="B336" s="1" t="s">
        <v>2240</v>
      </c>
      <c r="C336" s="1" t="s">
        <v>2241</v>
      </c>
      <c r="D336" s="1" t="s">
        <v>2242</v>
      </c>
      <c r="E336" s="1" t="s">
        <v>2243</v>
      </c>
      <c r="F336" s="1" t="s">
        <v>2244</v>
      </c>
      <c r="G336" s="1" t="s">
        <v>2245</v>
      </c>
    </row>
    <row r="337" spans="1:7" x14ac:dyDescent="0.2">
      <c r="A337" s="1" t="s">
        <v>2246</v>
      </c>
      <c r="B337" s="1" t="s">
        <v>2247</v>
      </c>
      <c r="C337" s="1" t="s">
        <v>2248</v>
      </c>
      <c r="D337" s="1" t="s">
        <v>2249</v>
      </c>
      <c r="E337" s="1" t="s">
        <v>2250</v>
      </c>
      <c r="F337" s="1" t="s">
        <v>2251</v>
      </c>
      <c r="G337" s="1" t="s">
        <v>2252</v>
      </c>
    </row>
    <row r="338" spans="1:7" x14ac:dyDescent="0.2">
      <c r="A338" s="1" t="s">
        <v>2253</v>
      </c>
      <c r="B338" s="1" t="s">
        <v>2254</v>
      </c>
      <c r="C338" s="1" t="s">
        <v>2255</v>
      </c>
      <c r="D338" s="1" t="s">
        <v>2256</v>
      </c>
      <c r="E338" s="1" t="s">
        <v>2257</v>
      </c>
      <c r="F338" s="1" t="s">
        <v>2258</v>
      </c>
      <c r="G338" s="1" t="s">
        <v>2259</v>
      </c>
    </row>
    <row r="339" spans="1:7" x14ac:dyDescent="0.2">
      <c r="A339" s="1" t="s">
        <v>2260</v>
      </c>
      <c r="B339" s="1" t="s">
        <v>2261</v>
      </c>
      <c r="C339" s="1" t="s">
        <v>2262</v>
      </c>
      <c r="D339" s="1" t="s">
        <v>2263</v>
      </c>
      <c r="E339" s="1" t="s">
        <v>2264</v>
      </c>
      <c r="F339" s="1" t="s">
        <v>2265</v>
      </c>
      <c r="G339" s="1" t="s">
        <v>2266</v>
      </c>
    </row>
    <row r="340" spans="1:7" x14ac:dyDescent="0.2">
      <c r="A340" s="1" t="s">
        <v>2267</v>
      </c>
      <c r="B340" s="1" t="s">
        <v>2268</v>
      </c>
      <c r="C340" s="1" t="s">
        <v>2269</v>
      </c>
      <c r="D340" s="1" t="s">
        <v>2270</v>
      </c>
      <c r="E340" s="1" t="s">
        <v>2271</v>
      </c>
      <c r="F340" s="1" t="s">
        <v>2272</v>
      </c>
      <c r="G340" s="1" t="s">
        <v>2273</v>
      </c>
    </row>
    <row r="341" spans="1:7" x14ac:dyDescent="0.2">
      <c r="A341" s="1" t="s">
        <v>2274</v>
      </c>
      <c r="B341" s="1" t="s">
        <v>2275</v>
      </c>
      <c r="C341" s="1" t="s">
        <v>2276</v>
      </c>
      <c r="D341" s="1" t="s">
        <v>2277</v>
      </c>
      <c r="E341" s="1" t="s">
        <v>2278</v>
      </c>
      <c r="F341" s="1" t="s">
        <v>2243</v>
      </c>
      <c r="G341" s="1" t="s">
        <v>2279</v>
      </c>
    </row>
    <row r="342" spans="1:7" x14ac:dyDescent="0.2">
      <c r="A342" s="1" t="s">
        <v>2280</v>
      </c>
      <c r="B342" s="1" t="s">
        <v>2281</v>
      </c>
      <c r="C342" s="1" t="s">
        <v>2282</v>
      </c>
      <c r="D342" s="1" t="s">
        <v>2094</v>
      </c>
      <c r="E342" s="1" t="s">
        <v>2283</v>
      </c>
      <c r="F342" s="1" t="s">
        <v>2094</v>
      </c>
      <c r="G342" s="1" t="s">
        <v>2284</v>
      </c>
    </row>
    <row r="343" spans="1:7" x14ac:dyDescent="0.2">
      <c r="A343" s="1" t="s">
        <v>2285</v>
      </c>
      <c r="B343" s="1" t="s">
        <v>2286</v>
      </c>
      <c r="C343" s="1" t="s">
        <v>2287</v>
      </c>
      <c r="D343" s="1" t="s">
        <v>2288</v>
      </c>
      <c r="E343" s="1" t="s">
        <v>2289</v>
      </c>
      <c r="F343" s="1" t="s">
        <v>2290</v>
      </c>
      <c r="G343" s="1" t="s">
        <v>2291</v>
      </c>
    </row>
    <row r="344" spans="1:7" x14ac:dyDescent="0.2">
      <c r="A344" s="1" t="s">
        <v>2292</v>
      </c>
      <c r="B344" s="1" t="s">
        <v>2293</v>
      </c>
      <c r="C344" s="1" t="s">
        <v>2294</v>
      </c>
      <c r="D344" s="1" t="s">
        <v>2037</v>
      </c>
      <c r="E344" s="1" t="s">
        <v>2295</v>
      </c>
      <c r="F344" s="1" t="s">
        <v>2296</v>
      </c>
      <c r="G344" s="1" t="s">
        <v>2297</v>
      </c>
    </row>
    <row r="345" spans="1:7" x14ac:dyDescent="0.2">
      <c r="A345" s="1" t="s">
        <v>2298</v>
      </c>
      <c r="B345" s="1" t="s">
        <v>2299</v>
      </c>
      <c r="C345" s="1" t="s">
        <v>2300</v>
      </c>
      <c r="D345" s="1" t="s">
        <v>2301</v>
      </c>
      <c r="E345" s="1" t="s">
        <v>2302</v>
      </c>
      <c r="F345" s="1" t="s">
        <v>2043</v>
      </c>
      <c r="G345" s="1" t="s">
        <v>2303</v>
      </c>
    </row>
    <row r="346" spans="1:7" x14ac:dyDescent="0.2">
      <c r="A346" s="1" t="s">
        <v>2304</v>
      </c>
      <c r="B346" s="1" t="s">
        <v>2305</v>
      </c>
      <c r="C346" s="1" t="s">
        <v>2306</v>
      </c>
      <c r="D346" s="1" t="s">
        <v>1503</v>
      </c>
      <c r="E346" s="1" t="s">
        <v>2307</v>
      </c>
      <c r="F346" s="1" t="s">
        <v>2308</v>
      </c>
      <c r="G346" s="1" t="s">
        <v>2309</v>
      </c>
    </row>
    <row r="347" spans="1:7" x14ac:dyDescent="0.2">
      <c r="A347" s="1" t="s">
        <v>2310</v>
      </c>
      <c r="B347" s="1" t="s">
        <v>2311</v>
      </c>
      <c r="C347" s="1" t="s">
        <v>2312</v>
      </c>
      <c r="D347" s="1" t="s">
        <v>2313</v>
      </c>
      <c r="E347" s="1" t="s">
        <v>1588</v>
      </c>
      <c r="F347" s="1" t="s">
        <v>1931</v>
      </c>
      <c r="G347" s="1" t="s">
        <v>2314</v>
      </c>
    </row>
    <row r="348" spans="1:7" x14ac:dyDescent="0.2">
      <c r="A348" s="1" t="s">
        <v>2315</v>
      </c>
      <c r="B348" s="1" t="s">
        <v>2316</v>
      </c>
      <c r="C348" s="1" t="s">
        <v>2317</v>
      </c>
      <c r="D348" s="1" t="s">
        <v>2318</v>
      </c>
      <c r="E348" s="1" t="s">
        <v>2319</v>
      </c>
      <c r="F348" s="1" t="s">
        <v>2320</v>
      </c>
      <c r="G348" s="1" t="s">
        <v>2321</v>
      </c>
    </row>
    <row r="349" spans="1:7" x14ac:dyDescent="0.2">
      <c r="A349" s="1" t="s">
        <v>2322</v>
      </c>
      <c r="B349" s="1" t="s">
        <v>2323</v>
      </c>
      <c r="C349" s="1" t="s">
        <v>2324</v>
      </c>
      <c r="D349" s="1" t="s">
        <v>2325</v>
      </c>
      <c r="E349" s="1" t="s">
        <v>2326</v>
      </c>
      <c r="F349" s="1" t="s">
        <v>2327</v>
      </c>
      <c r="G349" s="1" t="s">
        <v>2328</v>
      </c>
    </row>
    <row r="350" spans="1:7" x14ac:dyDescent="0.2">
      <c r="A350" s="1" t="s">
        <v>2329</v>
      </c>
      <c r="B350" s="1" t="s">
        <v>2330</v>
      </c>
      <c r="C350" s="1" t="s">
        <v>2331</v>
      </c>
      <c r="D350" s="1" t="s">
        <v>2332</v>
      </c>
      <c r="E350" s="1" t="s">
        <v>2333</v>
      </c>
      <c r="F350" s="1" t="s">
        <v>1954</v>
      </c>
      <c r="G350" s="1" t="s">
        <v>2334</v>
      </c>
    </row>
    <row r="351" spans="1:7" x14ac:dyDescent="0.2">
      <c r="A351" s="1" t="s">
        <v>2335</v>
      </c>
      <c r="B351" s="1" t="s">
        <v>2336</v>
      </c>
      <c r="C351" s="1" t="s">
        <v>2337</v>
      </c>
      <c r="D351" s="1" t="s">
        <v>2338</v>
      </c>
      <c r="E351" s="1" t="s">
        <v>2339</v>
      </c>
      <c r="F351" s="1" t="s">
        <v>2340</v>
      </c>
      <c r="G351" s="1" t="s">
        <v>2341</v>
      </c>
    </row>
    <row r="352" spans="1:7" x14ac:dyDescent="0.2">
      <c r="A352" s="1" t="s">
        <v>2342</v>
      </c>
      <c r="B352" s="1" t="s">
        <v>2343</v>
      </c>
      <c r="C352" s="1" t="s">
        <v>2344</v>
      </c>
      <c r="D352" s="1" t="s">
        <v>2345</v>
      </c>
      <c r="E352" s="1" t="s">
        <v>2346</v>
      </c>
      <c r="F352" s="1" t="s">
        <v>2347</v>
      </c>
      <c r="G352" s="1" t="s">
        <v>2348</v>
      </c>
    </row>
    <row r="353" spans="1:7" x14ac:dyDescent="0.2">
      <c r="A353" s="1" t="s">
        <v>2349</v>
      </c>
      <c r="B353" s="1" t="s">
        <v>2350</v>
      </c>
      <c r="C353" s="1" t="s">
        <v>2351</v>
      </c>
      <c r="D353" s="1" t="s">
        <v>2352</v>
      </c>
      <c r="E353" s="1" t="s">
        <v>1768</v>
      </c>
      <c r="F353" s="1" t="s">
        <v>2353</v>
      </c>
      <c r="G353" s="1" t="s">
        <v>2354</v>
      </c>
    </row>
    <row r="354" spans="1:7" x14ac:dyDescent="0.2">
      <c r="A354" s="1" t="s">
        <v>2355</v>
      </c>
      <c r="B354" s="1" t="s">
        <v>2356</v>
      </c>
      <c r="C354" s="1" t="s">
        <v>2357</v>
      </c>
      <c r="D354" s="1" t="s">
        <v>2011</v>
      </c>
      <c r="E354" s="1" t="s">
        <v>2358</v>
      </c>
      <c r="F354" s="1" t="s">
        <v>2011</v>
      </c>
      <c r="G354" s="1" t="s">
        <v>2359</v>
      </c>
    </row>
    <row r="355" spans="1:7" x14ac:dyDescent="0.2">
      <c r="A355" s="1" t="s">
        <v>2360</v>
      </c>
      <c r="B355" s="1" t="s">
        <v>2361</v>
      </c>
      <c r="C355" s="1" t="s">
        <v>2362</v>
      </c>
      <c r="D355" s="1" t="s">
        <v>2363</v>
      </c>
      <c r="E355" s="1" t="s">
        <v>2364</v>
      </c>
      <c r="F355" s="1" t="s">
        <v>2365</v>
      </c>
      <c r="G355" s="1" t="s">
        <v>2366</v>
      </c>
    </row>
    <row r="356" spans="1:7" x14ac:dyDescent="0.2">
      <c r="A356" s="1" t="s">
        <v>2367</v>
      </c>
      <c r="B356" s="1" t="s">
        <v>2368</v>
      </c>
      <c r="C356" s="1" t="s">
        <v>2369</v>
      </c>
      <c r="D356" s="1" t="s">
        <v>2370</v>
      </c>
      <c r="E356" s="1" t="s">
        <v>2371</v>
      </c>
      <c r="F356" s="1" t="s">
        <v>2372</v>
      </c>
      <c r="G356" s="1" t="s">
        <v>2373</v>
      </c>
    </row>
    <row r="357" spans="1:7" x14ac:dyDescent="0.2">
      <c r="A357" s="1" t="s">
        <v>2374</v>
      </c>
      <c r="B357" s="1" t="s">
        <v>2375</v>
      </c>
      <c r="C357" s="1" t="s">
        <v>2376</v>
      </c>
      <c r="D357" s="1" t="s">
        <v>2377</v>
      </c>
      <c r="E357" s="1" t="s">
        <v>2378</v>
      </c>
      <c r="F357" s="1" t="s">
        <v>2379</v>
      </c>
      <c r="G357" s="1" t="s">
        <v>2380</v>
      </c>
    </row>
    <row r="358" spans="1:7" x14ac:dyDescent="0.2">
      <c r="A358" s="1" t="s">
        <v>2381</v>
      </c>
      <c r="B358" s="1" t="s">
        <v>2382</v>
      </c>
      <c r="C358" s="1" t="s">
        <v>2383</v>
      </c>
      <c r="D358" s="1" t="s">
        <v>2384</v>
      </c>
      <c r="E358" s="1" t="s">
        <v>2385</v>
      </c>
      <c r="F358" s="1" t="s">
        <v>2386</v>
      </c>
      <c r="G358" s="1" t="s">
        <v>2387</v>
      </c>
    </row>
    <row r="359" spans="1:7" x14ac:dyDescent="0.2">
      <c r="A359" s="1" t="s">
        <v>2388</v>
      </c>
      <c r="B359" s="1" t="s">
        <v>2389</v>
      </c>
      <c r="C359" s="1" t="s">
        <v>2390</v>
      </c>
      <c r="D359" s="1" t="s">
        <v>2391</v>
      </c>
      <c r="E359" s="1" t="s">
        <v>2392</v>
      </c>
      <c r="F359" s="1" t="s">
        <v>2393</v>
      </c>
      <c r="G359" s="1" t="s">
        <v>2394</v>
      </c>
    </row>
    <row r="360" spans="1:7" x14ac:dyDescent="0.2">
      <c r="A360" s="1" t="s">
        <v>2395</v>
      </c>
      <c r="B360" s="1" t="s">
        <v>2396</v>
      </c>
      <c r="C360" s="1" t="s">
        <v>2397</v>
      </c>
      <c r="D360" s="1" t="s">
        <v>2398</v>
      </c>
      <c r="E360" s="1" t="s">
        <v>2399</v>
      </c>
      <c r="F360" s="1" t="s">
        <v>2400</v>
      </c>
      <c r="G360" s="1" t="s">
        <v>2401</v>
      </c>
    </row>
    <row r="361" spans="1:7" x14ac:dyDescent="0.2">
      <c r="A361" s="1" t="s">
        <v>2402</v>
      </c>
      <c r="B361" s="1" t="s">
        <v>2403</v>
      </c>
      <c r="C361" s="1" t="s">
        <v>2404</v>
      </c>
      <c r="D361" s="1" t="s">
        <v>1753</v>
      </c>
      <c r="E361" s="1" t="s">
        <v>2405</v>
      </c>
      <c r="F361" s="1" t="s">
        <v>2406</v>
      </c>
      <c r="G361" s="1" t="s">
        <v>2407</v>
      </c>
    </row>
    <row r="362" spans="1:7" x14ac:dyDescent="0.2">
      <c r="A362" s="1" t="s">
        <v>2408</v>
      </c>
      <c r="B362" s="1" t="s">
        <v>2409</v>
      </c>
      <c r="C362" s="1" t="s">
        <v>2410</v>
      </c>
      <c r="D362" s="1" t="s">
        <v>2411</v>
      </c>
      <c r="E362" s="1" t="s">
        <v>2412</v>
      </c>
      <c r="F362" s="1" t="s">
        <v>2413</v>
      </c>
      <c r="G362" s="1" t="s">
        <v>2414</v>
      </c>
    </row>
    <row r="363" spans="1:7" x14ac:dyDescent="0.2">
      <c r="A363" s="1" t="s">
        <v>2415</v>
      </c>
      <c r="B363" s="1" t="s">
        <v>2416</v>
      </c>
      <c r="C363" s="1" t="s">
        <v>2417</v>
      </c>
      <c r="D363" s="1" t="s">
        <v>2418</v>
      </c>
      <c r="E363" s="1" t="s">
        <v>2419</v>
      </c>
      <c r="F363" s="1" t="s">
        <v>2420</v>
      </c>
      <c r="G363" s="1" t="s">
        <v>2421</v>
      </c>
    </row>
    <row r="364" spans="1:7" x14ac:dyDescent="0.2">
      <c r="A364" s="1" t="s">
        <v>2422</v>
      </c>
      <c r="B364" s="1" t="s">
        <v>2423</v>
      </c>
      <c r="C364" s="1" t="s">
        <v>1630</v>
      </c>
      <c r="D364" s="1" t="s">
        <v>2424</v>
      </c>
      <c r="E364" s="1" t="s">
        <v>2371</v>
      </c>
      <c r="F364" s="1" t="s">
        <v>2425</v>
      </c>
      <c r="G364" s="1" t="s">
        <v>2426</v>
      </c>
    </row>
    <row r="365" spans="1:7" x14ac:dyDescent="0.2">
      <c r="A365" s="1" t="s">
        <v>2427</v>
      </c>
      <c r="B365" s="1" t="s">
        <v>2428</v>
      </c>
      <c r="C365" s="1" t="s">
        <v>2429</v>
      </c>
      <c r="D365" s="1" t="s">
        <v>2430</v>
      </c>
      <c r="E365" s="1" t="s">
        <v>2431</v>
      </c>
      <c r="F365" s="1" t="s">
        <v>2431</v>
      </c>
      <c r="G365" s="1" t="s">
        <v>2432</v>
      </c>
    </row>
    <row r="366" spans="1:7" x14ac:dyDescent="0.2">
      <c r="A366" s="1" t="s">
        <v>2433</v>
      </c>
      <c r="B366" s="1" t="s">
        <v>2434</v>
      </c>
      <c r="C366" s="1" t="s">
        <v>2339</v>
      </c>
      <c r="D366" s="1" t="s">
        <v>1900</v>
      </c>
      <c r="E366" s="1" t="s">
        <v>2435</v>
      </c>
      <c r="F366" s="1" t="s">
        <v>2436</v>
      </c>
      <c r="G366" s="1" t="s">
        <v>2437</v>
      </c>
    </row>
    <row r="367" spans="1:7" x14ac:dyDescent="0.2">
      <c r="A367" s="1" t="s">
        <v>2438</v>
      </c>
      <c r="B367" s="1" t="s">
        <v>2439</v>
      </c>
      <c r="C367" s="1" t="s">
        <v>2440</v>
      </c>
      <c r="D367" s="1" t="s">
        <v>2441</v>
      </c>
      <c r="E367" s="1" t="s">
        <v>2442</v>
      </c>
      <c r="F367" s="1" t="s">
        <v>2443</v>
      </c>
      <c r="G367" s="1" t="s">
        <v>2444</v>
      </c>
    </row>
    <row r="368" spans="1:7" x14ac:dyDescent="0.2">
      <c r="A368" s="1" t="s">
        <v>2445</v>
      </c>
      <c r="B368" s="1" t="s">
        <v>2446</v>
      </c>
      <c r="C368" s="1" t="s">
        <v>2447</v>
      </c>
      <c r="D368" s="1" t="s">
        <v>2443</v>
      </c>
      <c r="E368" s="1" t="s">
        <v>2448</v>
      </c>
      <c r="F368" s="1" t="s">
        <v>2449</v>
      </c>
      <c r="G368" s="1" t="s">
        <v>2450</v>
      </c>
    </row>
    <row r="369" spans="1:7" x14ac:dyDescent="0.2">
      <c r="A369" s="1" t="s">
        <v>2451</v>
      </c>
      <c r="B369" s="1" t="s">
        <v>2452</v>
      </c>
      <c r="C369" s="1" t="s">
        <v>2453</v>
      </c>
      <c r="D369" s="1" t="s">
        <v>2454</v>
      </c>
      <c r="E369" s="1" t="s">
        <v>2455</v>
      </c>
      <c r="F369" s="1" t="s">
        <v>2456</v>
      </c>
      <c r="G369" s="1" t="s">
        <v>2457</v>
      </c>
    </row>
    <row r="370" spans="1:7" x14ac:dyDescent="0.2">
      <c r="A370" s="1" t="s">
        <v>2458</v>
      </c>
      <c r="B370" s="1" t="s">
        <v>2459</v>
      </c>
      <c r="C370" s="1" t="s">
        <v>2460</v>
      </c>
      <c r="D370" s="1" t="s">
        <v>2461</v>
      </c>
      <c r="E370" s="1" t="s">
        <v>2462</v>
      </c>
      <c r="F370" s="1" t="s">
        <v>2463</v>
      </c>
      <c r="G370" s="1" t="s">
        <v>2464</v>
      </c>
    </row>
    <row r="371" spans="1:7" x14ac:dyDescent="0.2">
      <c r="A371" s="1" t="s">
        <v>2465</v>
      </c>
      <c r="B371" s="1" t="s">
        <v>2466</v>
      </c>
      <c r="C371" s="1" t="s">
        <v>1897</v>
      </c>
      <c r="D371" s="1" t="s">
        <v>2467</v>
      </c>
      <c r="E371" s="1" t="s">
        <v>2468</v>
      </c>
      <c r="F371" s="1" t="s">
        <v>2469</v>
      </c>
      <c r="G371" s="1" t="s">
        <v>2470</v>
      </c>
    </row>
    <row r="372" spans="1:7" x14ac:dyDescent="0.2">
      <c r="A372" s="1" t="s">
        <v>2471</v>
      </c>
      <c r="B372" s="1" t="s">
        <v>2472</v>
      </c>
      <c r="C372" s="1" t="s">
        <v>2473</v>
      </c>
      <c r="D372" s="1" t="s">
        <v>2474</v>
      </c>
      <c r="E372" s="1" t="s">
        <v>2475</v>
      </c>
      <c r="F372" s="1" t="s">
        <v>2476</v>
      </c>
      <c r="G372" s="1" t="s">
        <v>2477</v>
      </c>
    </row>
    <row r="373" spans="1:7" x14ac:dyDescent="0.2">
      <c r="A373" s="1" t="s">
        <v>2478</v>
      </c>
      <c r="B373" s="1" t="s">
        <v>2479</v>
      </c>
      <c r="C373" s="1" t="s">
        <v>2480</v>
      </c>
      <c r="D373" s="1" t="s">
        <v>2481</v>
      </c>
      <c r="E373" s="1" t="s">
        <v>2482</v>
      </c>
      <c r="F373" s="1" t="s">
        <v>2483</v>
      </c>
      <c r="G373" s="1" t="s">
        <v>2484</v>
      </c>
    </row>
    <row r="374" spans="1:7" x14ac:dyDescent="0.2">
      <c r="A374" s="1" t="s">
        <v>2485</v>
      </c>
      <c r="B374" s="1" t="s">
        <v>2486</v>
      </c>
      <c r="C374" s="1" t="s">
        <v>1768</v>
      </c>
      <c r="D374" s="1" t="s">
        <v>2487</v>
      </c>
      <c r="E374" s="1" t="s">
        <v>2488</v>
      </c>
      <c r="F374" s="1" t="s">
        <v>2353</v>
      </c>
      <c r="G374" s="1" t="s">
        <v>2489</v>
      </c>
    </row>
    <row r="375" spans="1:7" x14ac:dyDescent="0.2">
      <c r="A375" s="1" t="s">
        <v>2490</v>
      </c>
      <c r="B375" s="1" t="s">
        <v>2491</v>
      </c>
      <c r="C375" s="1" t="s">
        <v>2492</v>
      </c>
      <c r="D375" s="1" t="s">
        <v>2493</v>
      </c>
      <c r="E375" s="1" t="s">
        <v>2494</v>
      </c>
      <c r="F375" s="1" t="s">
        <v>2495</v>
      </c>
      <c r="G375" s="1" t="s">
        <v>2496</v>
      </c>
    </row>
    <row r="376" spans="1:7" x14ac:dyDescent="0.2">
      <c r="A376" s="1" t="s">
        <v>2497</v>
      </c>
      <c r="B376" s="1" t="s">
        <v>2498</v>
      </c>
      <c r="C376" s="1" t="s">
        <v>2499</v>
      </c>
      <c r="D376" s="1" t="s">
        <v>2500</v>
      </c>
      <c r="E376" s="1" t="s">
        <v>2501</v>
      </c>
      <c r="F376" s="1" t="s">
        <v>1602</v>
      </c>
      <c r="G376" s="1" t="s">
        <v>2502</v>
      </c>
    </row>
    <row r="377" spans="1:7" x14ac:dyDescent="0.2">
      <c r="A377" s="1" t="s">
        <v>2503</v>
      </c>
      <c r="B377" s="1" t="s">
        <v>2504</v>
      </c>
      <c r="C377" s="1" t="s">
        <v>2505</v>
      </c>
      <c r="D377" s="1" t="s">
        <v>2506</v>
      </c>
      <c r="E377" s="1" t="s">
        <v>2507</v>
      </c>
      <c r="F377" s="1" t="s">
        <v>2508</v>
      </c>
      <c r="G377" s="1" t="s">
        <v>2509</v>
      </c>
    </row>
    <row r="378" spans="1:7" x14ac:dyDescent="0.2">
      <c r="A378" s="1" t="s">
        <v>2510</v>
      </c>
      <c r="B378" s="1" t="s">
        <v>2511</v>
      </c>
      <c r="C378" s="1" t="s">
        <v>2512</v>
      </c>
      <c r="D378" s="1" t="s">
        <v>2302</v>
      </c>
      <c r="E378" s="1" t="s">
        <v>1924</v>
      </c>
      <c r="F378" s="1" t="s">
        <v>2513</v>
      </c>
      <c r="G378" s="1" t="s">
        <v>2514</v>
      </c>
    </row>
    <row r="379" spans="1:7" x14ac:dyDescent="0.2">
      <c r="A379" s="1" t="s">
        <v>2515</v>
      </c>
      <c r="B379" s="1" t="s">
        <v>2516</v>
      </c>
      <c r="C379" s="1" t="s">
        <v>2517</v>
      </c>
      <c r="D379" s="1" t="s">
        <v>2518</v>
      </c>
      <c r="E379" s="1" t="s">
        <v>2519</v>
      </c>
      <c r="F379" s="1" t="s">
        <v>2520</v>
      </c>
      <c r="G379" s="1" t="s">
        <v>2521</v>
      </c>
    </row>
    <row r="380" spans="1:7" x14ac:dyDescent="0.2">
      <c r="A380" s="1" t="s">
        <v>2522</v>
      </c>
      <c r="B380" s="1" t="s">
        <v>2523</v>
      </c>
      <c r="C380" s="1" t="s">
        <v>2524</v>
      </c>
      <c r="D380" s="1" t="s">
        <v>2525</v>
      </c>
      <c r="E380" s="1" t="s">
        <v>2526</v>
      </c>
      <c r="F380" s="1" t="s">
        <v>2527</v>
      </c>
      <c r="G380" s="1" t="s">
        <v>2528</v>
      </c>
    </row>
    <row r="381" spans="1:7" x14ac:dyDescent="0.2">
      <c r="A381" s="1" t="s">
        <v>2529</v>
      </c>
      <c r="B381" s="1" t="s">
        <v>2530</v>
      </c>
      <c r="C381" s="1" t="s">
        <v>2531</v>
      </c>
      <c r="D381" s="1" t="s">
        <v>2532</v>
      </c>
      <c r="E381" s="1" t="s">
        <v>2533</v>
      </c>
      <c r="F381" s="1" t="s">
        <v>2534</v>
      </c>
      <c r="G381" s="1" t="s">
        <v>2535</v>
      </c>
    </row>
    <row r="382" spans="1:7" x14ac:dyDescent="0.2">
      <c r="A382" s="1" t="s">
        <v>2536</v>
      </c>
      <c r="B382" s="1" t="s">
        <v>2537</v>
      </c>
      <c r="C382" s="1" t="s">
        <v>2538</v>
      </c>
      <c r="D382" s="1" t="s">
        <v>2539</v>
      </c>
      <c r="E382" s="1" t="s">
        <v>2540</v>
      </c>
      <c r="F382" s="1" t="s">
        <v>2541</v>
      </c>
      <c r="G382" s="1" t="s">
        <v>2542</v>
      </c>
    </row>
    <row r="383" spans="1:7" x14ac:dyDescent="0.2">
      <c r="A383" s="1" t="s">
        <v>2543</v>
      </c>
      <c r="B383" s="1" t="s">
        <v>2544</v>
      </c>
      <c r="C383" s="1" t="s">
        <v>2545</v>
      </c>
      <c r="D383" s="1" t="s">
        <v>2546</v>
      </c>
      <c r="E383" s="1" t="s">
        <v>2547</v>
      </c>
      <c r="F383" s="1" t="s">
        <v>2548</v>
      </c>
      <c r="G383" s="1" t="s">
        <v>2549</v>
      </c>
    </row>
    <row r="384" spans="1:7" x14ac:dyDescent="0.2">
      <c r="A384" s="1" t="s">
        <v>2550</v>
      </c>
      <c r="B384" s="1" t="s">
        <v>2551</v>
      </c>
      <c r="C384" s="1" t="s">
        <v>2552</v>
      </c>
      <c r="D384" s="1" t="s">
        <v>2553</v>
      </c>
      <c r="E384" s="1" t="s">
        <v>2554</v>
      </c>
      <c r="F384" s="1" t="s">
        <v>2555</v>
      </c>
      <c r="G384" s="1" t="s">
        <v>2556</v>
      </c>
    </row>
    <row r="385" spans="1:7" x14ac:dyDescent="0.2">
      <c r="A385" s="1" t="s">
        <v>2557</v>
      </c>
      <c r="B385" s="1" t="s">
        <v>2558</v>
      </c>
      <c r="C385" s="1" t="s">
        <v>1939</v>
      </c>
      <c r="D385" s="1" t="s">
        <v>2559</v>
      </c>
      <c r="E385" s="1" t="s">
        <v>1967</v>
      </c>
      <c r="F385" s="1" t="s">
        <v>2560</v>
      </c>
      <c r="G385" s="1" t="s">
        <v>2561</v>
      </c>
    </row>
    <row r="386" spans="1:7" x14ac:dyDescent="0.2">
      <c r="A386" s="1" t="s">
        <v>2562</v>
      </c>
      <c r="B386" s="1" t="s">
        <v>2563</v>
      </c>
      <c r="C386" s="1" t="s">
        <v>2564</v>
      </c>
      <c r="D386" s="1" t="s">
        <v>2565</v>
      </c>
      <c r="E386" s="1" t="s">
        <v>1954</v>
      </c>
      <c r="F386" s="1" t="s">
        <v>1933</v>
      </c>
      <c r="G386" s="1" t="s">
        <v>2566</v>
      </c>
    </row>
    <row r="387" spans="1:7" x14ac:dyDescent="0.2">
      <c r="A387" s="1" t="s">
        <v>2567</v>
      </c>
      <c r="B387" s="1" t="s">
        <v>2568</v>
      </c>
      <c r="C387" s="1" t="s">
        <v>2569</v>
      </c>
      <c r="D387" s="1" t="s">
        <v>2570</v>
      </c>
      <c r="E387" s="1" t="s">
        <v>1560</v>
      </c>
      <c r="F387" s="1" t="s">
        <v>2571</v>
      </c>
      <c r="G387" s="1" t="s">
        <v>2572</v>
      </c>
    </row>
    <row r="388" spans="1:7" x14ac:dyDescent="0.2">
      <c r="A388" s="1" t="s">
        <v>2573</v>
      </c>
      <c r="B388" s="1" t="s">
        <v>2574</v>
      </c>
      <c r="C388" s="1" t="s">
        <v>2575</v>
      </c>
      <c r="D388" s="1" t="s">
        <v>2576</v>
      </c>
      <c r="E388" s="1" t="s">
        <v>2577</v>
      </c>
      <c r="F388" s="1" t="s">
        <v>2577</v>
      </c>
      <c r="G388" s="1" t="s">
        <v>2578</v>
      </c>
    </row>
    <row r="389" spans="1:7" x14ac:dyDescent="0.2">
      <c r="A389" s="1" t="s">
        <v>2579</v>
      </c>
      <c r="B389" s="1" t="s">
        <v>2580</v>
      </c>
      <c r="C389" s="1" t="s">
        <v>2581</v>
      </c>
      <c r="D389" s="1" t="s">
        <v>2582</v>
      </c>
      <c r="E389" s="1" t="s">
        <v>2583</v>
      </c>
      <c r="F389" s="1" t="s">
        <v>2584</v>
      </c>
      <c r="G389" s="1" t="s">
        <v>2585</v>
      </c>
    </row>
    <row r="390" spans="1:7" x14ac:dyDescent="0.2">
      <c r="A390" s="1" t="s">
        <v>2586</v>
      </c>
      <c r="B390" s="1" t="s">
        <v>2587</v>
      </c>
      <c r="C390" s="1" t="s">
        <v>2588</v>
      </c>
      <c r="D390" s="1" t="s">
        <v>2589</v>
      </c>
      <c r="E390" s="1" t="s">
        <v>2590</v>
      </c>
      <c r="F390" s="1" t="s">
        <v>2591</v>
      </c>
      <c r="G390" s="1" t="s">
        <v>2592</v>
      </c>
    </row>
    <row r="391" spans="1:7" x14ac:dyDescent="0.2">
      <c r="A391" s="1" t="s">
        <v>2593</v>
      </c>
      <c r="B391" s="1" t="s">
        <v>2594</v>
      </c>
      <c r="C391" s="1" t="s">
        <v>2595</v>
      </c>
      <c r="D391" s="1" t="s">
        <v>2596</v>
      </c>
      <c r="E391" s="1" t="s">
        <v>2597</v>
      </c>
      <c r="F391" s="1" t="s">
        <v>2598</v>
      </c>
      <c r="G391" s="1" t="s">
        <v>2599</v>
      </c>
    </row>
    <row r="392" spans="1:7" x14ac:dyDescent="0.2">
      <c r="A392" s="1" t="s">
        <v>2600</v>
      </c>
      <c r="B392" s="1" t="s">
        <v>2601</v>
      </c>
      <c r="C392" s="1" t="s">
        <v>2602</v>
      </c>
      <c r="D392" s="1" t="s">
        <v>2603</v>
      </c>
      <c r="E392" s="1" t="s">
        <v>2604</v>
      </c>
      <c r="F392" s="1" t="s">
        <v>2605</v>
      </c>
      <c r="G392" s="1" t="s">
        <v>2606</v>
      </c>
    </row>
    <row r="393" spans="1:7" x14ac:dyDescent="0.2">
      <c r="A393" s="1" t="s">
        <v>2607</v>
      </c>
      <c r="B393" s="1" t="s">
        <v>2608</v>
      </c>
      <c r="C393" s="1" t="s">
        <v>1581</v>
      </c>
      <c r="D393" s="1" t="s">
        <v>2609</v>
      </c>
      <c r="E393" s="1" t="s">
        <v>2610</v>
      </c>
      <c r="F393" s="1" t="s">
        <v>2611</v>
      </c>
      <c r="G393" s="1" t="s">
        <v>2612</v>
      </c>
    </row>
    <row r="394" spans="1:7" x14ac:dyDescent="0.2">
      <c r="A394" s="1" t="s">
        <v>2613</v>
      </c>
      <c r="B394" s="1" t="s">
        <v>2614</v>
      </c>
      <c r="C394" s="1" t="s">
        <v>2615</v>
      </c>
      <c r="D394" s="1" t="s">
        <v>2616</v>
      </c>
      <c r="E394" s="1" t="s">
        <v>2617</v>
      </c>
      <c r="F394" s="1" t="s">
        <v>2618</v>
      </c>
      <c r="G394" s="1" t="s">
        <v>2619</v>
      </c>
    </row>
    <row r="395" spans="1:7" x14ac:dyDescent="0.2">
      <c r="A395" s="1" t="s">
        <v>2620</v>
      </c>
      <c r="B395" s="1" t="s">
        <v>2621</v>
      </c>
      <c r="C395" s="1" t="s">
        <v>2622</v>
      </c>
      <c r="D395" s="1" t="s">
        <v>2623</v>
      </c>
      <c r="E395" s="1" t="s">
        <v>2624</v>
      </c>
      <c r="F395" s="1" t="s">
        <v>2625</v>
      </c>
      <c r="G395" s="1" t="s">
        <v>2626</v>
      </c>
    </row>
    <row r="396" spans="1:7" x14ac:dyDescent="0.2">
      <c r="A396" s="1" t="s">
        <v>2627</v>
      </c>
      <c r="B396" s="1" t="s">
        <v>2628</v>
      </c>
      <c r="C396" s="1" t="s">
        <v>2629</v>
      </c>
      <c r="D396" s="1" t="s">
        <v>2630</v>
      </c>
      <c r="E396" s="1" t="s">
        <v>2631</v>
      </c>
      <c r="F396" s="1" t="s">
        <v>2632</v>
      </c>
      <c r="G396" s="1" t="s">
        <v>2633</v>
      </c>
    </row>
    <row r="397" spans="1:7" x14ac:dyDescent="0.2">
      <c r="A397" s="1" t="s">
        <v>2634</v>
      </c>
      <c r="B397" s="1" t="s">
        <v>2635</v>
      </c>
      <c r="C397" s="1" t="s">
        <v>2636</v>
      </c>
      <c r="D397" s="1" t="s">
        <v>2051</v>
      </c>
      <c r="E397" s="1" t="s">
        <v>2637</v>
      </c>
      <c r="F397" s="1" t="s">
        <v>2638</v>
      </c>
      <c r="G397" s="1" t="s">
        <v>2639</v>
      </c>
    </row>
    <row r="398" spans="1:7" x14ac:dyDescent="0.2">
      <c r="A398" s="1" t="s">
        <v>2640</v>
      </c>
      <c r="B398" s="1" t="s">
        <v>2641</v>
      </c>
      <c r="C398" s="1" t="s">
        <v>2642</v>
      </c>
      <c r="D398" s="1" t="s">
        <v>2643</v>
      </c>
      <c r="E398" s="1" t="s">
        <v>2644</v>
      </c>
      <c r="F398" s="1" t="s">
        <v>2644</v>
      </c>
      <c r="G398" s="1" t="s">
        <v>2645</v>
      </c>
    </row>
    <row r="399" spans="1:7" x14ac:dyDescent="0.2">
      <c r="A399" s="1" t="s">
        <v>2646</v>
      </c>
      <c r="B399" s="1" t="s">
        <v>2647</v>
      </c>
      <c r="C399" s="1" t="s">
        <v>2648</v>
      </c>
      <c r="D399" s="1" t="s">
        <v>2649</v>
      </c>
      <c r="E399" s="1" t="s">
        <v>2650</v>
      </c>
      <c r="F399" s="1" t="s">
        <v>2651</v>
      </c>
      <c r="G399" s="1" t="s">
        <v>2652</v>
      </c>
    </row>
    <row r="400" spans="1:7" x14ac:dyDescent="0.2">
      <c r="A400" s="1" t="s">
        <v>2653</v>
      </c>
      <c r="B400" s="1" t="s">
        <v>2654</v>
      </c>
      <c r="C400" s="1" t="s">
        <v>2655</v>
      </c>
      <c r="D400" s="1" t="s">
        <v>2656</v>
      </c>
      <c r="E400" s="1" t="s">
        <v>2657</v>
      </c>
      <c r="F400" s="1" t="s">
        <v>2658</v>
      </c>
      <c r="G400" s="1" t="s">
        <v>2659</v>
      </c>
    </row>
    <row r="401" spans="1:7" x14ac:dyDescent="0.2">
      <c r="A401" s="1" t="s">
        <v>2660</v>
      </c>
      <c r="B401" s="1" t="s">
        <v>2661</v>
      </c>
      <c r="C401" s="1" t="s">
        <v>2662</v>
      </c>
      <c r="D401" s="1" t="s">
        <v>2663</v>
      </c>
      <c r="E401" s="1" t="s">
        <v>2664</v>
      </c>
      <c r="F401" s="1" t="s">
        <v>2665</v>
      </c>
      <c r="G401" s="1" t="s">
        <v>2666</v>
      </c>
    </row>
    <row r="402" spans="1:7" x14ac:dyDescent="0.2">
      <c r="A402" s="1" t="s">
        <v>2667</v>
      </c>
      <c r="B402" s="1" t="s">
        <v>2668</v>
      </c>
      <c r="C402" s="1" t="s">
        <v>2669</v>
      </c>
      <c r="D402" s="1" t="s">
        <v>2670</v>
      </c>
      <c r="E402" s="1" t="s">
        <v>2671</v>
      </c>
      <c r="F402" s="1" t="s">
        <v>2672</v>
      </c>
      <c r="G402" s="1" t="s">
        <v>2673</v>
      </c>
    </row>
    <row r="403" spans="1:7" x14ac:dyDescent="0.2">
      <c r="A403" s="1" t="s">
        <v>2674</v>
      </c>
      <c r="B403" s="1" t="s">
        <v>2675</v>
      </c>
      <c r="C403" s="1" t="s">
        <v>2676</v>
      </c>
      <c r="D403" s="1" t="s">
        <v>2677</v>
      </c>
      <c r="E403" s="1" t="s">
        <v>2678</v>
      </c>
      <c r="F403" s="1" t="s">
        <v>2676</v>
      </c>
      <c r="G403" s="1" t="s">
        <v>2679</v>
      </c>
    </row>
    <row r="404" spans="1:7" x14ac:dyDescent="0.2">
      <c r="A404" s="1" t="s">
        <v>2680</v>
      </c>
      <c r="B404" s="1" t="s">
        <v>2681</v>
      </c>
      <c r="C404" s="1" t="s">
        <v>1624</v>
      </c>
      <c r="D404" s="1" t="s">
        <v>2493</v>
      </c>
      <c r="E404" s="1" t="s">
        <v>1614</v>
      </c>
      <c r="F404" s="1" t="s">
        <v>2682</v>
      </c>
      <c r="G404" s="1" t="s">
        <v>2683</v>
      </c>
    </row>
    <row r="405" spans="1:7" x14ac:dyDescent="0.2">
      <c r="A405" s="1" t="s">
        <v>2684</v>
      </c>
      <c r="B405" s="1" t="s">
        <v>2685</v>
      </c>
      <c r="C405" s="1" t="s">
        <v>2686</v>
      </c>
      <c r="D405" s="1" t="s">
        <v>2687</v>
      </c>
      <c r="E405" s="1" t="s">
        <v>2688</v>
      </c>
      <c r="F405" s="1" t="s">
        <v>2682</v>
      </c>
      <c r="G405" s="1" t="s">
        <v>2689</v>
      </c>
    </row>
    <row r="406" spans="1:7" x14ac:dyDescent="0.2">
      <c r="A406" s="1" t="s">
        <v>2690</v>
      </c>
      <c r="B406" s="1" t="s">
        <v>2691</v>
      </c>
      <c r="C406" s="1" t="s">
        <v>2692</v>
      </c>
      <c r="D406" s="1" t="s">
        <v>2693</v>
      </c>
      <c r="E406" s="1" t="s">
        <v>2694</v>
      </c>
      <c r="F406" s="1" t="s">
        <v>2695</v>
      </c>
      <c r="G406" s="1" t="s">
        <v>2696</v>
      </c>
    </row>
    <row r="407" spans="1:7" x14ac:dyDescent="0.2">
      <c r="A407" s="1" t="s">
        <v>2697</v>
      </c>
      <c r="B407" s="1" t="s">
        <v>2698</v>
      </c>
      <c r="C407" s="1" t="s">
        <v>2699</v>
      </c>
      <c r="D407" s="1" t="s">
        <v>2700</v>
      </c>
      <c r="E407" s="1" t="s">
        <v>2701</v>
      </c>
      <c r="F407" s="1" t="s">
        <v>2702</v>
      </c>
      <c r="G407" s="1" t="s">
        <v>2703</v>
      </c>
    </row>
    <row r="408" spans="1:7" x14ac:dyDescent="0.2">
      <c r="A408" s="1" t="s">
        <v>2704</v>
      </c>
      <c r="B408" s="1" t="s">
        <v>2705</v>
      </c>
      <c r="C408" s="1" t="s">
        <v>2706</v>
      </c>
      <c r="D408" s="1" t="s">
        <v>2707</v>
      </c>
      <c r="E408" s="1" t="s">
        <v>2708</v>
      </c>
      <c r="F408" s="1" t="s">
        <v>2508</v>
      </c>
      <c r="G408" s="1" t="s">
        <v>2709</v>
      </c>
    </row>
    <row r="409" spans="1:7" x14ac:dyDescent="0.2">
      <c r="A409" s="1" t="s">
        <v>2710</v>
      </c>
      <c r="B409" s="1" t="s">
        <v>2711</v>
      </c>
      <c r="C409" s="1" t="s">
        <v>2712</v>
      </c>
      <c r="D409" s="1" t="s">
        <v>2706</v>
      </c>
      <c r="E409" s="1" t="s">
        <v>2713</v>
      </c>
      <c r="F409" s="1" t="s">
        <v>2714</v>
      </c>
      <c r="G409" s="1" t="s">
        <v>2715</v>
      </c>
    </row>
    <row r="410" spans="1:7" x14ac:dyDescent="0.2">
      <c r="A410" s="1" t="s">
        <v>2716</v>
      </c>
      <c r="B410" s="1" t="s">
        <v>2717</v>
      </c>
      <c r="C410" s="1" t="s">
        <v>2718</v>
      </c>
      <c r="D410" s="1" t="s">
        <v>2719</v>
      </c>
      <c r="E410" s="1" t="s">
        <v>2720</v>
      </c>
      <c r="F410" s="1" t="s">
        <v>2721</v>
      </c>
      <c r="G410" s="1" t="s">
        <v>2722</v>
      </c>
    </row>
    <row r="411" spans="1:7" x14ac:dyDescent="0.2">
      <c r="A411" s="1" t="s">
        <v>2723</v>
      </c>
      <c r="B411" s="1" t="s">
        <v>2724</v>
      </c>
      <c r="C411" s="1" t="s">
        <v>2725</v>
      </c>
      <c r="D411" s="1" t="s">
        <v>2726</v>
      </c>
      <c r="E411" s="1" t="s">
        <v>2727</v>
      </c>
      <c r="F411" s="1" t="s">
        <v>2728</v>
      </c>
      <c r="G411" s="1" t="s">
        <v>2729</v>
      </c>
    </row>
    <row r="412" spans="1:7" x14ac:dyDescent="0.2">
      <c r="A412" s="1" t="s">
        <v>2730</v>
      </c>
      <c r="B412" s="1" t="s">
        <v>2731</v>
      </c>
      <c r="C412" s="1" t="s">
        <v>1792</v>
      </c>
      <c r="D412" s="1" t="s">
        <v>2732</v>
      </c>
      <c r="E412" s="1" t="s">
        <v>2733</v>
      </c>
      <c r="F412" s="1" t="s">
        <v>2734</v>
      </c>
      <c r="G412" s="1" t="s">
        <v>2735</v>
      </c>
    </row>
    <row r="413" spans="1:7" x14ac:dyDescent="0.2">
      <c r="A413" s="1" t="s">
        <v>2736</v>
      </c>
      <c r="B413" s="1" t="s">
        <v>2737</v>
      </c>
      <c r="C413" s="1" t="s">
        <v>2738</v>
      </c>
      <c r="D413" s="1" t="s">
        <v>2739</v>
      </c>
      <c r="E413" s="1" t="s">
        <v>2740</v>
      </c>
      <c r="F413" s="1" t="s">
        <v>2741</v>
      </c>
      <c r="G413" s="1" t="s">
        <v>2742</v>
      </c>
    </row>
    <row r="414" spans="1:7" x14ac:dyDescent="0.2">
      <c r="A414" s="1" t="s">
        <v>2743</v>
      </c>
      <c r="B414" s="1" t="s">
        <v>2744</v>
      </c>
      <c r="C414" s="1" t="s">
        <v>2745</v>
      </c>
      <c r="D414" s="1" t="s">
        <v>2746</v>
      </c>
      <c r="E414" s="1" t="s">
        <v>2747</v>
      </c>
      <c r="F414" s="1" t="s">
        <v>2748</v>
      </c>
      <c r="G414" s="1" t="s">
        <v>2749</v>
      </c>
    </row>
    <row r="415" spans="1:7" x14ac:dyDescent="0.2">
      <c r="A415" s="1" t="s">
        <v>2750</v>
      </c>
      <c r="B415" s="1" t="s">
        <v>2751</v>
      </c>
      <c r="C415" s="1" t="s">
        <v>2752</v>
      </c>
      <c r="D415" s="1" t="s">
        <v>2753</v>
      </c>
      <c r="E415" s="1" t="s">
        <v>2664</v>
      </c>
      <c r="F415" s="1" t="s">
        <v>2754</v>
      </c>
      <c r="G415" s="1" t="s">
        <v>2755</v>
      </c>
    </row>
    <row r="416" spans="1:7" x14ac:dyDescent="0.2">
      <c r="A416" s="1" t="s">
        <v>2756</v>
      </c>
      <c r="B416" s="1" t="s">
        <v>2757</v>
      </c>
      <c r="C416" s="1" t="s">
        <v>2758</v>
      </c>
      <c r="D416" s="1" t="s">
        <v>2759</v>
      </c>
      <c r="E416" s="1" t="s">
        <v>2760</v>
      </c>
      <c r="F416" s="1" t="s">
        <v>2761</v>
      </c>
      <c r="G416" s="1" t="s">
        <v>2762</v>
      </c>
    </row>
    <row r="417" spans="1:7" x14ac:dyDescent="0.2">
      <c r="A417" s="1" t="s">
        <v>2763</v>
      </c>
      <c r="B417" s="1" t="s">
        <v>2764</v>
      </c>
      <c r="C417" s="1" t="s">
        <v>2765</v>
      </c>
      <c r="D417" s="1" t="s">
        <v>2766</v>
      </c>
      <c r="E417" s="1" t="s">
        <v>2767</v>
      </c>
      <c r="F417" s="1" t="s">
        <v>2768</v>
      </c>
      <c r="G417" s="1" t="s">
        <v>2769</v>
      </c>
    </row>
    <row r="418" spans="1:7" x14ac:dyDescent="0.2">
      <c r="A418" s="1" t="s">
        <v>2770</v>
      </c>
      <c r="B418" s="1" t="s">
        <v>2771</v>
      </c>
      <c r="C418" s="1" t="s">
        <v>2772</v>
      </c>
      <c r="D418" s="1" t="s">
        <v>2773</v>
      </c>
      <c r="E418" s="1" t="s">
        <v>2774</v>
      </c>
      <c r="F418" s="1" t="s">
        <v>2775</v>
      </c>
      <c r="G418" s="1" t="s">
        <v>2776</v>
      </c>
    </row>
    <row r="419" spans="1:7" x14ac:dyDescent="0.2">
      <c r="A419" s="1" t="s">
        <v>2777</v>
      </c>
      <c r="B419" s="1" t="s">
        <v>2778</v>
      </c>
      <c r="C419" s="1" t="s">
        <v>2779</v>
      </c>
      <c r="D419" s="1" t="s">
        <v>2780</v>
      </c>
      <c r="E419" s="1" t="s">
        <v>2781</v>
      </c>
      <c r="F419" s="1" t="s">
        <v>2782</v>
      </c>
      <c r="G419" s="1" t="s">
        <v>2783</v>
      </c>
    </row>
    <row r="420" spans="1:7" x14ac:dyDescent="0.2">
      <c r="A420" s="1" t="s">
        <v>2784</v>
      </c>
      <c r="B420" s="1" t="s">
        <v>2785</v>
      </c>
      <c r="C420" s="1" t="s">
        <v>2786</v>
      </c>
      <c r="D420" s="1" t="s">
        <v>2787</v>
      </c>
      <c r="E420" s="1" t="s">
        <v>2788</v>
      </c>
      <c r="F420" s="1" t="s">
        <v>2789</v>
      </c>
      <c r="G420" s="1" t="s">
        <v>2790</v>
      </c>
    </row>
    <row r="421" spans="1:7" x14ac:dyDescent="0.2">
      <c r="A421" s="1" t="s">
        <v>2791</v>
      </c>
      <c r="B421" s="1" t="s">
        <v>2792</v>
      </c>
      <c r="C421" s="1" t="s">
        <v>2793</v>
      </c>
      <c r="D421" s="1" t="s">
        <v>2794</v>
      </c>
      <c r="E421" s="1" t="s">
        <v>2795</v>
      </c>
      <c r="F421" s="1" t="s">
        <v>2546</v>
      </c>
      <c r="G421" s="1" t="s">
        <v>2796</v>
      </c>
    </row>
    <row r="422" spans="1:7" x14ac:dyDescent="0.2">
      <c r="A422" s="1" t="s">
        <v>2797</v>
      </c>
      <c r="B422" s="1" t="s">
        <v>2798</v>
      </c>
      <c r="C422" s="1" t="s">
        <v>2799</v>
      </c>
      <c r="D422" s="1" t="s">
        <v>2800</v>
      </c>
      <c r="E422" s="1" t="s">
        <v>2801</v>
      </c>
      <c r="F422" s="1" t="s">
        <v>2802</v>
      </c>
      <c r="G422" s="1" t="s">
        <v>2803</v>
      </c>
    </row>
    <row r="423" spans="1:7" x14ac:dyDescent="0.2">
      <c r="A423" s="1" t="s">
        <v>2804</v>
      </c>
      <c r="B423" s="1" t="s">
        <v>2805</v>
      </c>
      <c r="C423" s="1" t="s">
        <v>2806</v>
      </c>
      <c r="D423" s="1" t="s">
        <v>2807</v>
      </c>
      <c r="E423" s="1" t="s">
        <v>2808</v>
      </c>
      <c r="F423" s="1" t="s">
        <v>2809</v>
      </c>
      <c r="G423" s="1" t="s">
        <v>2810</v>
      </c>
    </row>
    <row r="424" spans="1:7" x14ac:dyDescent="0.2">
      <c r="A424" s="1" t="s">
        <v>2811</v>
      </c>
      <c r="B424" s="1" t="s">
        <v>2812</v>
      </c>
      <c r="C424" s="1" t="s">
        <v>2813</v>
      </c>
      <c r="D424" s="1" t="s">
        <v>2814</v>
      </c>
      <c r="E424" s="1" t="s">
        <v>2815</v>
      </c>
      <c r="F424" s="1" t="s">
        <v>2816</v>
      </c>
      <c r="G424" s="1" t="s">
        <v>2817</v>
      </c>
    </row>
    <row r="425" spans="1:7" x14ac:dyDescent="0.2">
      <c r="A425" s="1" t="s">
        <v>2818</v>
      </c>
      <c r="B425" s="1" t="s">
        <v>2819</v>
      </c>
      <c r="C425" s="1" t="s">
        <v>2820</v>
      </c>
      <c r="D425" s="1" t="s">
        <v>2821</v>
      </c>
      <c r="E425" s="1" t="s">
        <v>2822</v>
      </c>
      <c r="F425" s="1" t="s">
        <v>2822</v>
      </c>
      <c r="G425" s="1" t="s">
        <v>2823</v>
      </c>
    </row>
    <row r="426" spans="1:7" x14ac:dyDescent="0.2">
      <c r="A426" s="1" t="s">
        <v>2824</v>
      </c>
      <c r="B426" s="1" t="s">
        <v>2825</v>
      </c>
      <c r="C426" s="1" t="s">
        <v>2826</v>
      </c>
      <c r="D426" s="1" t="s">
        <v>2827</v>
      </c>
      <c r="E426" s="1" t="s">
        <v>2828</v>
      </c>
      <c r="F426" s="1" t="s">
        <v>2829</v>
      </c>
      <c r="G426" s="1" t="s">
        <v>2830</v>
      </c>
    </row>
    <row r="427" spans="1:7" x14ac:dyDescent="0.2">
      <c r="A427" s="1" t="s">
        <v>2831</v>
      </c>
      <c r="B427" s="1" t="s">
        <v>2832</v>
      </c>
      <c r="C427" s="1" t="s">
        <v>2833</v>
      </c>
      <c r="D427" s="1" t="s">
        <v>2834</v>
      </c>
      <c r="E427" s="1" t="s">
        <v>2835</v>
      </c>
      <c r="F427" s="1" t="s">
        <v>2836</v>
      </c>
      <c r="G427" s="1" t="s">
        <v>2837</v>
      </c>
    </row>
    <row r="428" spans="1:7" x14ac:dyDescent="0.2">
      <c r="A428" s="1" t="s">
        <v>2838</v>
      </c>
      <c r="B428" s="1" t="s">
        <v>2839</v>
      </c>
      <c r="C428" s="1" t="s">
        <v>2840</v>
      </c>
      <c r="D428" s="1" t="s">
        <v>2841</v>
      </c>
      <c r="E428" s="1" t="s">
        <v>2842</v>
      </c>
      <c r="F428" s="1" t="s">
        <v>2099</v>
      </c>
      <c r="G428" s="1" t="s">
        <v>2843</v>
      </c>
    </row>
    <row r="429" spans="1:7" x14ac:dyDescent="0.2">
      <c r="A429" s="1" t="s">
        <v>2844</v>
      </c>
      <c r="B429" s="1" t="s">
        <v>2845</v>
      </c>
      <c r="C429" s="1" t="s">
        <v>2846</v>
      </c>
      <c r="D429" s="1" t="s">
        <v>2847</v>
      </c>
      <c r="E429" s="1" t="s">
        <v>2848</v>
      </c>
      <c r="F429" s="1" t="s">
        <v>2849</v>
      </c>
      <c r="G429" s="1" t="s">
        <v>2850</v>
      </c>
    </row>
    <row r="430" spans="1:7" x14ac:dyDescent="0.2">
      <c r="A430" s="1" t="s">
        <v>2851</v>
      </c>
      <c r="B430" s="1" t="s">
        <v>2852</v>
      </c>
      <c r="C430" s="1" t="s">
        <v>2853</v>
      </c>
      <c r="D430" s="1" t="s">
        <v>2854</v>
      </c>
      <c r="E430" s="1" t="s">
        <v>2855</v>
      </c>
      <c r="F430" s="1" t="s">
        <v>2856</v>
      </c>
      <c r="G430" s="1" t="s">
        <v>2857</v>
      </c>
    </row>
    <row r="431" spans="1:7" x14ac:dyDescent="0.2">
      <c r="A431" s="1" t="s">
        <v>2858</v>
      </c>
      <c r="B431" s="1" t="s">
        <v>2859</v>
      </c>
      <c r="C431" s="1" t="s">
        <v>2860</v>
      </c>
      <c r="D431" s="1" t="s">
        <v>2861</v>
      </c>
      <c r="E431" s="1" t="s">
        <v>2862</v>
      </c>
      <c r="F431" s="1" t="s">
        <v>2863</v>
      </c>
      <c r="G431" s="1" t="s">
        <v>2864</v>
      </c>
    </row>
    <row r="432" spans="1:7" x14ac:dyDescent="0.2">
      <c r="A432" s="1" t="s">
        <v>2865</v>
      </c>
      <c r="B432" s="1" t="s">
        <v>2866</v>
      </c>
      <c r="C432" s="1" t="s">
        <v>2867</v>
      </c>
      <c r="D432" s="1" t="s">
        <v>2868</v>
      </c>
      <c r="E432" s="1" t="s">
        <v>2869</v>
      </c>
      <c r="F432" s="1" t="s">
        <v>2870</v>
      </c>
      <c r="G432" s="1" t="s">
        <v>2871</v>
      </c>
    </row>
    <row r="433" spans="1:7" x14ac:dyDescent="0.2">
      <c r="A433" s="1" t="s">
        <v>2872</v>
      </c>
      <c r="B433" s="1" t="s">
        <v>2873</v>
      </c>
      <c r="C433" s="1" t="s">
        <v>2874</v>
      </c>
      <c r="D433" s="1" t="s">
        <v>2875</v>
      </c>
      <c r="E433" s="1" t="s">
        <v>2876</v>
      </c>
      <c r="F433" s="1" t="s">
        <v>2877</v>
      </c>
      <c r="G433" s="1" t="s">
        <v>2878</v>
      </c>
    </row>
    <row r="434" spans="1:7" x14ac:dyDescent="0.2">
      <c r="A434" s="1" t="s">
        <v>2879</v>
      </c>
      <c r="B434" s="1" t="s">
        <v>2880</v>
      </c>
      <c r="C434" s="1" t="s">
        <v>2881</v>
      </c>
      <c r="D434" s="1" t="s">
        <v>2882</v>
      </c>
      <c r="E434" s="1" t="s">
        <v>2883</v>
      </c>
      <c r="F434" s="1" t="s">
        <v>2884</v>
      </c>
      <c r="G434" s="1" t="s">
        <v>2885</v>
      </c>
    </row>
    <row r="435" spans="1:7" x14ac:dyDescent="0.2">
      <c r="A435" s="1" t="s">
        <v>2886</v>
      </c>
      <c r="B435" s="1" t="s">
        <v>2887</v>
      </c>
      <c r="C435" s="1" t="s">
        <v>2888</v>
      </c>
      <c r="D435" s="1" t="s">
        <v>2889</v>
      </c>
      <c r="E435" s="1" t="s">
        <v>2091</v>
      </c>
      <c r="F435" s="1" t="s">
        <v>2890</v>
      </c>
      <c r="G435" s="1" t="s">
        <v>2891</v>
      </c>
    </row>
    <row r="436" spans="1:7" x14ac:dyDescent="0.2">
      <c r="A436" s="1" t="s">
        <v>2892</v>
      </c>
      <c r="B436" s="1" t="s">
        <v>2893</v>
      </c>
      <c r="C436" s="1" t="s">
        <v>2072</v>
      </c>
      <c r="D436" s="1" t="s">
        <v>2894</v>
      </c>
      <c r="E436" s="1" t="s">
        <v>2895</v>
      </c>
      <c r="F436" s="1" t="s">
        <v>2896</v>
      </c>
      <c r="G436" s="1" t="s">
        <v>2897</v>
      </c>
    </row>
    <row r="437" spans="1:7" x14ac:dyDescent="0.2">
      <c r="A437" s="1" t="s">
        <v>2898</v>
      </c>
      <c r="B437" s="1" t="s">
        <v>2899</v>
      </c>
      <c r="C437" s="1" t="s">
        <v>2900</v>
      </c>
      <c r="D437" s="1" t="s">
        <v>2901</v>
      </c>
      <c r="E437" s="1" t="s">
        <v>2902</v>
      </c>
      <c r="F437" s="1" t="s">
        <v>2903</v>
      </c>
      <c r="G437" s="1" t="s">
        <v>2904</v>
      </c>
    </row>
    <row r="438" spans="1:7" x14ac:dyDescent="0.2">
      <c r="A438" s="1" t="s">
        <v>2905</v>
      </c>
      <c r="B438" s="1" t="s">
        <v>2906</v>
      </c>
      <c r="C438" s="1" t="s">
        <v>2907</v>
      </c>
      <c r="D438" s="1" t="s">
        <v>2908</v>
      </c>
      <c r="E438" s="1" t="s">
        <v>2909</v>
      </c>
      <c r="F438" s="1" t="s">
        <v>2910</v>
      </c>
      <c r="G438" s="1" t="s">
        <v>2911</v>
      </c>
    </row>
    <row r="439" spans="1:7" x14ac:dyDescent="0.2">
      <c r="A439" s="1" t="s">
        <v>2912</v>
      </c>
      <c r="B439" s="1" t="s">
        <v>2913</v>
      </c>
      <c r="C439" s="1" t="s">
        <v>2914</v>
      </c>
      <c r="D439" s="1" t="s">
        <v>2915</v>
      </c>
      <c r="E439" s="1" t="s">
        <v>2916</v>
      </c>
      <c r="F439" s="1" t="s">
        <v>2917</v>
      </c>
      <c r="G439" s="1" t="s">
        <v>2918</v>
      </c>
    </row>
    <row r="440" spans="1:7" x14ac:dyDescent="0.2">
      <c r="A440" s="1" t="s">
        <v>2919</v>
      </c>
      <c r="B440" s="1" t="s">
        <v>2920</v>
      </c>
      <c r="C440" s="1" t="s">
        <v>2921</v>
      </c>
      <c r="D440" s="1" t="s">
        <v>2922</v>
      </c>
      <c r="E440" s="1" t="s">
        <v>2923</v>
      </c>
      <c r="F440" s="1" t="s">
        <v>2924</v>
      </c>
      <c r="G440" s="1" t="s">
        <v>2925</v>
      </c>
    </row>
    <row r="441" spans="1:7" x14ac:dyDescent="0.2">
      <c r="A441" s="1" t="s">
        <v>2926</v>
      </c>
      <c r="B441" s="1" t="s">
        <v>2927</v>
      </c>
      <c r="C441" s="1" t="s">
        <v>2928</v>
      </c>
      <c r="D441" s="1" t="s">
        <v>2929</v>
      </c>
      <c r="E441" s="1" t="s">
        <v>2930</v>
      </c>
      <c r="F441" s="1" t="s">
        <v>2931</v>
      </c>
      <c r="G441" s="1" t="s">
        <v>2932</v>
      </c>
    </row>
    <row r="442" spans="1:7" x14ac:dyDescent="0.2">
      <c r="A442" s="1" t="s">
        <v>2933</v>
      </c>
      <c r="B442" s="1" t="s">
        <v>2934</v>
      </c>
      <c r="C442" s="1" t="s">
        <v>2935</v>
      </c>
      <c r="D442" s="1" t="s">
        <v>2936</v>
      </c>
      <c r="E442" s="1" t="s">
        <v>2937</v>
      </c>
      <c r="F442" s="1" t="s">
        <v>2622</v>
      </c>
      <c r="G442" s="1" t="s">
        <v>2938</v>
      </c>
    </row>
    <row r="443" spans="1:7" x14ac:dyDescent="0.2">
      <c r="A443" s="1" t="s">
        <v>2939</v>
      </c>
      <c r="B443" s="1" t="s">
        <v>2940</v>
      </c>
      <c r="C443" s="1" t="s">
        <v>2941</v>
      </c>
      <c r="D443" s="1" t="s">
        <v>2942</v>
      </c>
      <c r="E443" s="1" t="s">
        <v>2943</v>
      </c>
      <c r="F443" s="1" t="s">
        <v>2828</v>
      </c>
      <c r="G443" s="1" t="s">
        <v>2944</v>
      </c>
    </row>
    <row r="444" spans="1:7" x14ac:dyDescent="0.2">
      <c r="A444" s="1" t="s">
        <v>2945</v>
      </c>
      <c r="B444" s="1" t="s">
        <v>2946</v>
      </c>
      <c r="C444" s="1" t="s">
        <v>2278</v>
      </c>
      <c r="D444" s="1" t="s">
        <v>2248</v>
      </c>
      <c r="E444" s="1" t="s">
        <v>2947</v>
      </c>
      <c r="F444" s="1" t="s">
        <v>2948</v>
      </c>
      <c r="G444" s="1" t="s">
        <v>2949</v>
      </c>
    </row>
    <row r="445" spans="1:7" x14ac:dyDescent="0.2">
      <c r="A445" s="1" t="s">
        <v>2950</v>
      </c>
      <c r="B445" s="1" t="s">
        <v>2951</v>
      </c>
      <c r="C445" s="1" t="s">
        <v>2952</v>
      </c>
      <c r="D445" s="1" t="s">
        <v>2953</v>
      </c>
      <c r="E445" s="1" t="s">
        <v>2605</v>
      </c>
      <c r="F445" s="1" t="s">
        <v>2954</v>
      </c>
      <c r="G445" s="1" t="s">
        <v>2955</v>
      </c>
    </row>
    <row r="446" spans="1:7" x14ac:dyDescent="0.2">
      <c r="A446" s="1" t="s">
        <v>2956</v>
      </c>
      <c r="B446" s="1" t="s">
        <v>2957</v>
      </c>
      <c r="C446" s="1" t="s">
        <v>2958</v>
      </c>
      <c r="D446" s="1" t="s">
        <v>2959</v>
      </c>
      <c r="E446" s="1" t="s">
        <v>2290</v>
      </c>
      <c r="F446" s="1" t="s">
        <v>2960</v>
      </c>
      <c r="G446" s="1" t="s">
        <v>2961</v>
      </c>
    </row>
    <row r="447" spans="1:7" x14ac:dyDescent="0.2">
      <c r="A447" s="1" t="s">
        <v>2962</v>
      </c>
      <c r="B447" s="1" t="s">
        <v>2963</v>
      </c>
      <c r="C447" s="1" t="s">
        <v>2964</v>
      </c>
      <c r="D447" s="1" t="s">
        <v>2965</v>
      </c>
      <c r="E447" s="1" t="s">
        <v>2966</v>
      </c>
      <c r="F447" s="1" t="s">
        <v>2967</v>
      </c>
      <c r="G447" s="1" t="s">
        <v>2968</v>
      </c>
    </row>
    <row r="448" spans="1:7" x14ac:dyDescent="0.2">
      <c r="A448" s="1" t="s">
        <v>2969</v>
      </c>
      <c r="B448" s="1" t="s">
        <v>2852</v>
      </c>
      <c r="C448" s="1" t="s">
        <v>2853</v>
      </c>
      <c r="D448" s="1" t="s">
        <v>2970</v>
      </c>
      <c r="E448" s="1" t="s">
        <v>2971</v>
      </c>
      <c r="F448" s="1" t="s">
        <v>2972</v>
      </c>
      <c r="G448" s="1" t="s">
        <v>2973</v>
      </c>
    </row>
    <row r="449" spans="1:7" x14ac:dyDescent="0.2">
      <c r="A449" s="1" t="s">
        <v>2974</v>
      </c>
      <c r="B449" s="1" t="s">
        <v>2975</v>
      </c>
      <c r="C449" s="1" t="s">
        <v>2976</v>
      </c>
      <c r="D449" s="1" t="s">
        <v>2977</v>
      </c>
      <c r="E449" s="1" t="s">
        <v>2091</v>
      </c>
      <c r="F449" s="1" t="s">
        <v>2977</v>
      </c>
      <c r="G449" s="1" t="s">
        <v>2978</v>
      </c>
    </row>
    <row r="450" spans="1:7" x14ac:dyDescent="0.2">
      <c r="A450" s="1" t="s">
        <v>2979</v>
      </c>
      <c r="B450" s="1" t="s">
        <v>2980</v>
      </c>
      <c r="C450" s="1" t="s">
        <v>2237</v>
      </c>
      <c r="D450" s="1" t="s">
        <v>2981</v>
      </c>
      <c r="E450" s="1" t="s">
        <v>2982</v>
      </c>
      <c r="F450" s="1" t="s">
        <v>2983</v>
      </c>
      <c r="G450" s="1" t="s">
        <v>2984</v>
      </c>
    </row>
    <row r="451" spans="1:7" x14ac:dyDescent="0.2">
      <c r="A451" s="1" t="s">
        <v>2985</v>
      </c>
      <c r="B451" s="1" t="s">
        <v>2986</v>
      </c>
      <c r="C451" s="1" t="s">
        <v>2987</v>
      </c>
      <c r="D451" s="1" t="s">
        <v>2988</v>
      </c>
      <c r="E451" s="1" t="s">
        <v>2989</v>
      </c>
      <c r="F451" s="1" t="s">
        <v>2990</v>
      </c>
      <c r="G451" s="1" t="s">
        <v>2991</v>
      </c>
    </row>
    <row r="452" spans="1:7" x14ac:dyDescent="0.2">
      <c r="A452" s="1" t="s">
        <v>2992</v>
      </c>
      <c r="B452" s="1" t="s">
        <v>2993</v>
      </c>
      <c r="C452" s="1" t="s">
        <v>2994</v>
      </c>
      <c r="D452" s="1" t="s">
        <v>2995</v>
      </c>
      <c r="E452" s="1" t="s">
        <v>2996</v>
      </c>
      <c r="F452" s="1" t="s">
        <v>2997</v>
      </c>
      <c r="G452" s="1" t="s">
        <v>2998</v>
      </c>
    </row>
    <row r="453" spans="1:7" x14ac:dyDescent="0.2">
      <c r="A453" s="1" t="s">
        <v>2999</v>
      </c>
      <c r="B453" s="1" t="s">
        <v>3000</v>
      </c>
      <c r="C453" s="1" t="s">
        <v>3001</v>
      </c>
      <c r="D453" s="1" t="s">
        <v>3002</v>
      </c>
      <c r="E453" s="1" t="s">
        <v>3003</v>
      </c>
      <c r="F453" s="1" t="s">
        <v>3004</v>
      </c>
      <c r="G453" s="1" t="s">
        <v>3005</v>
      </c>
    </row>
    <row r="454" spans="1:7" x14ac:dyDescent="0.2">
      <c r="A454" s="1" t="s">
        <v>3006</v>
      </c>
      <c r="B454" s="1" t="s">
        <v>3007</v>
      </c>
      <c r="C454" s="1" t="s">
        <v>3008</v>
      </c>
      <c r="D454" s="1" t="s">
        <v>3009</v>
      </c>
      <c r="E454" s="1" t="s">
        <v>3010</v>
      </c>
      <c r="F454" s="1" t="s">
        <v>3011</v>
      </c>
      <c r="G454" s="1" t="s">
        <v>3012</v>
      </c>
    </row>
    <row r="455" spans="1:7" x14ac:dyDescent="0.2">
      <c r="A455" s="1" t="s">
        <v>3013</v>
      </c>
      <c r="B455" s="1" t="s">
        <v>3014</v>
      </c>
      <c r="C455" s="1" t="s">
        <v>3015</v>
      </c>
      <c r="D455" s="1" t="s">
        <v>3016</v>
      </c>
      <c r="E455" s="1" t="s">
        <v>3017</v>
      </c>
      <c r="F455" s="1" t="s">
        <v>3018</v>
      </c>
      <c r="G455" s="1" t="s">
        <v>3019</v>
      </c>
    </row>
    <row r="456" spans="1:7" x14ac:dyDescent="0.2">
      <c r="A456" s="1" t="s">
        <v>3020</v>
      </c>
      <c r="B456" s="1" t="s">
        <v>3021</v>
      </c>
      <c r="C456" s="1" t="s">
        <v>3022</v>
      </c>
      <c r="D456" s="1" t="s">
        <v>3023</v>
      </c>
      <c r="E456" s="1" t="s">
        <v>2159</v>
      </c>
      <c r="F456" s="1" t="s">
        <v>3024</v>
      </c>
      <c r="G456" s="1" t="s">
        <v>3025</v>
      </c>
    </row>
    <row r="457" spans="1:7" x14ac:dyDescent="0.2">
      <c r="A457" s="1" t="s">
        <v>3026</v>
      </c>
      <c r="B457" s="1" t="s">
        <v>3027</v>
      </c>
      <c r="C457" s="1" t="s">
        <v>3028</v>
      </c>
      <c r="D457" s="1" t="s">
        <v>3029</v>
      </c>
      <c r="E457" s="1" t="s">
        <v>3030</v>
      </c>
      <c r="F457" s="1" t="s">
        <v>3031</v>
      </c>
      <c r="G457" s="1" t="s">
        <v>3032</v>
      </c>
    </row>
    <row r="458" spans="1:7" x14ac:dyDescent="0.2">
      <c r="A458" s="1" t="s">
        <v>3033</v>
      </c>
      <c r="B458" s="1" t="s">
        <v>3034</v>
      </c>
      <c r="C458" s="1" t="s">
        <v>3035</v>
      </c>
      <c r="D458" s="1" t="s">
        <v>3036</v>
      </c>
      <c r="E458" s="1" t="s">
        <v>2169</v>
      </c>
      <c r="F458" s="1" t="s">
        <v>3037</v>
      </c>
      <c r="G458" s="1" t="s">
        <v>3038</v>
      </c>
    </row>
    <row r="459" spans="1:7" x14ac:dyDescent="0.2">
      <c r="A459" s="1" t="s">
        <v>3039</v>
      </c>
      <c r="B459" s="1" t="s">
        <v>3040</v>
      </c>
      <c r="C459" s="1" t="s">
        <v>3041</v>
      </c>
      <c r="D459" s="1" t="s">
        <v>3042</v>
      </c>
      <c r="E459" s="1" t="s">
        <v>3043</v>
      </c>
      <c r="F459" s="1" t="s">
        <v>3044</v>
      </c>
      <c r="G459" s="1" t="s">
        <v>3045</v>
      </c>
    </row>
    <row r="460" spans="1:7" x14ac:dyDescent="0.2">
      <c r="A460" s="1" t="s">
        <v>3046</v>
      </c>
      <c r="B460" s="1" t="s">
        <v>3047</v>
      </c>
      <c r="C460" s="1" t="s">
        <v>3048</v>
      </c>
      <c r="D460" s="1" t="s">
        <v>3049</v>
      </c>
      <c r="E460" s="1" t="s">
        <v>3050</v>
      </c>
      <c r="F460" s="1" t="s">
        <v>3051</v>
      </c>
      <c r="G460" s="1" t="s">
        <v>3052</v>
      </c>
    </row>
    <row r="461" spans="1:7" x14ac:dyDescent="0.2">
      <c r="A461" s="1" t="s">
        <v>3053</v>
      </c>
      <c r="B461" s="1" t="s">
        <v>3054</v>
      </c>
      <c r="C461" s="1" t="s">
        <v>3055</v>
      </c>
      <c r="D461" s="1" t="s">
        <v>3056</v>
      </c>
      <c r="E461" s="1" t="s">
        <v>3057</v>
      </c>
      <c r="F461" s="1" t="s">
        <v>3058</v>
      </c>
      <c r="G461" s="1" t="s">
        <v>3059</v>
      </c>
    </row>
    <row r="462" spans="1:7" x14ac:dyDescent="0.2">
      <c r="A462" s="1" t="s">
        <v>3060</v>
      </c>
      <c r="B462" s="1" t="s">
        <v>3061</v>
      </c>
      <c r="C462" s="1" t="s">
        <v>3062</v>
      </c>
      <c r="D462" s="1" t="s">
        <v>3063</v>
      </c>
      <c r="E462" s="1" t="s">
        <v>3064</v>
      </c>
      <c r="F462" s="1" t="s">
        <v>3065</v>
      </c>
      <c r="G462" s="1" t="s">
        <v>3066</v>
      </c>
    </row>
    <row r="463" spans="1:7" x14ac:dyDescent="0.2">
      <c r="A463" s="1" t="s">
        <v>3067</v>
      </c>
      <c r="B463" s="1" t="s">
        <v>3068</v>
      </c>
      <c r="C463" s="1" t="s">
        <v>3069</v>
      </c>
      <c r="D463" s="1" t="s">
        <v>3070</v>
      </c>
      <c r="E463" s="1" t="s">
        <v>3071</v>
      </c>
      <c r="F463" s="1" t="s">
        <v>1492</v>
      </c>
      <c r="G463" s="1" t="s">
        <v>3072</v>
      </c>
    </row>
    <row r="464" spans="1:7" x14ac:dyDescent="0.2">
      <c r="A464" s="1" t="s">
        <v>3073</v>
      </c>
      <c r="B464" s="1" t="s">
        <v>3074</v>
      </c>
      <c r="C464" s="1" t="s">
        <v>3075</v>
      </c>
      <c r="D464" s="1" t="s">
        <v>3076</v>
      </c>
      <c r="E464" s="1" t="s">
        <v>3077</v>
      </c>
      <c r="F464" s="1" t="s">
        <v>3078</v>
      </c>
      <c r="G464" s="1" t="s">
        <v>3079</v>
      </c>
    </row>
    <row r="465" spans="1:7" x14ac:dyDescent="0.2">
      <c r="A465" s="1" t="s">
        <v>3080</v>
      </c>
      <c r="B465" s="1" t="s">
        <v>3081</v>
      </c>
      <c r="C465" s="1" t="s">
        <v>1415</v>
      </c>
      <c r="D465" s="1" t="s">
        <v>3082</v>
      </c>
      <c r="E465" s="1" t="s">
        <v>3083</v>
      </c>
      <c r="F465" s="1" t="s">
        <v>186</v>
      </c>
      <c r="G465" s="1" t="s">
        <v>3084</v>
      </c>
    </row>
    <row r="466" spans="1:7" x14ac:dyDescent="0.2">
      <c r="A466" s="1" t="s">
        <v>3085</v>
      </c>
      <c r="B466" s="1" t="s">
        <v>3086</v>
      </c>
      <c r="C466" s="1" t="s">
        <v>3087</v>
      </c>
      <c r="D466" s="1" t="s">
        <v>1415</v>
      </c>
      <c r="E466" s="1" t="s">
        <v>3023</v>
      </c>
      <c r="F466" s="1" t="s">
        <v>3088</v>
      </c>
      <c r="G466" s="1" t="s">
        <v>3089</v>
      </c>
    </row>
    <row r="467" spans="1:7" x14ac:dyDescent="0.2">
      <c r="A467" s="1" t="s">
        <v>3090</v>
      </c>
      <c r="B467" s="1" t="s">
        <v>3091</v>
      </c>
      <c r="C467" s="1" t="s">
        <v>3092</v>
      </c>
      <c r="D467" s="1" t="s">
        <v>3093</v>
      </c>
      <c r="E467" s="1" t="s">
        <v>3094</v>
      </c>
      <c r="F467" s="1" t="s">
        <v>3095</v>
      </c>
      <c r="G467" s="1" t="s">
        <v>3096</v>
      </c>
    </row>
    <row r="468" spans="1:7" x14ac:dyDescent="0.2">
      <c r="A468" s="1" t="s">
        <v>3097</v>
      </c>
      <c r="B468" s="1" t="s">
        <v>3098</v>
      </c>
      <c r="C468" s="1" t="s">
        <v>3099</v>
      </c>
      <c r="D468" s="1" t="s">
        <v>3100</v>
      </c>
      <c r="E468" s="1" t="s">
        <v>3101</v>
      </c>
      <c r="F468" s="1" t="s">
        <v>3102</v>
      </c>
      <c r="G468" s="1" t="s">
        <v>3103</v>
      </c>
    </row>
    <row r="469" spans="1:7" x14ac:dyDescent="0.2">
      <c r="A469" s="1" t="s">
        <v>3104</v>
      </c>
      <c r="B469" s="1" t="s">
        <v>3105</v>
      </c>
      <c r="C469" s="1" t="s">
        <v>3106</v>
      </c>
      <c r="D469" s="1" t="s">
        <v>3107</v>
      </c>
      <c r="E469" s="1" t="s">
        <v>3108</v>
      </c>
      <c r="F469" s="1" t="s">
        <v>3109</v>
      </c>
      <c r="G469" s="1" t="s">
        <v>3110</v>
      </c>
    </row>
    <row r="470" spans="1:7" x14ac:dyDescent="0.2">
      <c r="A470" s="1" t="s">
        <v>3111</v>
      </c>
      <c r="B470" s="1" t="s">
        <v>3112</v>
      </c>
      <c r="C470" s="1" t="s">
        <v>3113</v>
      </c>
      <c r="D470" s="1" t="s">
        <v>3114</v>
      </c>
      <c r="E470" s="1" t="s">
        <v>3115</v>
      </c>
      <c r="F470" s="1" t="s">
        <v>3116</v>
      </c>
      <c r="G470" s="1" t="s">
        <v>3117</v>
      </c>
    </row>
    <row r="471" spans="1:7" x14ac:dyDescent="0.2">
      <c r="A471" s="1" t="s">
        <v>3118</v>
      </c>
      <c r="B471" s="1" t="s">
        <v>3119</v>
      </c>
      <c r="C471" s="1" t="s">
        <v>3120</v>
      </c>
      <c r="D471" s="1" t="s">
        <v>3121</v>
      </c>
      <c r="E471" s="1" t="s">
        <v>3122</v>
      </c>
      <c r="F471" s="1" t="s">
        <v>3123</v>
      </c>
      <c r="G471" s="1" t="s">
        <v>3124</v>
      </c>
    </row>
    <row r="472" spans="1:7" x14ac:dyDescent="0.2">
      <c r="A472" s="1" t="s">
        <v>3125</v>
      </c>
      <c r="B472" s="1" t="s">
        <v>3126</v>
      </c>
      <c r="C472" s="1" t="s">
        <v>3127</v>
      </c>
      <c r="D472" s="1" t="s">
        <v>3128</v>
      </c>
      <c r="E472" s="1" t="s">
        <v>3129</v>
      </c>
      <c r="F472" s="1" t="s">
        <v>3130</v>
      </c>
      <c r="G472" s="1" t="s">
        <v>3131</v>
      </c>
    </row>
    <row r="473" spans="1:7" x14ac:dyDescent="0.2">
      <c r="A473" s="1" t="s">
        <v>3132</v>
      </c>
      <c r="B473" s="1" t="s">
        <v>3133</v>
      </c>
      <c r="C473" s="1" t="s">
        <v>3134</v>
      </c>
      <c r="D473" s="1" t="s">
        <v>3135</v>
      </c>
      <c r="E473" s="1" t="s">
        <v>3136</v>
      </c>
      <c r="F473" s="1" t="s">
        <v>3137</v>
      </c>
      <c r="G473" s="1" t="s">
        <v>3138</v>
      </c>
    </row>
    <row r="474" spans="1:7" x14ac:dyDescent="0.2">
      <c r="A474" s="1" t="s">
        <v>3139</v>
      </c>
      <c r="B474" s="1" t="s">
        <v>3105</v>
      </c>
      <c r="C474" s="1" t="s">
        <v>3106</v>
      </c>
      <c r="D474" s="1" t="s">
        <v>3140</v>
      </c>
      <c r="E474" s="1" t="s">
        <v>3141</v>
      </c>
      <c r="F474" s="1" t="s">
        <v>3142</v>
      </c>
      <c r="G474" s="1" t="s">
        <v>3143</v>
      </c>
    </row>
    <row r="475" spans="1:7" x14ac:dyDescent="0.2">
      <c r="A475" s="1" t="s">
        <v>3144</v>
      </c>
      <c r="B475" s="1" t="s">
        <v>3145</v>
      </c>
      <c r="C475" s="1" t="s">
        <v>3146</v>
      </c>
      <c r="D475" s="1" t="s">
        <v>3147</v>
      </c>
      <c r="E475" s="1" t="s">
        <v>3148</v>
      </c>
      <c r="F475" s="1" t="s">
        <v>3149</v>
      </c>
      <c r="G475" s="1" t="s">
        <v>3150</v>
      </c>
    </row>
    <row r="476" spans="1:7" x14ac:dyDescent="0.2">
      <c r="A476" s="1" t="s">
        <v>3151</v>
      </c>
      <c r="B476" s="1" t="s">
        <v>3152</v>
      </c>
      <c r="C476" s="1" t="s">
        <v>3153</v>
      </c>
      <c r="D476" s="1" t="s">
        <v>3154</v>
      </c>
      <c r="E476" s="1" t="s">
        <v>3155</v>
      </c>
      <c r="F476" s="1" t="s">
        <v>3156</v>
      </c>
      <c r="G476" s="1" t="s">
        <v>3157</v>
      </c>
    </row>
    <row r="477" spans="1:7" x14ac:dyDescent="0.2">
      <c r="A477" s="1" t="s">
        <v>3158</v>
      </c>
      <c r="B477" s="1" t="s">
        <v>3159</v>
      </c>
      <c r="C477" s="1" t="s">
        <v>3160</v>
      </c>
      <c r="D477" s="1" t="s">
        <v>3161</v>
      </c>
      <c r="E477" s="1" t="s">
        <v>3162</v>
      </c>
      <c r="F477" s="1" t="s">
        <v>3163</v>
      </c>
      <c r="G477" s="1" t="s">
        <v>3164</v>
      </c>
    </row>
    <row r="478" spans="1:7" x14ac:dyDescent="0.2">
      <c r="A478" s="1" t="s">
        <v>3165</v>
      </c>
      <c r="B478" s="1" t="s">
        <v>3166</v>
      </c>
      <c r="C478" s="1" t="s">
        <v>3167</v>
      </c>
      <c r="D478" s="1" t="s">
        <v>3168</v>
      </c>
      <c r="E478" s="1" t="s">
        <v>3169</v>
      </c>
      <c r="F478" s="1" t="s">
        <v>3093</v>
      </c>
      <c r="G478" s="1" t="s">
        <v>3170</v>
      </c>
    </row>
    <row r="479" spans="1:7" x14ac:dyDescent="0.2">
      <c r="A479" s="1" t="s">
        <v>3171</v>
      </c>
      <c r="B479" s="1" t="s">
        <v>3172</v>
      </c>
      <c r="C479" s="1" t="s">
        <v>3173</v>
      </c>
      <c r="D479" s="1" t="s">
        <v>3174</v>
      </c>
      <c r="E479" s="1" t="s">
        <v>3175</v>
      </c>
      <c r="F479" s="1" t="s">
        <v>3176</v>
      </c>
      <c r="G479" s="1" t="s">
        <v>3177</v>
      </c>
    </row>
    <row r="480" spans="1:7" x14ac:dyDescent="0.2">
      <c r="A480" s="1" t="s">
        <v>3178</v>
      </c>
      <c r="B480" s="1" t="s">
        <v>3179</v>
      </c>
      <c r="C480" s="1" t="s">
        <v>1456</v>
      </c>
      <c r="D480" s="1" t="s">
        <v>3180</v>
      </c>
      <c r="E480" s="1" t="s">
        <v>3181</v>
      </c>
      <c r="F480" s="1" t="s">
        <v>3182</v>
      </c>
      <c r="G480" s="1" t="s">
        <v>3183</v>
      </c>
    </row>
    <row r="481" spans="1:7" x14ac:dyDescent="0.2">
      <c r="A481" s="1" t="s">
        <v>3184</v>
      </c>
      <c r="B481" s="1" t="s">
        <v>3185</v>
      </c>
      <c r="C481" s="1" t="s">
        <v>3186</v>
      </c>
      <c r="D481" s="1" t="s">
        <v>3187</v>
      </c>
      <c r="E481" s="1" t="s">
        <v>3188</v>
      </c>
      <c r="F481" s="1" t="s">
        <v>3100</v>
      </c>
      <c r="G481" s="1" t="s">
        <v>3189</v>
      </c>
    </row>
    <row r="482" spans="1:7" x14ac:dyDescent="0.2">
      <c r="A482" s="1" t="s">
        <v>3190</v>
      </c>
      <c r="B482" s="1" t="s">
        <v>3191</v>
      </c>
      <c r="C482" s="1" t="s">
        <v>3192</v>
      </c>
      <c r="D482" s="1" t="s">
        <v>3193</v>
      </c>
      <c r="E482" s="1" t="s">
        <v>3194</v>
      </c>
      <c r="F482" s="1" t="s">
        <v>3195</v>
      </c>
      <c r="G482" s="1" t="s">
        <v>3196</v>
      </c>
    </row>
    <row r="483" spans="1:7" x14ac:dyDescent="0.2">
      <c r="A483" s="1" t="s">
        <v>3197</v>
      </c>
      <c r="B483" s="1" t="s">
        <v>3198</v>
      </c>
      <c r="C483" s="1" t="s">
        <v>3199</v>
      </c>
      <c r="D483" s="1" t="s">
        <v>3200</v>
      </c>
      <c r="E483" s="1" t="s">
        <v>3201</v>
      </c>
      <c r="F483" s="1" t="s">
        <v>3202</v>
      </c>
      <c r="G483" s="1" t="s">
        <v>3203</v>
      </c>
    </row>
    <row r="484" spans="1:7" x14ac:dyDescent="0.2">
      <c r="A484" s="1" t="s">
        <v>3204</v>
      </c>
      <c r="B484" s="1" t="s">
        <v>3205</v>
      </c>
      <c r="C484" s="1" t="s">
        <v>421</v>
      </c>
      <c r="D484" s="1" t="s">
        <v>3206</v>
      </c>
      <c r="E484" s="1" t="s">
        <v>3207</v>
      </c>
      <c r="F484" s="1" t="s">
        <v>3208</v>
      </c>
      <c r="G484" s="1" t="s">
        <v>3209</v>
      </c>
    </row>
    <row r="485" spans="1:7" x14ac:dyDescent="0.2">
      <c r="A485" s="1" t="s">
        <v>3210</v>
      </c>
      <c r="B485" s="1" t="s">
        <v>3211</v>
      </c>
      <c r="C485" s="1" t="s">
        <v>3212</v>
      </c>
      <c r="D485" s="1" t="s">
        <v>3213</v>
      </c>
      <c r="E485" s="1" t="s">
        <v>3214</v>
      </c>
      <c r="F485" s="1" t="s">
        <v>3215</v>
      </c>
      <c r="G485" s="1" t="s">
        <v>3216</v>
      </c>
    </row>
    <row r="486" spans="1:7" x14ac:dyDescent="0.2">
      <c r="A486" s="1" t="s">
        <v>3217</v>
      </c>
      <c r="B486" s="1" t="s">
        <v>3218</v>
      </c>
      <c r="C486" s="1" t="s">
        <v>3207</v>
      </c>
      <c r="D486" s="1" t="s">
        <v>3219</v>
      </c>
      <c r="E486" s="1" t="s">
        <v>3220</v>
      </c>
      <c r="F486" s="1" t="s">
        <v>421</v>
      </c>
      <c r="G486" s="1" t="s">
        <v>3221</v>
      </c>
    </row>
    <row r="487" spans="1:7" x14ac:dyDescent="0.2">
      <c r="A487" s="1" t="s">
        <v>3222</v>
      </c>
      <c r="B487" s="1" t="s">
        <v>3223</v>
      </c>
      <c r="C487" s="1" t="s">
        <v>3224</v>
      </c>
      <c r="D487" s="1" t="s">
        <v>421</v>
      </c>
      <c r="E487" s="1" t="s">
        <v>3116</v>
      </c>
      <c r="F487" s="1" t="s">
        <v>3225</v>
      </c>
      <c r="G487" s="1" t="s">
        <v>3226</v>
      </c>
    </row>
    <row r="488" spans="1:7" x14ac:dyDescent="0.2">
      <c r="A488" s="1" t="s">
        <v>3227</v>
      </c>
      <c r="B488" s="1" t="s">
        <v>3228</v>
      </c>
      <c r="C488" s="1" t="s">
        <v>3130</v>
      </c>
      <c r="D488" s="1" t="s">
        <v>3229</v>
      </c>
      <c r="E488" s="1" t="s">
        <v>3230</v>
      </c>
      <c r="F488" s="1" t="s">
        <v>3231</v>
      </c>
      <c r="G488" s="1" t="s">
        <v>3232</v>
      </c>
    </row>
    <row r="489" spans="1:7" x14ac:dyDescent="0.2">
      <c r="A489" s="1" t="s">
        <v>3233</v>
      </c>
      <c r="B489" s="1" t="s">
        <v>3234</v>
      </c>
      <c r="C489" s="1" t="s">
        <v>3235</v>
      </c>
      <c r="D489" s="1" t="s">
        <v>3236</v>
      </c>
      <c r="E489" s="1" t="s">
        <v>3237</v>
      </c>
      <c r="F489" s="1" t="s">
        <v>3238</v>
      </c>
      <c r="G489" s="1" t="s">
        <v>3239</v>
      </c>
    </row>
    <row r="490" spans="1:7" x14ac:dyDescent="0.2">
      <c r="A490" s="1" t="s">
        <v>3240</v>
      </c>
      <c r="B490" s="1" t="s">
        <v>3241</v>
      </c>
      <c r="C490" s="1" t="s">
        <v>3242</v>
      </c>
      <c r="D490" s="1" t="s">
        <v>3243</v>
      </c>
      <c r="E490" s="1" t="s">
        <v>3244</v>
      </c>
      <c r="F490" s="1" t="s">
        <v>545</v>
      </c>
      <c r="G490" s="1" t="s">
        <v>3245</v>
      </c>
    </row>
    <row r="491" spans="1:7" x14ac:dyDescent="0.2">
      <c r="A491" s="1" t="s">
        <v>3246</v>
      </c>
      <c r="B491" s="1" t="s">
        <v>3247</v>
      </c>
      <c r="C491" s="1" t="s">
        <v>3248</v>
      </c>
      <c r="D491" s="1" t="s">
        <v>3249</v>
      </c>
      <c r="E491" s="1" t="s">
        <v>3250</v>
      </c>
      <c r="F491" s="1" t="s">
        <v>3251</v>
      </c>
      <c r="G491" s="1" t="s">
        <v>3252</v>
      </c>
    </row>
    <row r="492" spans="1:7" x14ac:dyDescent="0.2">
      <c r="A492" s="1" t="s">
        <v>3253</v>
      </c>
      <c r="B492" s="1" t="s">
        <v>3247</v>
      </c>
      <c r="C492" s="1" t="s">
        <v>3248</v>
      </c>
      <c r="D492" s="1" t="s">
        <v>3254</v>
      </c>
      <c r="E492" s="1" t="s">
        <v>3255</v>
      </c>
      <c r="F492" s="1" t="s">
        <v>3256</v>
      </c>
      <c r="G492" s="1" t="s">
        <v>3257</v>
      </c>
    </row>
    <row r="493" spans="1:7" x14ac:dyDescent="0.2">
      <c r="A493" s="1" t="s">
        <v>3258</v>
      </c>
      <c r="B493" s="1" t="s">
        <v>3259</v>
      </c>
      <c r="C493" s="1" t="s">
        <v>3260</v>
      </c>
      <c r="D493" s="1" t="s">
        <v>3261</v>
      </c>
      <c r="E493" s="1" t="s">
        <v>3262</v>
      </c>
      <c r="F493" s="1" t="s">
        <v>3263</v>
      </c>
      <c r="G493" s="1" t="s">
        <v>3264</v>
      </c>
    </row>
    <row r="494" spans="1:7" x14ac:dyDescent="0.2">
      <c r="A494" s="1" t="s">
        <v>3265</v>
      </c>
      <c r="B494" s="1" t="s">
        <v>3266</v>
      </c>
      <c r="C494" s="1" t="s">
        <v>3267</v>
      </c>
      <c r="D494" s="1" t="s">
        <v>3268</v>
      </c>
      <c r="E494" s="1" t="s">
        <v>3269</v>
      </c>
      <c r="F494" s="1" t="s">
        <v>3270</v>
      </c>
      <c r="G494" s="1" t="s">
        <v>3271</v>
      </c>
    </row>
    <row r="495" spans="1:7" x14ac:dyDescent="0.2">
      <c r="A495" s="1" t="s">
        <v>3272</v>
      </c>
      <c r="B495" s="1" t="s">
        <v>3273</v>
      </c>
      <c r="C495" s="1" t="s">
        <v>3274</v>
      </c>
      <c r="D495" s="1" t="s">
        <v>3275</v>
      </c>
      <c r="E495" s="1" t="s">
        <v>3276</v>
      </c>
      <c r="F495" s="1" t="s">
        <v>3277</v>
      </c>
      <c r="G495" s="1" t="s">
        <v>3278</v>
      </c>
    </row>
    <row r="496" spans="1:7" x14ac:dyDescent="0.2">
      <c r="A496" s="1" t="s">
        <v>3279</v>
      </c>
      <c r="B496" s="1" t="s">
        <v>3280</v>
      </c>
      <c r="C496" s="1" t="s">
        <v>3281</v>
      </c>
      <c r="D496" s="1" t="s">
        <v>478</v>
      </c>
      <c r="E496" s="1" t="s">
        <v>3282</v>
      </c>
      <c r="F496" s="1" t="s">
        <v>1381</v>
      </c>
      <c r="G496" s="1" t="s">
        <v>3283</v>
      </c>
    </row>
    <row r="497" spans="1:7" x14ac:dyDescent="0.2">
      <c r="A497" s="1" t="s">
        <v>3284</v>
      </c>
      <c r="B497" s="1" t="s">
        <v>3285</v>
      </c>
      <c r="C497" s="1" t="s">
        <v>3286</v>
      </c>
      <c r="D497" s="1" t="s">
        <v>3287</v>
      </c>
      <c r="E497" s="1" t="s">
        <v>3288</v>
      </c>
      <c r="F497" s="1" t="s">
        <v>3289</v>
      </c>
      <c r="G497" s="1" t="s">
        <v>3290</v>
      </c>
    </row>
    <row r="498" spans="1:7" x14ac:dyDescent="0.2">
      <c r="A498" s="1" t="s">
        <v>3291</v>
      </c>
      <c r="B498" s="1" t="s">
        <v>3292</v>
      </c>
      <c r="C498" s="1" t="s">
        <v>3293</v>
      </c>
      <c r="D498" s="1" t="s">
        <v>3294</v>
      </c>
      <c r="E498" s="1" t="s">
        <v>413</v>
      </c>
      <c r="F498" s="1" t="s">
        <v>3289</v>
      </c>
      <c r="G498" s="1" t="s">
        <v>3295</v>
      </c>
    </row>
    <row r="499" spans="1:7" x14ac:dyDescent="0.2">
      <c r="A499" s="1" t="s">
        <v>3296</v>
      </c>
      <c r="B499" s="1" t="s">
        <v>3297</v>
      </c>
      <c r="C499" s="1" t="s">
        <v>3298</v>
      </c>
      <c r="D499" s="1" t="s">
        <v>3299</v>
      </c>
      <c r="E499" s="1" t="s">
        <v>3300</v>
      </c>
      <c r="F499" s="1" t="s">
        <v>3301</v>
      </c>
      <c r="G499" s="1" t="s">
        <v>3302</v>
      </c>
    </row>
    <row r="500" spans="1:7" x14ac:dyDescent="0.2">
      <c r="A500" s="1" t="s">
        <v>3303</v>
      </c>
      <c r="B500" s="1" t="s">
        <v>3304</v>
      </c>
      <c r="C500" s="1" t="s">
        <v>3305</v>
      </c>
      <c r="D500" s="1" t="s">
        <v>3306</v>
      </c>
      <c r="E500" s="1" t="s">
        <v>3307</v>
      </c>
      <c r="F500" s="1" t="s">
        <v>3308</v>
      </c>
      <c r="G500" s="1" t="s">
        <v>3309</v>
      </c>
    </row>
    <row r="501" spans="1:7" x14ac:dyDescent="0.2">
      <c r="A501" s="1" t="s">
        <v>3310</v>
      </c>
      <c r="B501" s="1" t="s">
        <v>3311</v>
      </c>
      <c r="C501" s="1" t="s">
        <v>3312</v>
      </c>
      <c r="D501" s="1" t="s">
        <v>3313</v>
      </c>
      <c r="E501" s="1" t="s">
        <v>316</v>
      </c>
      <c r="F501" s="1" t="s">
        <v>3314</v>
      </c>
      <c r="G501" s="1" t="s">
        <v>3315</v>
      </c>
    </row>
    <row r="502" spans="1:7" x14ac:dyDescent="0.2">
      <c r="A502" s="1" t="s">
        <v>3316</v>
      </c>
      <c r="B502" s="1" t="s">
        <v>3317</v>
      </c>
      <c r="C502" s="1" t="s">
        <v>3318</v>
      </c>
      <c r="D502" s="1" t="s">
        <v>3319</v>
      </c>
      <c r="E502" s="1" t="s">
        <v>3320</v>
      </c>
      <c r="F502" s="1" t="s">
        <v>3321</v>
      </c>
      <c r="G502" s="1" t="s">
        <v>3322</v>
      </c>
    </row>
    <row r="503" spans="1:7" x14ac:dyDescent="0.2">
      <c r="A503" s="1" t="s">
        <v>3323</v>
      </c>
      <c r="B503" s="1" t="s">
        <v>3324</v>
      </c>
      <c r="C503" s="1" t="s">
        <v>3325</v>
      </c>
      <c r="D503" s="1" t="s">
        <v>3326</v>
      </c>
      <c r="E503" s="1" t="s">
        <v>3327</v>
      </c>
      <c r="F503" s="1" t="s">
        <v>3328</v>
      </c>
      <c r="G503" s="1" t="s">
        <v>3329</v>
      </c>
    </row>
    <row r="504" spans="1:7" x14ac:dyDescent="0.2">
      <c r="A504" s="1" t="s">
        <v>3330</v>
      </c>
      <c r="B504" s="1" t="s">
        <v>3331</v>
      </c>
      <c r="C504" s="1" t="s">
        <v>589</v>
      </c>
      <c r="D504" s="1" t="s">
        <v>3332</v>
      </c>
      <c r="E504" s="1" t="s">
        <v>133</v>
      </c>
      <c r="F504" s="1" t="s">
        <v>3333</v>
      </c>
      <c r="G504" s="1" t="s">
        <v>3334</v>
      </c>
    </row>
    <row r="505" spans="1:7" x14ac:dyDescent="0.2">
      <c r="A505" s="1" t="s">
        <v>3335</v>
      </c>
      <c r="B505" s="1" t="s">
        <v>3336</v>
      </c>
      <c r="C505" s="1" t="s">
        <v>3337</v>
      </c>
      <c r="D505" s="1" t="s">
        <v>395</v>
      </c>
      <c r="E505" s="1" t="s">
        <v>3338</v>
      </c>
      <c r="F505" s="1" t="s">
        <v>3339</v>
      </c>
      <c r="G505" s="1" t="s">
        <v>3340</v>
      </c>
    </row>
    <row r="506" spans="1:7" x14ac:dyDescent="0.2">
      <c r="A506" s="1" t="s">
        <v>3341</v>
      </c>
      <c r="B506" s="1" t="s">
        <v>3342</v>
      </c>
      <c r="C506" s="1" t="s">
        <v>3343</v>
      </c>
      <c r="D506" s="1" t="s">
        <v>3344</v>
      </c>
      <c r="E506" s="1" t="s">
        <v>3345</v>
      </c>
      <c r="F506" s="1" t="s">
        <v>3346</v>
      </c>
      <c r="G506" s="1" t="s">
        <v>3347</v>
      </c>
    </row>
    <row r="507" spans="1:7" x14ac:dyDescent="0.2">
      <c r="A507" s="1" t="s">
        <v>3348</v>
      </c>
      <c r="B507" s="1" t="s">
        <v>3349</v>
      </c>
      <c r="C507" s="1" t="s">
        <v>3350</v>
      </c>
      <c r="D507" s="1" t="s">
        <v>3351</v>
      </c>
      <c r="E507" s="1" t="s">
        <v>3352</v>
      </c>
      <c r="F507" s="1" t="s">
        <v>3308</v>
      </c>
      <c r="G507" s="1" t="s">
        <v>3353</v>
      </c>
    </row>
    <row r="508" spans="1:7" x14ac:dyDescent="0.2">
      <c r="A508" s="1" t="s">
        <v>3354</v>
      </c>
      <c r="B508" s="1" t="s">
        <v>3355</v>
      </c>
      <c r="C508" s="1" t="s">
        <v>836</v>
      </c>
      <c r="D508" s="1" t="s">
        <v>836</v>
      </c>
      <c r="E508" s="1" t="s">
        <v>3356</v>
      </c>
      <c r="F508" s="1" t="s">
        <v>3357</v>
      </c>
      <c r="G508" s="1" t="s">
        <v>3358</v>
      </c>
    </row>
    <row r="509" spans="1:7" x14ac:dyDescent="0.2">
      <c r="A509" s="1" t="s">
        <v>3359</v>
      </c>
      <c r="B509" s="1" t="s">
        <v>3360</v>
      </c>
      <c r="C509" s="1" t="s">
        <v>3361</v>
      </c>
      <c r="D509" s="1" t="s">
        <v>3362</v>
      </c>
      <c r="E509" s="1" t="s">
        <v>3363</v>
      </c>
      <c r="F509" s="1" t="s">
        <v>118</v>
      </c>
      <c r="G509" s="1" t="s">
        <v>3364</v>
      </c>
    </row>
    <row r="510" spans="1:7" x14ac:dyDescent="0.2">
      <c r="A510" s="1" t="s">
        <v>3365</v>
      </c>
      <c r="B510" s="1" t="s">
        <v>3366</v>
      </c>
      <c r="C510" s="1" t="s">
        <v>3367</v>
      </c>
      <c r="D510" s="1" t="s">
        <v>3368</v>
      </c>
      <c r="E510" s="1" t="s">
        <v>3369</v>
      </c>
      <c r="F510" s="1" t="s">
        <v>3343</v>
      </c>
      <c r="G510" s="1" t="s">
        <v>3370</v>
      </c>
    </row>
    <row r="511" spans="1:7" x14ac:dyDescent="0.2">
      <c r="A511" s="1" t="s">
        <v>3371</v>
      </c>
      <c r="B511" s="1" t="s">
        <v>3372</v>
      </c>
      <c r="C511" s="1" t="s">
        <v>1350</v>
      </c>
      <c r="D511" s="1" t="s">
        <v>3373</v>
      </c>
      <c r="E511" s="1" t="s">
        <v>3374</v>
      </c>
      <c r="F511" s="1" t="s">
        <v>3328</v>
      </c>
      <c r="G511" s="1" t="s">
        <v>3375</v>
      </c>
    </row>
    <row r="512" spans="1:7" x14ac:dyDescent="0.2">
      <c r="A512" s="1" t="s">
        <v>3376</v>
      </c>
      <c r="B512" s="1" t="s">
        <v>3377</v>
      </c>
      <c r="C512" s="1" t="s">
        <v>3378</v>
      </c>
      <c r="D512" s="1" t="s">
        <v>3379</v>
      </c>
      <c r="E512" s="1" t="s">
        <v>3380</v>
      </c>
      <c r="F512" s="1" t="s">
        <v>3381</v>
      </c>
      <c r="G512" s="1" t="s">
        <v>3382</v>
      </c>
    </row>
    <row r="513" spans="1:7" x14ac:dyDescent="0.2">
      <c r="A513" s="1" t="s">
        <v>3383</v>
      </c>
      <c r="B513" s="1" t="s">
        <v>3384</v>
      </c>
      <c r="C513" s="1" t="s">
        <v>3385</v>
      </c>
      <c r="D513" s="1" t="s">
        <v>267</v>
      </c>
      <c r="E513" s="1" t="s">
        <v>847</v>
      </c>
      <c r="F513" s="1" t="s">
        <v>3386</v>
      </c>
      <c r="G513" s="1" t="s">
        <v>3387</v>
      </c>
    </row>
    <row r="514" spans="1:7" x14ac:dyDescent="0.2">
      <c r="A514" s="1" t="s">
        <v>3388</v>
      </c>
      <c r="B514" s="1" t="s">
        <v>3389</v>
      </c>
      <c r="C514" s="1" t="s">
        <v>3390</v>
      </c>
      <c r="D514" s="1" t="s">
        <v>698</v>
      </c>
      <c r="E514" s="1" t="s">
        <v>843</v>
      </c>
      <c r="F514" s="1" t="s">
        <v>388</v>
      </c>
      <c r="G514" s="1" t="s">
        <v>3391</v>
      </c>
    </row>
    <row r="515" spans="1:7" x14ac:dyDescent="0.2">
      <c r="A515" s="1" t="s">
        <v>3392</v>
      </c>
      <c r="B515" s="1" t="s">
        <v>3393</v>
      </c>
      <c r="C515" s="1" t="s">
        <v>912</v>
      </c>
      <c r="D515" s="1" t="s">
        <v>702</v>
      </c>
      <c r="E515" s="1" t="s">
        <v>962</v>
      </c>
      <c r="F515" s="1" t="s">
        <v>3394</v>
      </c>
      <c r="G515" s="1" t="s">
        <v>3395</v>
      </c>
    </row>
    <row r="516" spans="1:7" x14ac:dyDescent="0.2">
      <c r="A516" s="1" t="s">
        <v>3396</v>
      </c>
      <c r="B516" s="1" t="s">
        <v>3397</v>
      </c>
      <c r="C516" s="1" t="s">
        <v>3398</v>
      </c>
      <c r="D516" s="1" t="s">
        <v>3399</v>
      </c>
      <c r="E516" s="1" t="s">
        <v>962</v>
      </c>
      <c r="F516" s="1" t="s">
        <v>3400</v>
      </c>
      <c r="G516" s="1" t="s">
        <v>3401</v>
      </c>
    </row>
    <row r="517" spans="1:7" x14ac:dyDescent="0.2">
      <c r="A517" s="1" t="s">
        <v>3402</v>
      </c>
      <c r="B517" s="1" t="s">
        <v>3403</v>
      </c>
      <c r="C517" s="1" t="s">
        <v>3404</v>
      </c>
      <c r="D517" s="1" t="s">
        <v>605</v>
      </c>
      <c r="E517" s="1" t="s">
        <v>408</v>
      </c>
      <c r="F517" s="1" t="s">
        <v>3405</v>
      </c>
      <c r="G517" s="1" t="s">
        <v>3406</v>
      </c>
    </row>
    <row r="518" spans="1:7" x14ac:dyDescent="0.2">
      <c r="A518" s="1" t="s">
        <v>3407</v>
      </c>
      <c r="B518" s="1" t="s">
        <v>3408</v>
      </c>
      <c r="C518" s="1" t="s">
        <v>3409</v>
      </c>
      <c r="D518" s="1" t="s">
        <v>3410</v>
      </c>
      <c r="E518" s="1" t="s">
        <v>3411</v>
      </c>
      <c r="F518" s="1" t="s">
        <v>3412</v>
      </c>
      <c r="G518" s="1" t="s">
        <v>3413</v>
      </c>
    </row>
    <row r="519" spans="1:7" x14ac:dyDescent="0.2">
      <c r="A519" s="1" t="s">
        <v>3414</v>
      </c>
      <c r="B519" s="1" t="s">
        <v>3415</v>
      </c>
      <c r="C519" s="1" t="s">
        <v>688</v>
      </c>
      <c r="D519" s="1" t="s">
        <v>240</v>
      </c>
      <c r="E519" s="1" t="s">
        <v>3416</v>
      </c>
      <c r="F519" s="1" t="s">
        <v>3417</v>
      </c>
      <c r="G519" s="1" t="s">
        <v>3418</v>
      </c>
    </row>
    <row r="520" spans="1:7" x14ac:dyDescent="0.2">
      <c r="A520" s="1" t="s">
        <v>3419</v>
      </c>
      <c r="B520" s="1" t="s">
        <v>3420</v>
      </c>
      <c r="C520" s="1" t="s">
        <v>3421</v>
      </c>
      <c r="D520" s="1" t="s">
        <v>364</v>
      </c>
      <c r="E520" s="1" t="s">
        <v>3422</v>
      </c>
      <c r="F520" s="1" t="s">
        <v>3423</v>
      </c>
      <c r="G520" s="1" t="s">
        <v>3424</v>
      </c>
    </row>
    <row r="521" spans="1:7" x14ac:dyDescent="0.2">
      <c r="A521" s="1" t="s">
        <v>3425</v>
      </c>
      <c r="B521" s="1" t="s">
        <v>3426</v>
      </c>
      <c r="C521" s="1" t="s">
        <v>611</v>
      </c>
      <c r="D521" s="1" t="s">
        <v>3427</v>
      </c>
      <c r="E521" s="1" t="s">
        <v>3428</v>
      </c>
      <c r="F521" s="1" t="s">
        <v>340</v>
      </c>
      <c r="G521" s="1" t="s">
        <v>3429</v>
      </c>
    </row>
    <row r="522" spans="1:7" x14ac:dyDescent="0.2">
      <c r="A522" s="1" t="s">
        <v>3430</v>
      </c>
      <c r="B522" s="1" t="s">
        <v>3431</v>
      </c>
      <c r="C522" s="1" t="s">
        <v>3432</v>
      </c>
      <c r="D522" s="1" t="s">
        <v>1080</v>
      </c>
      <c r="E522" s="1" t="s">
        <v>3433</v>
      </c>
      <c r="F522" s="1" t="s">
        <v>3434</v>
      </c>
      <c r="G522" s="1" t="s">
        <v>3435</v>
      </c>
    </row>
    <row r="523" spans="1:7" x14ac:dyDescent="0.2">
      <c r="A523" s="1" t="s">
        <v>3436</v>
      </c>
      <c r="B523" s="1" t="s">
        <v>3437</v>
      </c>
      <c r="C523" s="1" t="s">
        <v>368</v>
      </c>
      <c r="D523" s="1" t="s">
        <v>3438</v>
      </c>
      <c r="E523" s="1" t="s">
        <v>3439</v>
      </c>
      <c r="F523" s="1" t="s">
        <v>3440</v>
      </c>
      <c r="G523" s="1" t="s">
        <v>3441</v>
      </c>
    </row>
    <row r="524" spans="1:7" x14ac:dyDescent="0.2">
      <c r="A524" s="1" t="s">
        <v>3442</v>
      </c>
      <c r="B524" s="1" t="s">
        <v>3443</v>
      </c>
      <c r="C524" s="1" t="s">
        <v>3444</v>
      </c>
      <c r="D524" s="1" t="s">
        <v>3445</v>
      </c>
      <c r="E524" s="1" t="s">
        <v>3446</v>
      </c>
      <c r="F524" s="1" t="s">
        <v>3447</v>
      </c>
      <c r="G524" s="1" t="s">
        <v>3448</v>
      </c>
    </row>
    <row r="525" spans="1:7" x14ac:dyDescent="0.2">
      <c r="A525" s="1" t="s">
        <v>3449</v>
      </c>
      <c r="B525" s="1" t="s">
        <v>3450</v>
      </c>
      <c r="C525" s="1" t="s">
        <v>3451</v>
      </c>
      <c r="D525" s="1" t="s">
        <v>159</v>
      </c>
      <c r="E525" s="1" t="s">
        <v>3452</v>
      </c>
      <c r="F525" s="1" t="s">
        <v>3453</v>
      </c>
      <c r="G525" s="1" t="s">
        <v>3454</v>
      </c>
    </row>
    <row r="526" spans="1:7" x14ac:dyDescent="0.2">
      <c r="A526" s="1" t="s">
        <v>3455</v>
      </c>
      <c r="B526" s="1" t="s">
        <v>3456</v>
      </c>
      <c r="C526" s="1" t="s">
        <v>3457</v>
      </c>
      <c r="D526" s="1" t="s">
        <v>3458</v>
      </c>
      <c r="E526" s="1" t="s">
        <v>3459</v>
      </c>
      <c r="F526" s="1" t="s">
        <v>684</v>
      </c>
      <c r="G526" s="1" t="s">
        <v>3460</v>
      </c>
    </row>
    <row r="527" spans="1:7" x14ac:dyDescent="0.2">
      <c r="A527" s="1" t="s">
        <v>3461</v>
      </c>
      <c r="B527" s="1" t="s">
        <v>3462</v>
      </c>
      <c r="C527" s="1" t="s">
        <v>3463</v>
      </c>
      <c r="D527" s="1" t="s">
        <v>3464</v>
      </c>
      <c r="E527" s="1" t="s">
        <v>3465</v>
      </c>
      <c r="F527" s="1" t="s">
        <v>3466</v>
      </c>
      <c r="G527" s="1" t="s">
        <v>3467</v>
      </c>
    </row>
    <row r="528" spans="1:7" x14ac:dyDescent="0.2">
      <c r="A528" s="1" t="s">
        <v>3468</v>
      </c>
      <c r="B528" s="1" t="s">
        <v>3469</v>
      </c>
      <c r="C528" s="1" t="s">
        <v>3470</v>
      </c>
      <c r="D528" s="1" t="s">
        <v>160</v>
      </c>
      <c r="E528" s="1" t="s">
        <v>3471</v>
      </c>
      <c r="F528" s="1" t="s">
        <v>3472</v>
      </c>
      <c r="G528" s="1" t="s">
        <v>3473</v>
      </c>
    </row>
    <row r="529" spans="1:7" x14ac:dyDescent="0.2">
      <c r="A529" s="1" t="s">
        <v>3474</v>
      </c>
      <c r="B529" s="1" t="s">
        <v>3475</v>
      </c>
      <c r="C529" s="1" t="s">
        <v>3476</v>
      </c>
      <c r="D529" s="1" t="s">
        <v>154</v>
      </c>
      <c r="E529" s="1" t="s">
        <v>3477</v>
      </c>
      <c r="F529" s="1" t="s">
        <v>3478</v>
      </c>
      <c r="G529" s="1" t="s">
        <v>3479</v>
      </c>
    </row>
    <row r="530" spans="1:7" x14ac:dyDescent="0.2">
      <c r="A530" s="1" t="s">
        <v>3480</v>
      </c>
      <c r="B530" s="1" t="s">
        <v>3481</v>
      </c>
      <c r="C530" s="1" t="s">
        <v>3482</v>
      </c>
      <c r="D530" s="1" t="s">
        <v>3483</v>
      </c>
      <c r="E530" s="1" t="s">
        <v>3484</v>
      </c>
      <c r="F530" s="1" t="s">
        <v>3485</v>
      </c>
      <c r="G530" s="1" t="s">
        <v>3486</v>
      </c>
    </row>
    <row r="531" spans="1:7" x14ac:dyDescent="0.2">
      <c r="A531" s="1" t="s">
        <v>3487</v>
      </c>
      <c r="B531" s="1" t="s">
        <v>3488</v>
      </c>
      <c r="C531" s="1" t="s">
        <v>3489</v>
      </c>
      <c r="D531" s="1" t="s">
        <v>3490</v>
      </c>
      <c r="E531" s="1" t="s">
        <v>1361</v>
      </c>
      <c r="F531" s="1" t="s">
        <v>3491</v>
      </c>
      <c r="G531" s="1" t="s">
        <v>3492</v>
      </c>
    </row>
    <row r="532" spans="1:7" x14ac:dyDescent="0.2">
      <c r="A532" s="1" t="s">
        <v>3493</v>
      </c>
      <c r="B532" s="1" t="s">
        <v>3494</v>
      </c>
      <c r="C532" s="1" t="s">
        <v>3495</v>
      </c>
      <c r="D532" s="1" t="s">
        <v>3495</v>
      </c>
      <c r="E532" s="1" t="s">
        <v>3496</v>
      </c>
      <c r="F532" s="1" t="s">
        <v>3497</v>
      </c>
      <c r="G532" s="1" t="s">
        <v>3498</v>
      </c>
    </row>
    <row r="533" spans="1:7" x14ac:dyDescent="0.2">
      <c r="A533" s="1" t="s">
        <v>3499</v>
      </c>
      <c r="B533" s="1" t="s">
        <v>3500</v>
      </c>
      <c r="C533" s="1" t="s">
        <v>1017</v>
      </c>
      <c r="D533" s="1" t="s">
        <v>3501</v>
      </c>
      <c r="E533" s="1" t="s">
        <v>3502</v>
      </c>
      <c r="F533" s="1" t="s">
        <v>3503</v>
      </c>
      <c r="G533" s="1" t="s">
        <v>3504</v>
      </c>
    </row>
    <row r="534" spans="1:7" x14ac:dyDescent="0.2">
      <c r="A534" s="1" t="s">
        <v>3505</v>
      </c>
      <c r="B534" s="1" t="s">
        <v>3506</v>
      </c>
      <c r="C534" s="1" t="s">
        <v>3507</v>
      </c>
      <c r="D534" s="1" t="s">
        <v>3508</v>
      </c>
      <c r="E534" s="1" t="s">
        <v>3509</v>
      </c>
      <c r="F534" s="1" t="s">
        <v>3510</v>
      </c>
      <c r="G534" s="1" t="s">
        <v>3511</v>
      </c>
    </row>
    <row r="535" spans="1:7" x14ac:dyDescent="0.2">
      <c r="A535" s="1" t="s">
        <v>3512</v>
      </c>
      <c r="B535" s="1" t="s">
        <v>3513</v>
      </c>
      <c r="C535" s="1" t="s">
        <v>3514</v>
      </c>
      <c r="D535" s="1" t="s">
        <v>3515</v>
      </c>
      <c r="E535" s="1" t="s">
        <v>3516</v>
      </c>
      <c r="F535" s="1" t="s">
        <v>3517</v>
      </c>
      <c r="G535" s="1" t="s">
        <v>3518</v>
      </c>
    </row>
    <row r="536" spans="1:7" x14ac:dyDescent="0.2">
      <c r="A536" s="1" t="s">
        <v>3519</v>
      </c>
      <c r="B536" s="1" t="s">
        <v>3520</v>
      </c>
      <c r="C536" s="1" t="s">
        <v>3521</v>
      </c>
      <c r="D536" s="1" t="s">
        <v>1180</v>
      </c>
      <c r="E536" s="1" t="s">
        <v>3522</v>
      </c>
      <c r="F536" s="1" t="s">
        <v>3523</v>
      </c>
      <c r="G536" s="1" t="s">
        <v>3524</v>
      </c>
    </row>
    <row r="537" spans="1:7" x14ac:dyDescent="0.2">
      <c r="A537" s="1" t="s">
        <v>3525</v>
      </c>
      <c r="B537" s="1" t="s">
        <v>3526</v>
      </c>
      <c r="C537" s="1" t="s">
        <v>3527</v>
      </c>
      <c r="D537" s="1" t="s">
        <v>3528</v>
      </c>
      <c r="E537" s="1" t="s">
        <v>3529</v>
      </c>
      <c r="F537" s="1" t="s">
        <v>3530</v>
      </c>
      <c r="G537" s="1" t="s">
        <v>3531</v>
      </c>
    </row>
    <row r="538" spans="1:7" x14ac:dyDescent="0.2">
      <c r="A538" s="1" t="s">
        <v>3532</v>
      </c>
      <c r="B538" s="1" t="s">
        <v>3533</v>
      </c>
      <c r="C538" s="1" t="s">
        <v>3534</v>
      </c>
      <c r="D538" s="1" t="s">
        <v>3535</v>
      </c>
      <c r="E538" s="1" t="s">
        <v>3536</v>
      </c>
      <c r="F538" s="1" t="s">
        <v>3537</v>
      </c>
      <c r="G538" s="1" t="s">
        <v>3538</v>
      </c>
    </row>
    <row r="539" spans="1:7" x14ac:dyDescent="0.2">
      <c r="A539" s="1" t="s">
        <v>3539</v>
      </c>
      <c r="B539" s="1" t="s">
        <v>3540</v>
      </c>
      <c r="C539" s="1" t="s">
        <v>3541</v>
      </c>
      <c r="D539" s="1" t="s">
        <v>3542</v>
      </c>
      <c r="E539" s="1" t="s">
        <v>3543</v>
      </c>
      <c r="F539" s="1" t="s">
        <v>3544</v>
      </c>
      <c r="G539" s="1" t="s">
        <v>3545</v>
      </c>
    </row>
    <row r="540" spans="1:7" x14ac:dyDescent="0.2">
      <c r="A540" s="1" t="s">
        <v>3546</v>
      </c>
      <c r="B540" s="1" t="s">
        <v>3547</v>
      </c>
      <c r="C540" s="1" t="s">
        <v>3548</v>
      </c>
      <c r="D540" s="1" t="s">
        <v>3549</v>
      </c>
      <c r="E540" s="1" t="s">
        <v>3550</v>
      </c>
      <c r="F540" s="1" t="s">
        <v>3550</v>
      </c>
      <c r="G540" s="1" t="s">
        <v>3551</v>
      </c>
    </row>
    <row r="541" spans="1:7" x14ac:dyDescent="0.2">
      <c r="A541" s="1" t="s">
        <v>3552</v>
      </c>
      <c r="B541" s="1" t="s">
        <v>3553</v>
      </c>
      <c r="C541" s="1" t="s">
        <v>3554</v>
      </c>
      <c r="D541" s="1" t="s">
        <v>3555</v>
      </c>
      <c r="E541" s="1" t="s">
        <v>3556</v>
      </c>
      <c r="F541" s="1" t="s">
        <v>3557</v>
      </c>
      <c r="G541" s="1" t="s">
        <v>3558</v>
      </c>
    </row>
    <row r="542" spans="1:7" x14ac:dyDescent="0.2">
      <c r="A542" s="1" t="s">
        <v>3559</v>
      </c>
      <c r="B542" s="1" t="s">
        <v>3560</v>
      </c>
      <c r="C542" s="1" t="s">
        <v>3561</v>
      </c>
      <c r="D542" s="1" t="s">
        <v>3562</v>
      </c>
      <c r="E542" s="1" t="s">
        <v>3563</v>
      </c>
      <c r="F542" s="1" t="s">
        <v>3564</v>
      </c>
      <c r="G542" s="1" t="s">
        <v>3565</v>
      </c>
    </row>
    <row r="543" spans="1:7" x14ac:dyDescent="0.2">
      <c r="A543" s="1" t="s">
        <v>3566</v>
      </c>
      <c r="B543" s="1" t="s">
        <v>3567</v>
      </c>
      <c r="C543" s="1" t="s">
        <v>3568</v>
      </c>
      <c r="D543" s="1" t="s">
        <v>3569</v>
      </c>
      <c r="E543" s="1" t="s">
        <v>3570</v>
      </c>
      <c r="F543" s="1" t="s">
        <v>3571</v>
      </c>
      <c r="G543" s="1" t="s">
        <v>3572</v>
      </c>
    </row>
    <row r="544" spans="1:7" x14ac:dyDescent="0.2">
      <c r="A544" s="1" t="s">
        <v>3573</v>
      </c>
      <c r="B544" s="1" t="s">
        <v>3574</v>
      </c>
      <c r="C544" s="1" t="s">
        <v>3575</v>
      </c>
      <c r="D544" s="1" t="s">
        <v>3576</v>
      </c>
      <c r="E544" s="1" t="s">
        <v>3577</v>
      </c>
      <c r="F544" s="1" t="s">
        <v>3578</v>
      </c>
      <c r="G544" s="1" t="s">
        <v>3579</v>
      </c>
    </row>
    <row r="545" spans="1:7" x14ac:dyDescent="0.2">
      <c r="A545" s="1" t="s">
        <v>3580</v>
      </c>
      <c r="B545" s="1" t="s">
        <v>3581</v>
      </c>
      <c r="C545" s="1" t="s">
        <v>3582</v>
      </c>
      <c r="D545" s="1" t="s">
        <v>3583</v>
      </c>
      <c r="E545" s="1" t="s">
        <v>1054</v>
      </c>
      <c r="F545" s="1" t="s">
        <v>3584</v>
      </c>
      <c r="G545" s="1" t="s">
        <v>3585</v>
      </c>
    </row>
    <row r="546" spans="1:7" x14ac:dyDescent="0.2">
      <c r="A546" s="1" t="s">
        <v>3586</v>
      </c>
      <c r="B546" s="1" t="s">
        <v>3587</v>
      </c>
      <c r="C546" s="1" t="s">
        <v>3588</v>
      </c>
      <c r="D546" s="1" t="s">
        <v>1106</v>
      </c>
      <c r="E546" s="1" t="s">
        <v>3589</v>
      </c>
      <c r="F546" s="1" t="s">
        <v>3590</v>
      </c>
      <c r="G546" s="1" t="s">
        <v>3591</v>
      </c>
    </row>
    <row r="547" spans="1:7" x14ac:dyDescent="0.2">
      <c r="A547" s="1" t="s">
        <v>3592</v>
      </c>
      <c r="B547" s="1" t="s">
        <v>3593</v>
      </c>
      <c r="C547" s="1" t="s">
        <v>3594</v>
      </c>
      <c r="D547" s="1" t="s">
        <v>3595</v>
      </c>
      <c r="E547" s="1" t="s">
        <v>3596</v>
      </c>
      <c r="F547" s="1" t="s">
        <v>3597</v>
      </c>
      <c r="G547" s="1" t="s">
        <v>3598</v>
      </c>
    </row>
    <row r="548" spans="1:7" x14ac:dyDescent="0.2">
      <c r="A548" s="1" t="s">
        <v>3599</v>
      </c>
      <c r="B548" s="1" t="s">
        <v>3600</v>
      </c>
      <c r="C548" s="1" t="s">
        <v>1201</v>
      </c>
      <c r="D548" s="1" t="s">
        <v>3601</v>
      </c>
      <c r="E548" s="1" t="s">
        <v>1048</v>
      </c>
      <c r="F548" s="1" t="s">
        <v>3602</v>
      </c>
      <c r="G548" s="1" t="s">
        <v>3603</v>
      </c>
    </row>
    <row r="549" spans="1:7" x14ac:dyDescent="0.2">
      <c r="A549" s="1" t="s">
        <v>3604</v>
      </c>
      <c r="B549" s="1" t="s">
        <v>3605</v>
      </c>
      <c r="C549" s="1" t="s">
        <v>3606</v>
      </c>
      <c r="D549" s="1" t="s">
        <v>3607</v>
      </c>
      <c r="E549" s="1" t="s">
        <v>3608</v>
      </c>
      <c r="F549" s="1" t="s">
        <v>3609</v>
      </c>
      <c r="G549" s="1" t="s">
        <v>3610</v>
      </c>
    </row>
    <row r="550" spans="1:7" x14ac:dyDescent="0.2">
      <c r="A550" s="1" t="s">
        <v>3611</v>
      </c>
      <c r="B550" s="1" t="s">
        <v>3612</v>
      </c>
      <c r="C550" s="1" t="s">
        <v>3613</v>
      </c>
      <c r="D550" s="1" t="s">
        <v>3614</v>
      </c>
      <c r="E550" s="1" t="s">
        <v>3615</v>
      </c>
      <c r="F550" s="1" t="s">
        <v>3616</v>
      </c>
      <c r="G550" s="1" t="s">
        <v>3617</v>
      </c>
    </row>
    <row r="551" spans="1:7" x14ac:dyDescent="0.2">
      <c r="A551" s="1" t="s">
        <v>3618</v>
      </c>
      <c r="B551" s="1" t="s">
        <v>3619</v>
      </c>
      <c r="C551" s="1" t="s">
        <v>3620</v>
      </c>
      <c r="D551" s="1" t="s">
        <v>3621</v>
      </c>
      <c r="E551" s="1" t="s">
        <v>3622</v>
      </c>
      <c r="F551" s="1" t="s">
        <v>3623</v>
      </c>
      <c r="G551" s="1" t="s">
        <v>3624</v>
      </c>
    </row>
    <row r="552" spans="1:7" x14ac:dyDescent="0.2">
      <c r="A552" s="1" t="s">
        <v>3625</v>
      </c>
      <c r="B552" s="1" t="s">
        <v>3626</v>
      </c>
      <c r="C552" s="1" t="s">
        <v>3627</v>
      </c>
      <c r="D552" s="1" t="s">
        <v>3628</v>
      </c>
      <c r="E552" s="1" t="s">
        <v>3629</v>
      </c>
      <c r="F552" s="1" t="s">
        <v>3630</v>
      </c>
      <c r="G552" s="1" t="s">
        <v>3631</v>
      </c>
    </row>
    <row r="553" spans="1:7" x14ac:dyDescent="0.2">
      <c r="A553" s="1" t="s">
        <v>3632</v>
      </c>
      <c r="B553" s="1" t="s">
        <v>3633</v>
      </c>
      <c r="C553" s="1" t="s">
        <v>3634</v>
      </c>
      <c r="D553" s="1" t="s">
        <v>3635</v>
      </c>
      <c r="E553" s="1" t="s">
        <v>3636</v>
      </c>
      <c r="F553" s="1" t="s">
        <v>3637</v>
      </c>
      <c r="G553" s="1" t="s">
        <v>3638</v>
      </c>
    </row>
    <row r="554" spans="1:7" x14ac:dyDescent="0.2">
      <c r="A554" s="1" t="s">
        <v>3639</v>
      </c>
      <c r="B554" s="1" t="s">
        <v>3640</v>
      </c>
      <c r="C554" s="1" t="s">
        <v>3641</v>
      </c>
      <c r="D554" s="1" t="s">
        <v>3641</v>
      </c>
      <c r="E554" s="1" t="s">
        <v>3642</v>
      </c>
      <c r="F554" s="1" t="s">
        <v>3643</v>
      </c>
      <c r="G554" s="1" t="s">
        <v>3644</v>
      </c>
    </row>
    <row r="555" spans="1:7" x14ac:dyDescent="0.2">
      <c r="A555" s="1" t="s">
        <v>3645</v>
      </c>
      <c r="B555" s="1" t="s">
        <v>3646</v>
      </c>
      <c r="C555" s="1" t="s">
        <v>993</v>
      </c>
      <c r="D555" s="1" t="s">
        <v>975</v>
      </c>
      <c r="E555" s="1" t="s">
        <v>3647</v>
      </c>
      <c r="F555" s="1" t="s">
        <v>3648</v>
      </c>
      <c r="G555" s="1" t="s">
        <v>3649</v>
      </c>
    </row>
    <row r="556" spans="1:7" x14ac:dyDescent="0.2">
      <c r="A556" s="1" t="s">
        <v>3650</v>
      </c>
      <c r="B556" s="1" t="s">
        <v>3651</v>
      </c>
      <c r="C556" s="1" t="s">
        <v>3652</v>
      </c>
      <c r="D556" s="1" t="s">
        <v>3653</v>
      </c>
      <c r="E556" s="1" t="s">
        <v>3654</v>
      </c>
      <c r="F556" s="1" t="s">
        <v>3655</v>
      </c>
      <c r="G556" s="1" t="s">
        <v>3656</v>
      </c>
    </row>
    <row r="557" spans="1:7" x14ac:dyDescent="0.2">
      <c r="A557" s="1" t="s">
        <v>3657</v>
      </c>
      <c r="B557" s="1" t="s">
        <v>3658</v>
      </c>
      <c r="C557" s="1" t="s">
        <v>3659</v>
      </c>
      <c r="D557" s="1" t="s">
        <v>3660</v>
      </c>
      <c r="E557" s="1" t="s">
        <v>3661</v>
      </c>
      <c r="F557" s="1" t="s">
        <v>3662</v>
      </c>
      <c r="G557" s="1" t="s">
        <v>3663</v>
      </c>
    </row>
    <row r="558" spans="1:7" x14ac:dyDescent="0.2">
      <c r="A558" s="1" t="s">
        <v>3664</v>
      </c>
      <c r="B558" s="1" t="s">
        <v>3665</v>
      </c>
      <c r="C558" s="1" t="s">
        <v>3666</v>
      </c>
      <c r="D558" s="1" t="s">
        <v>3667</v>
      </c>
      <c r="E558" s="1" t="s">
        <v>3668</v>
      </c>
      <c r="F558" s="1" t="s">
        <v>3669</v>
      </c>
      <c r="G558" s="1" t="s">
        <v>3670</v>
      </c>
    </row>
    <row r="559" spans="1:7" x14ac:dyDescent="0.2">
      <c r="A559" s="1" t="s">
        <v>3671</v>
      </c>
      <c r="B559" s="1" t="s">
        <v>3672</v>
      </c>
      <c r="C559" s="1" t="s">
        <v>3673</v>
      </c>
      <c r="D559" s="1" t="s">
        <v>3674</v>
      </c>
      <c r="E559" s="1" t="s">
        <v>2127</v>
      </c>
      <c r="F559" s="1" t="s">
        <v>3675</v>
      </c>
      <c r="G559" s="1" t="s">
        <v>3676</v>
      </c>
    </row>
    <row r="560" spans="1:7" x14ac:dyDescent="0.2">
      <c r="A560" s="1" t="s">
        <v>3677</v>
      </c>
      <c r="B560" s="1" t="s">
        <v>3678</v>
      </c>
      <c r="C560" s="1" t="s">
        <v>3679</v>
      </c>
      <c r="D560" s="1" t="s">
        <v>3194</v>
      </c>
      <c r="E560" s="1" t="s">
        <v>3680</v>
      </c>
      <c r="F560" s="1" t="s">
        <v>3065</v>
      </c>
      <c r="G560" s="1" t="s">
        <v>3681</v>
      </c>
    </row>
    <row r="561" spans="1:7" x14ac:dyDescent="0.2">
      <c r="A561" s="1" t="s">
        <v>3682</v>
      </c>
      <c r="B561" s="1" t="s">
        <v>3683</v>
      </c>
      <c r="C561" s="1" t="s">
        <v>3684</v>
      </c>
      <c r="D561" s="1" t="s">
        <v>3685</v>
      </c>
      <c r="E561" s="1" t="s">
        <v>3686</v>
      </c>
      <c r="F561" s="1" t="s">
        <v>3687</v>
      </c>
      <c r="G561" s="1" t="s">
        <v>3688</v>
      </c>
    </row>
    <row r="562" spans="1:7" x14ac:dyDescent="0.2">
      <c r="A562" s="1" t="s">
        <v>3689</v>
      </c>
      <c r="B562" s="1" t="s">
        <v>3690</v>
      </c>
      <c r="C562" s="1" t="s">
        <v>3691</v>
      </c>
      <c r="D562" s="1" t="s">
        <v>3692</v>
      </c>
      <c r="E562" s="1" t="s">
        <v>3693</v>
      </c>
      <c r="F562" s="1" t="s">
        <v>3694</v>
      </c>
      <c r="G562" s="1" t="s">
        <v>3695</v>
      </c>
    </row>
    <row r="563" spans="1:7" x14ac:dyDescent="0.2">
      <c r="A563" s="1" t="s">
        <v>3696</v>
      </c>
      <c r="B563" s="1" t="s">
        <v>3697</v>
      </c>
      <c r="C563" s="1" t="s">
        <v>36</v>
      </c>
      <c r="D563" s="1" t="s">
        <v>3698</v>
      </c>
      <c r="E563" s="1" t="s">
        <v>3699</v>
      </c>
      <c r="F563" s="1" t="s">
        <v>3700</v>
      </c>
      <c r="G563" s="1" t="s">
        <v>3701</v>
      </c>
    </row>
    <row r="564" spans="1:7" x14ac:dyDescent="0.2">
      <c r="A564" s="1" t="s">
        <v>3702</v>
      </c>
      <c r="B564" s="1" t="s">
        <v>3703</v>
      </c>
      <c r="C564" s="1" t="s">
        <v>3704</v>
      </c>
      <c r="D564" s="1" t="s">
        <v>3705</v>
      </c>
      <c r="E564" s="1" t="s">
        <v>3706</v>
      </c>
      <c r="F564" s="1" t="s">
        <v>474</v>
      </c>
      <c r="G564" s="1" t="s">
        <v>3707</v>
      </c>
    </row>
    <row r="565" spans="1:7" x14ac:dyDescent="0.2">
      <c r="A565" s="1" t="s">
        <v>3708</v>
      </c>
      <c r="B565" s="1" t="s">
        <v>3709</v>
      </c>
      <c r="C565" s="1" t="s">
        <v>3710</v>
      </c>
      <c r="D565" s="1" t="s">
        <v>3711</v>
      </c>
      <c r="E565" s="1" t="s">
        <v>3712</v>
      </c>
      <c r="F565" s="1" t="s">
        <v>3713</v>
      </c>
      <c r="G565" s="1" t="s">
        <v>3714</v>
      </c>
    </row>
    <row r="566" spans="1:7" x14ac:dyDescent="0.2">
      <c r="A566" s="1" t="s">
        <v>3715</v>
      </c>
      <c r="B566" s="1" t="s">
        <v>3716</v>
      </c>
      <c r="C566" s="1" t="s">
        <v>3717</v>
      </c>
      <c r="D566" s="1" t="s">
        <v>3718</v>
      </c>
      <c r="E566" s="1" t="s">
        <v>240</v>
      </c>
      <c r="F566" s="1" t="s">
        <v>3719</v>
      </c>
      <c r="G566" s="1" t="s">
        <v>3720</v>
      </c>
    </row>
    <row r="567" spans="1:7" x14ac:dyDescent="0.2">
      <c r="A567" s="1" t="s">
        <v>3721</v>
      </c>
      <c r="B567" s="1" t="s">
        <v>3722</v>
      </c>
      <c r="C567" s="1" t="s">
        <v>3723</v>
      </c>
      <c r="D567" s="1" t="s">
        <v>3724</v>
      </c>
      <c r="E567" s="1" t="s">
        <v>595</v>
      </c>
      <c r="F567" s="1" t="s">
        <v>240</v>
      </c>
      <c r="G567" s="1" t="s">
        <v>3725</v>
      </c>
    </row>
    <row r="568" spans="1:7" x14ac:dyDescent="0.2">
      <c r="A568" s="1" t="s">
        <v>3726</v>
      </c>
      <c r="B568" s="1" t="s">
        <v>3727</v>
      </c>
      <c r="C568" s="1" t="s">
        <v>3728</v>
      </c>
      <c r="D568" s="1" t="s">
        <v>3729</v>
      </c>
      <c r="E568" s="1" t="s">
        <v>3427</v>
      </c>
      <c r="F568" s="1" t="s">
        <v>630</v>
      </c>
      <c r="G568" s="1" t="s">
        <v>3730</v>
      </c>
    </row>
    <row r="569" spans="1:7" x14ac:dyDescent="0.2">
      <c r="A569" s="1" t="s">
        <v>3731</v>
      </c>
      <c r="B569" s="1" t="s">
        <v>3732</v>
      </c>
      <c r="C569" s="1" t="s">
        <v>817</v>
      </c>
      <c r="D569" s="1" t="s">
        <v>1211</v>
      </c>
      <c r="E569" s="1" t="s">
        <v>3733</v>
      </c>
      <c r="F569" s="1" t="s">
        <v>3615</v>
      </c>
      <c r="G569" s="1" t="s">
        <v>3734</v>
      </c>
    </row>
    <row r="570" spans="1:7" x14ac:dyDescent="0.2">
      <c r="A570" s="1" t="s">
        <v>3735</v>
      </c>
      <c r="B570" s="1" t="s">
        <v>3736</v>
      </c>
      <c r="C570" s="1" t="s">
        <v>3737</v>
      </c>
      <c r="D570" s="1" t="s">
        <v>3738</v>
      </c>
      <c r="E570" s="1" t="s">
        <v>3739</v>
      </c>
      <c r="F570" s="1" t="s">
        <v>3740</v>
      </c>
      <c r="G570" s="1" t="s">
        <v>2309</v>
      </c>
    </row>
    <row r="571" spans="1:7" x14ac:dyDescent="0.2">
      <c r="A571" s="1" t="s">
        <v>3741</v>
      </c>
      <c r="B571" s="1" t="s">
        <v>3742</v>
      </c>
      <c r="C571" s="1" t="s">
        <v>3743</v>
      </c>
      <c r="D571" s="1" t="s">
        <v>1023</v>
      </c>
      <c r="E571" s="1" t="s">
        <v>3744</v>
      </c>
      <c r="F571" s="1" t="s">
        <v>663</v>
      </c>
      <c r="G571" s="1" t="s">
        <v>3745</v>
      </c>
    </row>
    <row r="572" spans="1:7" x14ac:dyDescent="0.2">
      <c r="A572" s="1" t="s">
        <v>3746</v>
      </c>
      <c r="B572" s="1" t="s">
        <v>3747</v>
      </c>
      <c r="C572" s="1" t="s">
        <v>3748</v>
      </c>
      <c r="D572" s="1" t="s">
        <v>3749</v>
      </c>
      <c r="E572" s="1" t="s">
        <v>3320</v>
      </c>
      <c r="F572" s="1" t="s">
        <v>3750</v>
      </c>
      <c r="G572" s="1" t="s">
        <v>3751</v>
      </c>
    </row>
    <row r="573" spans="1:7" x14ac:dyDescent="0.2">
      <c r="A573" s="1" t="s">
        <v>3752</v>
      </c>
      <c r="B573" s="1" t="s">
        <v>3753</v>
      </c>
      <c r="C573" s="1" t="s">
        <v>3754</v>
      </c>
      <c r="D573" s="1" t="s">
        <v>3755</v>
      </c>
      <c r="E573" s="1" t="s">
        <v>3756</v>
      </c>
      <c r="F573" s="1" t="s">
        <v>3757</v>
      </c>
      <c r="G573" s="1" t="s">
        <v>3758</v>
      </c>
    </row>
    <row r="574" spans="1:7" x14ac:dyDescent="0.2">
      <c r="A574" s="1" t="s">
        <v>3759</v>
      </c>
      <c r="B574" s="1" t="s">
        <v>3760</v>
      </c>
      <c r="C574" s="1" t="s">
        <v>3761</v>
      </c>
      <c r="D574" s="1" t="s">
        <v>3762</v>
      </c>
      <c r="E574" s="1" t="s">
        <v>3763</v>
      </c>
      <c r="F574" s="1" t="s">
        <v>3764</v>
      </c>
      <c r="G574" s="1" t="s">
        <v>3765</v>
      </c>
    </row>
    <row r="575" spans="1:7" x14ac:dyDescent="0.2">
      <c r="A575" s="1" t="s">
        <v>3766</v>
      </c>
      <c r="B575" s="1" t="s">
        <v>3767</v>
      </c>
      <c r="C575" s="1" t="s">
        <v>3768</v>
      </c>
      <c r="D575" s="1" t="s">
        <v>3769</v>
      </c>
      <c r="E575" s="1" t="s">
        <v>3770</v>
      </c>
      <c r="F575" s="1" t="s">
        <v>3771</v>
      </c>
      <c r="G575" s="1" t="s">
        <v>3772</v>
      </c>
    </row>
    <row r="576" spans="1:7" x14ac:dyDescent="0.2">
      <c r="A576" s="1" t="s">
        <v>3773</v>
      </c>
      <c r="B576" s="1" t="s">
        <v>3774</v>
      </c>
      <c r="C576" s="1" t="s">
        <v>3775</v>
      </c>
      <c r="D576" s="1" t="s">
        <v>3776</v>
      </c>
      <c r="E576" s="1" t="s">
        <v>3777</v>
      </c>
      <c r="F576" s="1" t="s">
        <v>3778</v>
      </c>
      <c r="G576" s="1" t="s">
        <v>3779</v>
      </c>
    </row>
    <row r="577" spans="1:7" x14ac:dyDescent="0.2">
      <c r="A577" s="1" t="s">
        <v>3780</v>
      </c>
      <c r="B577" s="1" t="s">
        <v>3781</v>
      </c>
      <c r="C577" s="1" t="s">
        <v>3782</v>
      </c>
      <c r="D577" s="1" t="s">
        <v>3616</v>
      </c>
      <c r="E577" s="1" t="s">
        <v>1030</v>
      </c>
      <c r="F577" s="1" t="s">
        <v>3783</v>
      </c>
      <c r="G577" s="1" t="s">
        <v>3784</v>
      </c>
    </row>
    <row r="578" spans="1:7" x14ac:dyDescent="0.2">
      <c r="A578" s="1" t="s">
        <v>3785</v>
      </c>
      <c r="B578" s="1" t="s">
        <v>3786</v>
      </c>
      <c r="C578" s="1" t="s">
        <v>3787</v>
      </c>
      <c r="D578" s="1" t="s">
        <v>3788</v>
      </c>
      <c r="E578" s="1" t="s">
        <v>3789</v>
      </c>
      <c r="F578" s="1" t="s">
        <v>1195</v>
      </c>
      <c r="G578" s="1" t="s">
        <v>3790</v>
      </c>
    </row>
    <row r="579" spans="1:7" x14ac:dyDescent="0.2">
      <c r="A579" s="1" t="s">
        <v>3791</v>
      </c>
      <c r="B579" s="1" t="s">
        <v>3792</v>
      </c>
      <c r="C579" s="1" t="s">
        <v>3793</v>
      </c>
      <c r="D579" s="1" t="s">
        <v>3794</v>
      </c>
      <c r="E579" s="1" t="s">
        <v>3795</v>
      </c>
      <c r="F579" s="1" t="s">
        <v>3796</v>
      </c>
      <c r="G579" s="1" t="s">
        <v>3797</v>
      </c>
    </row>
    <row r="580" spans="1:7" x14ac:dyDescent="0.2">
      <c r="A580" s="1" t="s">
        <v>3798</v>
      </c>
      <c r="B580" s="1" t="s">
        <v>3799</v>
      </c>
      <c r="C580" s="1" t="s">
        <v>3800</v>
      </c>
      <c r="D580" s="1" t="s">
        <v>3801</v>
      </c>
      <c r="E580" s="1" t="s">
        <v>3802</v>
      </c>
      <c r="F580" s="1" t="s">
        <v>3803</v>
      </c>
      <c r="G580" s="1" t="s">
        <v>3804</v>
      </c>
    </row>
    <row r="581" spans="1:7" x14ac:dyDescent="0.2">
      <c r="A581" s="1" t="s">
        <v>3805</v>
      </c>
      <c r="B581" s="1" t="s">
        <v>3806</v>
      </c>
      <c r="C581" s="1" t="s">
        <v>3807</v>
      </c>
      <c r="D581" s="1" t="s">
        <v>3808</v>
      </c>
      <c r="E581" s="1" t="s">
        <v>3809</v>
      </c>
      <c r="F581" s="1" t="s">
        <v>3810</v>
      </c>
      <c r="G581" s="1" t="s">
        <v>3811</v>
      </c>
    </row>
    <row r="582" spans="1:7" x14ac:dyDescent="0.2">
      <c r="A582" s="1" t="s">
        <v>3812</v>
      </c>
      <c r="B582" s="1" t="s">
        <v>3813</v>
      </c>
      <c r="C582" s="1" t="s">
        <v>3814</v>
      </c>
      <c r="D582" s="1" t="s">
        <v>3815</v>
      </c>
      <c r="E582" s="1" t="s">
        <v>1298</v>
      </c>
      <c r="F582" s="1" t="s">
        <v>3816</v>
      </c>
      <c r="G582" s="1" t="s">
        <v>3817</v>
      </c>
    </row>
    <row r="583" spans="1:7" x14ac:dyDescent="0.2">
      <c r="A583" s="1" t="s">
        <v>3818</v>
      </c>
      <c r="B583" s="1" t="s">
        <v>3819</v>
      </c>
      <c r="C583" s="1" t="s">
        <v>3820</v>
      </c>
      <c r="D583" s="1" t="s">
        <v>3821</v>
      </c>
      <c r="E583" s="1" t="s">
        <v>3822</v>
      </c>
      <c r="F583" s="1" t="s">
        <v>3823</v>
      </c>
      <c r="G583" s="1" t="s">
        <v>3824</v>
      </c>
    </row>
    <row r="584" spans="1:7" x14ac:dyDescent="0.2">
      <c r="A584" s="1" t="s">
        <v>3825</v>
      </c>
      <c r="B584" s="1" t="s">
        <v>3826</v>
      </c>
      <c r="C584" s="1" t="s">
        <v>3827</v>
      </c>
      <c r="D584" s="1" t="s">
        <v>3828</v>
      </c>
      <c r="E584" s="1" t="s">
        <v>1211</v>
      </c>
      <c r="F584" s="1" t="s">
        <v>1135</v>
      </c>
      <c r="G584" s="1" t="s">
        <v>3829</v>
      </c>
    </row>
    <row r="585" spans="1:7" x14ac:dyDescent="0.2">
      <c r="A585" s="1" t="s">
        <v>3830</v>
      </c>
      <c r="B585" s="1" t="s">
        <v>3831</v>
      </c>
      <c r="C585" s="1" t="s">
        <v>3832</v>
      </c>
      <c r="D585" s="1" t="s">
        <v>3833</v>
      </c>
      <c r="E585" s="1" t="s">
        <v>3834</v>
      </c>
      <c r="F585" s="1" t="s">
        <v>3835</v>
      </c>
      <c r="G585" s="1" t="s">
        <v>3836</v>
      </c>
    </row>
    <row r="586" spans="1:7" x14ac:dyDescent="0.2">
      <c r="A586" s="1" t="s">
        <v>3837</v>
      </c>
      <c r="B586" s="1" t="s">
        <v>3838</v>
      </c>
      <c r="C586" s="1" t="s">
        <v>3839</v>
      </c>
      <c r="D586" s="1" t="s">
        <v>3840</v>
      </c>
      <c r="E586" s="1" t="s">
        <v>3841</v>
      </c>
      <c r="F586" s="1" t="s">
        <v>3842</v>
      </c>
      <c r="G586" s="1" t="s">
        <v>3843</v>
      </c>
    </row>
    <row r="587" spans="1:7" x14ac:dyDescent="0.2">
      <c r="A587" s="1" t="s">
        <v>3844</v>
      </c>
      <c r="B587" s="1" t="s">
        <v>3845</v>
      </c>
      <c r="C587" s="1" t="s">
        <v>3846</v>
      </c>
      <c r="D587" s="1" t="s">
        <v>3847</v>
      </c>
      <c r="E587" s="1" t="s">
        <v>3848</v>
      </c>
      <c r="F587" s="1" t="s">
        <v>3849</v>
      </c>
      <c r="G587" s="1" t="s">
        <v>3850</v>
      </c>
    </row>
    <row r="588" spans="1:7" x14ac:dyDescent="0.2">
      <c r="A588" s="1" t="s">
        <v>3851</v>
      </c>
      <c r="B588" s="1" t="s">
        <v>3852</v>
      </c>
      <c r="C588" s="1" t="s">
        <v>3853</v>
      </c>
      <c r="D588" s="1" t="s">
        <v>3854</v>
      </c>
      <c r="E588" s="1" t="s">
        <v>3855</v>
      </c>
      <c r="F588" s="1" t="s">
        <v>3856</v>
      </c>
      <c r="G588" s="1" t="s">
        <v>3857</v>
      </c>
    </row>
    <row r="589" spans="1:7" x14ac:dyDescent="0.2">
      <c r="A589" s="1" t="s">
        <v>3858</v>
      </c>
      <c r="B589" s="1" t="s">
        <v>3859</v>
      </c>
      <c r="C589" s="1" t="s">
        <v>3860</v>
      </c>
      <c r="D589" s="1" t="s">
        <v>3861</v>
      </c>
      <c r="E589" s="1" t="s">
        <v>3862</v>
      </c>
      <c r="F589" s="1" t="s">
        <v>3863</v>
      </c>
      <c r="G589" s="1" t="s">
        <v>3864</v>
      </c>
    </row>
    <row r="590" spans="1:7" x14ac:dyDescent="0.2">
      <c r="A590" s="1" t="s">
        <v>3865</v>
      </c>
      <c r="B590" s="1" t="s">
        <v>3866</v>
      </c>
      <c r="C590" s="1" t="s">
        <v>3867</v>
      </c>
      <c r="D590" s="1" t="s">
        <v>3860</v>
      </c>
      <c r="E590" s="1" t="s">
        <v>3868</v>
      </c>
      <c r="F590" s="1" t="s">
        <v>3869</v>
      </c>
      <c r="G590" s="1" t="s">
        <v>3870</v>
      </c>
    </row>
    <row r="591" spans="1:7" x14ac:dyDescent="0.2">
      <c r="A591" s="1" t="s">
        <v>3871</v>
      </c>
      <c r="B591" s="1" t="s">
        <v>3872</v>
      </c>
      <c r="C591" s="1" t="s">
        <v>3873</v>
      </c>
      <c r="D591" s="1" t="s">
        <v>3874</v>
      </c>
      <c r="E591" s="1" t="s">
        <v>3793</v>
      </c>
      <c r="F591" s="1" t="s">
        <v>3875</v>
      </c>
      <c r="G591" s="1" t="s">
        <v>3876</v>
      </c>
    </row>
    <row r="592" spans="1:7" x14ac:dyDescent="0.2">
      <c r="A592" s="1" t="s">
        <v>3877</v>
      </c>
      <c r="B592" s="1" t="s">
        <v>3878</v>
      </c>
      <c r="C592" s="1" t="s">
        <v>3879</v>
      </c>
      <c r="D592" s="1" t="s">
        <v>3880</v>
      </c>
      <c r="E592" s="1" t="s">
        <v>3881</v>
      </c>
      <c r="F592" s="1" t="s">
        <v>3881</v>
      </c>
      <c r="G592" s="1" t="s">
        <v>3882</v>
      </c>
    </row>
    <row r="593" spans="1:7" x14ac:dyDescent="0.2">
      <c r="A593" s="1" t="s">
        <v>3883</v>
      </c>
      <c r="B593" s="1" t="s">
        <v>3884</v>
      </c>
      <c r="C593" s="1" t="s">
        <v>3885</v>
      </c>
      <c r="D593" s="1" t="s">
        <v>3886</v>
      </c>
      <c r="E593" s="1" t="s">
        <v>3879</v>
      </c>
      <c r="F593" s="1" t="s">
        <v>3887</v>
      </c>
      <c r="G593" s="1" t="s">
        <v>3888</v>
      </c>
    </row>
    <row r="594" spans="1:7" x14ac:dyDescent="0.2">
      <c r="A594" s="1" t="s">
        <v>3889</v>
      </c>
      <c r="B594" s="1" t="s">
        <v>3890</v>
      </c>
      <c r="C594" s="1" t="s">
        <v>3891</v>
      </c>
      <c r="D594" s="1" t="s">
        <v>3892</v>
      </c>
      <c r="E594" s="1" t="s">
        <v>3893</v>
      </c>
      <c r="F594" s="1" t="s">
        <v>3894</v>
      </c>
      <c r="G594" s="1" t="s">
        <v>3895</v>
      </c>
    </row>
    <row r="595" spans="1:7" x14ac:dyDescent="0.2">
      <c r="A595" s="1" t="s">
        <v>3896</v>
      </c>
      <c r="B595" s="1" t="s">
        <v>3897</v>
      </c>
      <c r="C595" s="1" t="s">
        <v>3898</v>
      </c>
      <c r="D595" s="1" t="s">
        <v>3899</v>
      </c>
      <c r="E595" s="1" t="s">
        <v>3900</v>
      </c>
      <c r="F595" s="1" t="s">
        <v>3901</v>
      </c>
      <c r="G595" s="1" t="s">
        <v>3902</v>
      </c>
    </row>
    <row r="596" spans="1:7" x14ac:dyDescent="0.2">
      <c r="A596" s="1" t="s">
        <v>3903</v>
      </c>
      <c r="B596" s="1" t="s">
        <v>3904</v>
      </c>
      <c r="C596" s="1" t="s">
        <v>3905</v>
      </c>
      <c r="D596" s="1" t="s">
        <v>3906</v>
      </c>
      <c r="E596" s="1" t="s">
        <v>3907</v>
      </c>
      <c r="F596" s="1" t="s">
        <v>3908</v>
      </c>
      <c r="G596" s="1" t="s">
        <v>3909</v>
      </c>
    </row>
    <row r="597" spans="1:7" x14ac:dyDescent="0.2">
      <c r="A597" s="1" t="s">
        <v>3910</v>
      </c>
      <c r="B597" s="1" t="s">
        <v>3911</v>
      </c>
      <c r="C597" s="1" t="s">
        <v>3912</v>
      </c>
      <c r="D597" s="1" t="s">
        <v>3913</v>
      </c>
      <c r="E597" s="1" t="s">
        <v>3914</v>
      </c>
      <c r="F597" s="1" t="s">
        <v>3915</v>
      </c>
      <c r="G597" s="1" t="s">
        <v>3916</v>
      </c>
    </row>
    <row r="598" spans="1:7" x14ac:dyDescent="0.2">
      <c r="A598" s="1" t="s">
        <v>3917</v>
      </c>
      <c r="B598" s="1" t="s">
        <v>3918</v>
      </c>
      <c r="C598" s="1" t="s">
        <v>3919</v>
      </c>
      <c r="D598" s="1" t="s">
        <v>3920</v>
      </c>
      <c r="E598" s="1" t="s">
        <v>3921</v>
      </c>
      <c r="F598" s="1" t="s">
        <v>3922</v>
      </c>
      <c r="G598" s="1" t="s">
        <v>3923</v>
      </c>
    </row>
    <row r="599" spans="1:7" x14ac:dyDescent="0.2">
      <c r="A599" s="1" t="s">
        <v>3924</v>
      </c>
      <c r="B599" s="1" t="s">
        <v>3925</v>
      </c>
      <c r="C599" s="1" t="s">
        <v>3926</v>
      </c>
      <c r="D599" s="1" t="s">
        <v>3927</v>
      </c>
      <c r="E599" s="1" t="s">
        <v>3928</v>
      </c>
      <c r="F599" s="1" t="s">
        <v>3929</v>
      </c>
      <c r="G599" s="1" t="s">
        <v>3930</v>
      </c>
    </row>
    <row r="600" spans="1:7" x14ac:dyDescent="0.2">
      <c r="A600" s="1" t="s">
        <v>3931</v>
      </c>
      <c r="B600" s="1" t="s">
        <v>3932</v>
      </c>
      <c r="C600" s="1" t="s">
        <v>3933</v>
      </c>
      <c r="D600" s="1" t="s">
        <v>3934</v>
      </c>
      <c r="E600" s="1" t="s">
        <v>3935</v>
      </c>
      <c r="F600" s="1" t="s">
        <v>3936</v>
      </c>
      <c r="G600" s="1" t="s">
        <v>3937</v>
      </c>
    </row>
    <row r="601" spans="1:7" x14ac:dyDescent="0.2">
      <c r="A601" s="1" t="s">
        <v>3938</v>
      </c>
      <c r="B601" s="1" t="s">
        <v>3939</v>
      </c>
      <c r="C601" s="1" t="s">
        <v>3940</v>
      </c>
      <c r="D601" s="1" t="s">
        <v>3941</v>
      </c>
      <c r="E601" s="1" t="s">
        <v>3942</v>
      </c>
      <c r="F601" s="1" t="s">
        <v>3943</v>
      </c>
      <c r="G601" s="1" t="s">
        <v>3944</v>
      </c>
    </row>
    <row r="602" spans="1:7" x14ac:dyDescent="0.2">
      <c r="A602" s="1" t="s">
        <v>3945</v>
      </c>
      <c r="B602" s="1" t="s">
        <v>3946</v>
      </c>
      <c r="C602" s="1" t="s">
        <v>3947</v>
      </c>
      <c r="D602" s="1" t="s">
        <v>3948</v>
      </c>
      <c r="E602" s="1" t="s">
        <v>3949</v>
      </c>
      <c r="F602" s="1" t="s">
        <v>3950</v>
      </c>
      <c r="G602" s="1" t="s">
        <v>3951</v>
      </c>
    </row>
    <row r="603" spans="1:7" x14ac:dyDescent="0.2">
      <c r="A603" s="1" t="s">
        <v>3952</v>
      </c>
      <c r="B603" s="1" t="s">
        <v>3953</v>
      </c>
      <c r="C603" s="1" t="s">
        <v>3954</v>
      </c>
      <c r="D603" s="1" t="s">
        <v>3955</v>
      </c>
      <c r="E603" s="1" t="s">
        <v>3956</v>
      </c>
      <c r="F603" s="1" t="s">
        <v>3957</v>
      </c>
      <c r="G603" s="1" t="s">
        <v>3958</v>
      </c>
    </row>
    <row r="604" spans="1:7" x14ac:dyDescent="0.2">
      <c r="A604" s="1" t="s">
        <v>3959</v>
      </c>
      <c r="B604" s="1" t="s">
        <v>3960</v>
      </c>
      <c r="C604" s="1" t="s">
        <v>3961</v>
      </c>
      <c r="D604" s="1" t="s">
        <v>3962</v>
      </c>
      <c r="E604" s="1" t="s">
        <v>3963</v>
      </c>
      <c r="F604" s="1" t="s">
        <v>3964</v>
      </c>
      <c r="G604" s="1" t="s">
        <v>3965</v>
      </c>
    </row>
    <row r="605" spans="1:7" x14ac:dyDescent="0.2">
      <c r="A605" s="1" t="s">
        <v>3966</v>
      </c>
      <c r="B605" s="1" t="s">
        <v>3967</v>
      </c>
      <c r="C605" s="1" t="s">
        <v>3968</v>
      </c>
      <c r="D605" s="1" t="s">
        <v>3969</v>
      </c>
      <c r="E605" s="1" t="s">
        <v>3970</v>
      </c>
      <c r="F605" s="1" t="s">
        <v>3971</v>
      </c>
      <c r="G605" s="1" t="s">
        <v>3972</v>
      </c>
    </row>
    <row r="606" spans="1:7" x14ac:dyDescent="0.2">
      <c r="A606" s="1" t="s">
        <v>3973</v>
      </c>
      <c r="B606" s="1" t="s">
        <v>3974</v>
      </c>
      <c r="C606" s="1" t="s">
        <v>3975</v>
      </c>
      <c r="D606" s="1" t="s">
        <v>3976</v>
      </c>
      <c r="E606" s="1" t="s">
        <v>3977</v>
      </c>
      <c r="F606" s="1" t="s">
        <v>3978</v>
      </c>
      <c r="G606" s="1" t="s">
        <v>3979</v>
      </c>
    </row>
    <row r="607" spans="1:7" x14ac:dyDescent="0.2">
      <c r="A607" s="1" t="s">
        <v>3980</v>
      </c>
      <c r="B607" s="1" t="s">
        <v>3981</v>
      </c>
      <c r="C607" s="1" t="s">
        <v>3982</v>
      </c>
      <c r="D607" s="1" t="s">
        <v>3983</v>
      </c>
      <c r="E607" s="1" t="s">
        <v>3984</v>
      </c>
      <c r="F607" s="1" t="s">
        <v>3985</v>
      </c>
      <c r="G607" s="1" t="s">
        <v>3986</v>
      </c>
    </row>
    <row r="608" spans="1:7" x14ac:dyDescent="0.2">
      <c r="A608" s="1" t="s">
        <v>3987</v>
      </c>
      <c r="B608" s="1" t="s">
        <v>3988</v>
      </c>
      <c r="C608" s="1" t="s">
        <v>3989</v>
      </c>
      <c r="D608" s="1" t="s">
        <v>3990</v>
      </c>
      <c r="E608" s="1" t="s">
        <v>3991</v>
      </c>
      <c r="F608" s="1" t="s">
        <v>3992</v>
      </c>
      <c r="G608" s="1" t="s">
        <v>3993</v>
      </c>
    </row>
    <row r="609" spans="1:7" x14ac:dyDescent="0.2">
      <c r="A609" s="1" t="s">
        <v>3994</v>
      </c>
      <c r="B609" s="1" t="s">
        <v>3995</v>
      </c>
      <c r="C609" s="1" t="s">
        <v>3996</v>
      </c>
      <c r="D609" s="1" t="s">
        <v>3950</v>
      </c>
      <c r="E609" s="1" t="s">
        <v>3997</v>
      </c>
      <c r="F609" s="1" t="s">
        <v>3998</v>
      </c>
      <c r="G609" s="1" t="s">
        <v>3999</v>
      </c>
    </row>
    <row r="610" spans="1:7" x14ac:dyDescent="0.2">
      <c r="A610" s="1" t="s">
        <v>4000</v>
      </c>
      <c r="B610" s="1" t="s">
        <v>4001</v>
      </c>
      <c r="C610" s="1" t="s">
        <v>4002</v>
      </c>
      <c r="D610" s="1" t="s">
        <v>4002</v>
      </c>
      <c r="E610" s="1" t="s">
        <v>4003</v>
      </c>
      <c r="F610" s="1" t="s">
        <v>4004</v>
      </c>
      <c r="G610" s="1" t="s">
        <v>4005</v>
      </c>
    </row>
    <row r="611" spans="1:7" x14ac:dyDescent="0.2">
      <c r="A611" s="1" t="s">
        <v>4006</v>
      </c>
      <c r="B611" s="1" t="s">
        <v>4007</v>
      </c>
      <c r="C611" s="1" t="s">
        <v>4008</v>
      </c>
      <c r="D611" s="1" t="s">
        <v>4009</v>
      </c>
      <c r="E611" s="1" t="s">
        <v>4010</v>
      </c>
      <c r="F611" s="1" t="s">
        <v>4011</v>
      </c>
      <c r="G611" s="1" t="s">
        <v>4012</v>
      </c>
    </row>
    <row r="612" spans="1:7" x14ac:dyDescent="0.2">
      <c r="A612" s="1" t="s">
        <v>4013</v>
      </c>
      <c r="B612" s="1" t="s">
        <v>4014</v>
      </c>
      <c r="C612" s="1" t="s">
        <v>3978</v>
      </c>
      <c r="D612" s="1" t="s">
        <v>4015</v>
      </c>
      <c r="E612" s="1" t="s">
        <v>4016</v>
      </c>
      <c r="F612" s="1" t="s">
        <v>4017</v>
      </c>
      <c r="G612" s="1" t="s">
        <v>4018</v>
      </c>
    </row>
    <row r="613" spans="1:7" x14ac:dyDescent="0.2">
      <c r="A613" s="1" t="s">
        <v>4019</v>
      </c>
      <c r="B613" s="1" t="s">
        <v>4020</v>
      </c>
      <c r="C613" s="1" t="s">
        <v>4021</v>
      </c>
      <c r="D613" s="1" t="s">
        <v>4022</v>
      </c>
      <c r="E613" s="1" t="s">
        <v>4023</v>
      </c>
      <c r="F613" s="1" t="s">
        <v>4024</v>
      </c>
      <c r="G613" s="1" t="s">
        <v>4025</v>
      </c>
    </row>
    <row r="614" spans="1:7" x14ac:dyDescent="0.2">
      <c r="A614" s="1" t="s">
        <v>4026</v>
      </c>
      <c r="B614" s="1" t="s">
        <v>4027</v>
      </c>
      <c r="C614" s="1" t="s">
        <v>4028</v>
      </c>
      <c r="D614" s="1" t="s">
        <v>4029</v>
      </c>
      <c r="E614" s="1" t="s">
        <v>4030</v>
      </c>
      <c r="F614" s="1" t="s">
        <v>4031</v>
      </c>
      <c r="G614" s="1" t="s">
        <v>4032</v>
      </c>
    </row>
    <row r="615" spans="1:7" x14ac:dyDescent="0.2">
      <c r="A615" s="1" t="s">
        <v>4033</v>
      </c>
      <c r="B615" s="1" t="s">
        <v>4034</v>
      </c>
      <c r="C615" s="1" t="s">
        <v>4035</v>
      </c>
      <c r="D615" s="1" t="s">
        <v>4036</v>
      </c>
      <c r="E615" s="1" t="s">
        <v>4037</v>
      </c>
      <c r="F615" s="1" t="s">
        <v>4038</v>
      </c>
      <c r="G615" s="1" t="s">
        <v>4039</v>
      </c>
    </row>
    <row r="616" spans="1:7" x14ac:dyDescent="0.2">
      <c r="A616" s="1" t="s">
        <v>4040</v>
      </c>
      <c r="B616" s="1" t="s">
        <v>4041</v>
      </c>
      <c r="C616" s="1" t="s">
        <v>4042</v>
      </c>
      <c r="D616" s="1" t="s">
        <v>4043</v>
      </c>
      <c r="E616" s="1" t="s">
        <v>4044</v>
      </c>
      <c r="F616" s="1" t="s">
        <v>4045</v>
      </c>
      <c r="G616" s="1" t="s">
        <v>4046</v>
      </c>
    </row>
    <row r="617" spans="1:7" x14ac:dyDescent="0.2">
      <c r="A617" s="1" t="s">
        <v>4047</v>
      </c>
      <c r="B617" s="1" t="s">
        <v>4048</v>
      </c>
      <c r="C617" s="1" t="s">
        <v>4049</v>
      </c>
      <c r="D617" s="1" t="s">
        <v>4050</v>
      </c>
      <c r="E617" s="1" t="s">
        <v>4051</v>
      </c>
      <c r="F617" s="1" t="s">
        <v>4052</v>
      </c>
      <c r="G617" s="1" t="s">
        <v>4053</v>
      </c>
    </row>
    <row r="618" spans="1:7" x14ac:dyDescent="0.2">
      <c r="A618" s="1" t="s">
        <v>4054</v>
      </c>
      <c r="B618" s="1" t="s">
        <v>4055</v>
      </c>
      <c r="C618" s="1" t="s">
        <v>4056</v>
      </c>
      <c r="D618" s="1" t="s">
        <v>4057</v>
      </c>
      <c r="E618" s="1" t="s">
        <v>4058</v>
      </c>
      <c r="F618" s="1" t="s">
        <v>4059</v>
      </c>
      <c r="G618" s="1" t="s">
        <v>4060</v>
      </c>
    </row>
    <row r="619" spans="1:7" x14ac:dyDescent="0.2">
      <c r="A619" s="1" t="s">
        <v>4061</v>
      </c>
      <c r="B619" s="1" t="s">
        <v>4062</v>
      </c>
      <c r="C619" s="1" t="s">
        <v>4017</v>
      </c>
      <c r="D619" s="1" t="s">
        <v>4063</v>
      </c>
      <c r="E619" s="1" t="s">
        <v>4064</v>
      </c>
      <c r="F619" s="1" t="s">
        <v>4065</v>
      </c>
      <c r="G619" s="1" t="s">
        <v>4066</v>
      </c>
    </row>
    <row r="620" spans="1:7" x14ac:dyDescent="0.2">
      <c r="A620" s="1" t="s">
        <v>4067</v>
      </c>
      <c r="B620" s="1" t="s">
        <v>4068</v>
      </c>
      <c r="C620" s="1" t="s">
        <v>4069</v>
      </c>
      <c r="D620" s="1" t="s">
        <v>4070</v>
      </c>
      <c r="E620" s="1" t="s">
        <v>4071</v>
      </c>
      <c r="F620" s="1" t="s">
        <v>4072</v>
      </c>
      <c r="G620" s="1" t="s">
        <v>4073</v>
      </c>
    </row>
    <row r="621" spans="1:7" x14ac:dyDescent="0.2">
      <c r="A621" s="1" t="s">
        <v>4074</v>
      </c>
      <c r="B621" s="1" t="s">
        <v>4075</v>
      </c>
      <c r="C621" s="1" t="s">
        <v>4076</v>
      </c>
      <c r="D621" s="1" t="s">
        <v>4077</v>
      </c>
      <c r="E621" s="1" t="s">
        <v>4078</v>
      </c>
      <c r="F621" s="1" t="s">
        <v>4079</v>
      </c>
      <c r="G621" s="1" t="s">
        <v>4080</v>
      </c>
    </row>
    <row r="622" spans="1:7" x14ac:dyDescent="0.2">
      <c r="A622" s="1" t="s">
        <v>4081</v>
      </c>
      <c r="B622" s="1" t="s">
        <v>4082</v>
      </c>
      <c r="C622" s="1" t="s">
        <v>4083</v>
      </c>
      <c r="D622" s="1" t="s">
        <v>4084</v>
      </c>
      <c r="E622" s="1" t="s">
        <v>4085</v>
      </c>
      <c r="F622" s="1" t="s">
        <v>4086</v>
      </c>
      <c r="G622" s="1" t="s">
        <v>4087</v>
      </c>
    </row>
    <row r="623" spans="1:7" x14ac:dyDescent="0.2">
      <c r="A623" s="1" t="s">
        <v>4088</v>
      </c>
      <c r="B623" s="1" t="s">
        <v>4089</v>
      </c>
      <c r="C623" s="1" t="s">
        <v>4090</v>
      </c>
      <c r="D623" s="1" t="s">
        <v>4091</v>
      </c>
      <c r="E623" s="1" t="s">
        <v>4092</v>
      </c>
      <c r="F623" s="1" t="s">
        <v>4093</v>
      </c>
      <c r="G623" s="1" t="s">
        <v>4094</v>
      </c>
    </row>
    <row r="624" spans="1:7" x14ac:dyDescent="0.2">
      <c r="A624" s="1" t="s">
        <v>4095</v>
      </c>
      <c r="B624" s="1" t="s">
        <v>4096</v>
      </c>
      <c r="C624" s="1" t="s">
        <v>4097</v>
      </c>
      <c r="D624" s="1" t="s">
        <v>4098</v>
      </c>
      <c r="E624" s="1" t="s">
        <v>4099</v>
      </c>
      <c r="F624" s="1" t="s">
        <v>4100</v>
      </c>
      <c r="G624" s="1" t="s">
        <v>4101</v>
      </c>
    </row>
    <row r="625" spans="1:7" x14ac:dyDescent="0.2">
      <c r="A625" s="1" t="s">
        <v>4102</v>
      </c>
      <c r="B625" s="1" t="s">
        <v>4103</v>
      </c>
      <c r="C625" s="1" t="s">
        <v>4063</v>
      </c>
      <c r="D625" s="1" t="s">
        <v>4104</v>
      </c>
      <c r="E625" s="1" t="s">
        <v>4105</v>
      </c>
      <c r="F625" s="1" t="s">
        <v>4106</v>
      </c>
      <c r="G625" s="1" t="s">
        <v>4107</v>
      </c>
    </row>
    <row r="626" spans="1:7" x14ac:dyDescent="0.2">
      <c r="A626" s="1" t="s">
        <v>4108</v>
      </c>
      <c r="B626" s="1" t="s">
        <v>4109</v>
      </c>
      <c r="C626" s="1" t="s">
        <v>4110</v>
      </c>
      <c r="D626" s="1" t="s">
        <v>4111</v>
      </c>
      <c r="E626" s="1" t="s">
        <v>4112</v>
      </c>
      <c r="F626" s="1" t="s">
        <v>4113</v>
      </c>
      <c r="G626" s="1" t="s">
        <v>4114</v>
      </c>
    </row>
    <row r="627" spans="1:7" x14ac:dyDescent="0.2">
      <c r="A627" s="1" t="s">
        <v>4115</v>
      </c>
      <c r="B627" s="1" t="s">
        <v>4116</v>
      </c>
      <c r="C627" s="1" t="s">
        <v>4117</v>
      </c>
      <c r="D627" s="1" t="s">
        <v>4118</v>
      </c>
      <c r="E627" s="1" t="s">
        <v>4119</v>
      </c>
      <c r="F627" s="1" t="s">
        <v>4120</v>
      </c>
      <c r="G627" s="1" t="s">
        <v>4121</v>
      </c>
    </row>
    <row r="628" spans="1:7" x14ac:dyDescent="0.2">
      <c r="A628" s="1" t="s">
        <v>4122</v>
      </c>
      <c r="B628" s="1" t="s">
        <v>4123</v>
      </c>
      <c r="C628" s="1" t="s">
        <v>4124</v>
      </c>
      <c r="D628" s="1" t="s">
        <v>4125</v>
      </c>
      <c r="E628" s="1" t="s">
        <v>4126</v>
      </c>
      <c r="F628" s="1" t="s">
        <v>4127</v>
      </c>
      <c r="G628" s="1" t="s">
        <v>4128</v>
      </c>
    </row>
    <row r="629" spans="1:7" x14ac:dyDescent="0.2">
      <c r="A629" s="1" t="s">
        <v>4129</v>
      </c>
      <c r="B629" s="1" t="s">
        <v>4130</v>
      </c>
      <c r="C629" s="1" t="s">
        <v>4131</v>
      </c>
      <c r="D629" s="1" t="s">
        <v>4132</v>
      </c>
      <c r="E629" s="1" t="s">
        <v>4077</v>
      </c>
      <c r="F629" s="1" t="s">
        <v>4133</v>
      </c>
      <c r="G629" s="1" t="s">
        <v>4134</v>
      </c>
    </row>
    <row r="630" spans="1:7" x14ac:dyDescent="0.2">
      <c r="A630" s="1" t="s">
        <v>4135</v>
      </c>
      <c r="B630" s="1" t="s">
        <v>4136</v>
      </c>
      <c r="C630" s="1" t="s">
        <v>4137</v>
      </c>
      <c r="D630" s="1" t="s">
        <v>4057</v>
      </c>
      <c r="E630" s="1" t="s">
        <v>4138</v>
      </c>
      <c r="F630" s="1" t="s">
        <v>4057</v>
      </c>
      <c r="G630" s="1" t="s">
        <v>4139</v>
      </c>
    </row>
    <row r="631" spans="1:7" x14ac:dyDescent="0.2">
      <c r="A631" s="1" t="s">
        <v>4140</v>
      </c>
      <c r="B631" s="1" t="s">
        <v>4141</v>
      </c>
      <c r="C631" s="1" t="s">
        <v>4142</v>
      </c>
      <c r="D631" s="1" t="s">
        <v>4143</v>
      </c>
      <c r="E631" s="1" t="s">
        <v>4144</v>
      </c>
      <c r="F631" s="1" t="s">
        <v>4145</v>
      </c>
      <c r="G631" s="1" t="s">
        <v>4146</v>
      </c>
    </row>
    <row r="632" spans="1:7" x14ac:dyDescent="0.2">
      <c r="A632" s="1" t="s">
        <v>4147</v>
      </c>
      <c r="B632" s="1" t="s">
        <v>4148</v>
      </c>
      <c r="C632" s="1" t="s">
        <v>4149</v>
      </c>
      <c r="D632" s="1" t="s">
        <v>4150</v>
      </c>
      <c r="E632" s="1" t="s">
        <v>4151</v>
      </c>
      <c r="F632" s="1" t="s">
        <v>4152</v>
      </c>
      <c r="G632" s="1" t="s">
        <v>4153</v>
      </c>
    </row>
    <row r="633" spans="1:7" x14ac:dyDescent="0.2">
      <c r="A633" s="1" t="s">
        <v>4154</v>
      </c>
      <c r="B633" s="1" t="s">
        <v>4155</v>
      </c>
      <c r="C633" s="1" t="s">
        <v>4156</v>
      </c>
      <c r="D633" s="1" t="s">
        <v>4157</v>
      </c>
      <c r="E633" s="1" t="s">
        <v>4158</v>
      </c>
      <c r="F633" s="1" t="s">
        <v>4159</v>
      </c>
      <c r="G633" s="1" t="s">
        <v>4160</v>
      </c>
    </row>
    <row r="634" spans="1:7" x14ac:dyDescent="0.2">
      <c r="A634" s="1" t="s">
        <v>4161</v>
      </c>
      <c r="B634" s="1" t="s">
        <v>4162</v>
      </c>
      <c r="C634" s="1" t="s">
        <v>4163</v>
      </c>
      <c r="D634" s="1" t="s">
        <v>4164</v>
      </c>
      <c r="E634" s="1" t="s">
        <v>4165</v>
      </c>
      <c r="F634" s="1" t="s">
        <v>4166</v>
      </c>
      <c r="G634" s="1" t="s">
        <v>4167</v>
      </c>
    </row>
    <row r="635" spans="1:7" x14ac:dyDescent="0.2">
      <c r="A635" s="1" t="s">
        <v>4168</v>
      </c>
      <c r="B635" s="1" t="s">
        <v>4169</v>
      </c>
      <c r="C635" s="1" t="s">
        <v>4170</v>
      </c>
      <c r="D635" s="1" t="s">
        <v>4171</v>
      </c>
      <c r="E635" s="1" t="s">
        <v>4172</v>
      </c>
      <c r="F635" s="1" t="s">
        <v>4173</v>
      </c>
      <c r="G635" s="1" t="s">
        <v>4174</v>
      </c>
    </row>
    <row r="636" spans="1:7" x14ac:dyDescent="0.2">
      <c r="A636" s="1" t="s">
        <v>4175</v>
      </c>
      <c r="B636" s="1" t="s">
        <v>4176</v>
      </c>
      <c r="C636" s="1" t="s">
        <v>4177</v>
      </c>
      <c r="D636" s="1" t="s">
        <v>4178</v>
      </c>
      <c r="E636" s="1" t="s">
        <v>4179</v>
      </c>
      <c r="F636" s="1" t="s">
        <v>4180</v>
      </c>
      <c r="G636" s="1" t="s">
        <v>4181</v>
      </c>
    </row>
    <row r="637" spans="1:7" x14ac:dyDescent="0.2">
      <c r="A637" s="1" t="s">
        <v>4182</v>
      </c>
      <c r="B637" s="1" t="s">
        <v>4183</v>
      </c>
      <c r="C637" s="1" t="s">
        <v>4184</v>
      </c>
      <c r="D637" s="1" t="s">
        <v>4185</v>
      </c>
      <c r="E637" s="1" t="s">
        <v>4186</v>
      </c>
      <c r="F637" s="1" t="s">
        <v>4187</v>
      </c>
      <c r="G637" s="1" t="s">
        <v>4188</v>
      </c>
    </row>
    <row r="638" spans="1:7" x14ac:dyDescent="0.2">
      <c r="A638" s="1" t="s">
        <v>4189</v>
      </c>
      <c r="B638" s="1" t="s">
        <v>4190</v>
      </c>
      <c r="C638" s="1" t="s">
        <v>4191</v>
      </c>
      <c r="D638" s="1" t="s">
        <v>4192</v>
      </c>
      <c r="E638" s="1" t="s">
        <v>4193</v>
      </c>
      <c r="F638" s="1" t="s">
        <v>4194</v>
      </c>
      <c r="G638" s="1" t="s">
        <v>4195</v>
      </c>
    </row>
    <row r="639" spans="1:7" x14ac:dyDescent="0.2">
      <c r="A639" s="1" t="s">
        <v>4196</v>
      </c>
      <c r="B639" s="1" t="s">
        <v>4197</v>
      </c>
      <c r="C639" s="1" t="s">
        <v>4198</v>
      </c>
      <c r="D639" s="1" t="s">
        <v>4199</v>
      </c>
      <c r="E639" s="1" t="s">
        <v>4200</v>
      </c>
      <c r="F639" s="1" t="s">
        <v>4201</v>
      </c>
      <c r="G639" s="1" t="s">
        <v>4202</v>
      </c>
    </row>
    <row r="640" spans="1:7" x14ac:dyDescent="0.2">
      <c r="A640" s="1" t="s">
        <v>4203</v>
      </c>
      <c r="B640" s="1" t="s">
        <v>4204</v>
      </c>
      <c r="C640" s="1" t="s">
        <v>4205</v>
      </c>
      <c r="D640" s="1" t="s">
        <v>4206</v>
      </c>
      <c r="E640" s="1" t="s">
        <v>4207</v>
      </c>
      <c r="F640" s="1" t="s">
        <v>4208</v>
      </c>
      <c r="G640" s="1" t="s">
        <v>4209</v>
      </c>
    </row>
    <row r="641" spans="1:7" x14ac:dyDescent="0.2">
      <c r="A641" s="1" t="s">
        <v>4210</v>
      </c>
      <c r="B641" s="1" t="s">
        <v>4211</v>
      </c>
      <c r="C641" s="1" t="s">
        <v>4212</v>
      </c>
      <c r="D641" s="1" t="s">
        <v>4213</v>
      </c>
      <c r="E641" s="1" t="s">
        <v>4214</v>
      </c>
      <c r="F641" s="1" t="s">
        <v>4215</v>
      </c>
      <c r="G641" s="1" t="s">
        <v>4216</v>
      </c>
    </row>
    <row r="642" spans="1:7" x14ac:dyDescent="0.2">
      <c r="A642" s="1" t="s">
        <v>4217</v>
      </c>
      <c r="B642" s="1" t="s">
        <v>4218</v>
      </c>
      <c r="C642" s="1" t="s">
        <v>4219</v>
      </c>
      <c r="D642" s="1" t="s">
        <v>4220</v>
      </c>
      <c r="E642" s="1" t="s">
        <v>4221</v>
      </c>
      <c r="F642" s="1" t="s">
        <v>4222</v>
      </c>
      <c r="G642" s="1" t="s">
        <v>4223</v>
      </c>
    </row>
    <row r="643" spans="1:7" x14ac:dyDescent="0.2">
      <c r="A643" s="1" t="s">
        <v>4224</v>
      </c>
      <c r="B643" s="1" t="s">
        <v>4225</v>
      </c>
      <c r="C643" s="1" t="s">
        <v>4226</v>
      </c>
      <c r="D643" s="1" t="s">
        <v>4227</v>
      </c>
      <c r="E643" s="1" t="s">
        <v>4228</v>
      </c>
      <c r="F643" s="1" t="s">
        <v>4229</v>
      </c>
      <c r="G643" s="1" t="s">
        <v>4230</v>
      </c>
    </row>
    <row r="644" spans="1:7" x14ac:dyDescent="0.2">
      <c r="A644" s="1" t="s">
        <v>4231</v>
      </c>
      <c r="B644" s="1" t="s">
        <v>4232</v>
      </c>
      <c r="C644" s="1" t="s">
        <v>4233</v>
      </c>
      <c r="D644" s="1" t="s">
        <v>4234</v>
      </c>
      <c r="E644" s="1" t="s">
        <v>4235</v>
      </c>
      <c r="F644" s="1" t="s">
        <v>4236</v>
      </c>
      <c r="G644" s="1" t="s">
        <v>4237</v>
      </c>
    </row>
    <row r="645" spans="1:7" x14ac:dyDescent="0.2">
      <c r="A645" s="1" t="s">
        <v>4238</v>
      </c>
      <c r="B645" s="1" t="s">
        <v>4239</v>
      </c>
      <c r="C645" s="1" t="s">
        <v>4240</v>
      </c>
      <c r="D645" s="1" t="s">
        <v>4241</v>
      </c>
      <c r="E645" s="1" t="s">
        <v>4242</v>
      </c>
      <c r="F645" s="1" t="s">
        <v>4243</v>
      </c>
      <c r="G645" s="1" t="s">
        <v>4244</v>
      </c>
    </row>
    <row r="646" spans="1:7" x14ac:dyDescent="0.2">
      <c r="A646" s="1" t="s">
        <v>4245</v>
      </c>
      <c r="B646" s="1" t="s">
        <v>4246</v>
      </c>
      <c r="C646" s="1" t="s">
        <v>4247</v>
      </c>
      <c r="D646" s="1" t="s">
        <v>4248</v>
      </c>
      <c r="E646" s="1" t="s">
        <v>4249</v>
      </c>
      <c r="F646" s="1" t="s">
        <v>4250</v>
      </c>
      <c r="G646" s="1" t="s">
        <v>4251</v>
      </c>
    </row>
    <row r="647" spans="1:7" x14ac:dyDescent="0.2">
      <c r="A647" s="1" t="s">
        <v>4252</v>
      </c>
      <c r="B647" s="1" t="s">
        <v>4253</v>
      </c>
      <c r="C647" s="1" t="s">
        <v>4254</v>
      </c>
      <c r="D647" s="1" t="s">
        <v>4255</v>
      </c>
      <c r="E647" s="1" t="s">
        <v>4256</v>
      </c>
      <c r="F647" s="1" t="s">
        <v>4257</v>
      </c>
      <c r="G647" s="1" t="s">
        <v>4258</v>
      </c>
    </row>
    <row r="648" spans="1:7" x14ac:dyDescent="0.2">
      <c r="A648" s="1" t="s">
        <v>4259</v>
      </c>
      <c r="B648" s="1" t="s">
        <v>4260</v>
      </c>
      <c r="C648" s="1" t="s">
        <v>4261</v>
      </c>
      <c r="D648" s="1" t="s">
        <v>4262</v>
      </c>
      <c r="E648" s="1" t="s">
        <v>4263</v>
      </c>
      <c r="F648" s="1" t="s">
        <v>4264</v>
      </c>
      <c r="G648" s="1" t="s">
        <v>4265</v>
      </c>
    </row>
    <row r="649" spans="1:7" x14ac:dyDescent="0.2">
      <c r="A649" s="1" t="s">
        <v>4266</v>
      </c>
      <c r="B649" s="1" t="s">
        <v>4267</v>
      </c>
      <c r="C649" s="1" t="s">
        <v>4268</v>
      </c>
      <c r="D649" s="1" t="s">
        <v>4269</v>
      </c>
      <c r="E649" s="1" t="s">
        <v>4270</v>
      </c>
      <c r="F649" s="1" t="s">
        <v>4271</v>
      </c>
      <c r="G649" s="1" t="s">
        <v>4272</v>
      </c>
    </row>
    <row r="650" spans="1:7" x14ac:dyDescent="0.2">
      <c r="A650" s="1" t="s">
        <v>4273</v>
      </c>
      <c r="B650" s="1" t="s">
        <v>4274</v>
      </c>
      <c r="C650" s="1" t="s">
        <v>4275</v>
      </c>
      <c r="D650" s="1" t="s">
        <v>4276</v>
      </c>
      <c r="E650" s="1" t="s">
        <v>4277</v>
      </c>
      <c r="F650" s="1" t="s">
        <v>4278</v>
      </c>
      <c r="G650" s="1" t="s">
        <v>4279</v>
      </c>
    </row>
    <row r="651" spans="1:7" x14ac:dyDescent="0.2">
      <c r="A651" s="1" t="s">
        <v>4280</v>
      </c>
      <c r="B651" s="1" t="s">
        <v>4281</v>
      </c>
      <c r="C651" s="1" t="s">
        <v>4282</v>
      </c>
      <c r="D651" s="1" t="s">
        <v>4283</v>
      </c>
      <c r="E651" s="1" t="s">
        <v>4284</v>
      </c>
      <c r="F651" s="1" t="s">
        <v>4285</v>
      </c>
      <c r="G651" s="1" t="s">
        <v>4286</v>
      </c>
    </row>
    <row r="652" spans="1:7" x14ac:dyDescent="0.2">
      <c r="A652" s="1" t="s">
        <v>4287</v>
      </c>
      <c r="B652" s="1" t="s">
        <v>4288</v>
      </c>
      <c r="C652" s="1" t="s">
        <v>4289</v>
      </c>
      <c r="D652" s="1" t="s">
        <v>4290</v>
      </c>
      <c r="E652" s="1" t="s">
        <v>4291</v>
      </c>
      <c r="F652" s="1" t="s">
        <v>4292</v>
      </c>
      <c r="G652" s="1" t="s">
        <v>4293</v>
      </c>
    </row>
    <row r="653" spans="1:7" x14ac:dyDescent="0.2">
      <c r="A653" s="1" t="s">
        <v>4294</v>
      </c>
      <c r="B653" s="1" t="s">
        <v>4295</v>
      </c>
      <c r="C653" s="1" t="s">
        <v>4296</v>
      </c>
      <c r="D653" s="1" t="s">
        <v>4297</v>
      </c>
      <c r="E653" s="1" t="s">
        <v>4298</v>
      </c>
      <c r="F653" s="1" t="s">
        <v>4299</v>
      </c>
      <c r="G653" s="1" t="s">
        <v>4300</v>
      </c>
    </row>
    <row r="654" spans="1:7" x14ac:dyDescent="0.2">
      <c r="A654" s="1" t="s">
        <v>4301</v>
      </c>
      <c r="B654" s="1" t="s">
        <v>4302</v>
      </c>
      <c r="C654" s="1" t="s">
        <v>4303</v>
      </c>
      <c r="D654" s="1" t="s">
        <v>4304</v>
      </c>
      <c r="E654" s="1" t="s">
        <v>4220</v>
      </c>
      <c r="F654" s="1" t="s">
        <v>4305</v>
      </c>
      <c r="G654" s="1" t="s">
        <v>4306</v>
      </c>
    </row>
    <row r="655" spans="1:7" x14ac:dyDescent="0.2">
      <c r="A655" s="1" t="s">
        <v>4307</v>
      </c>
      <c r="B655" s="1" t="s">
        <v>4308</v>
      </c>
      <c r="C655" s="1" t="s">
        <v>4309</v>
      </c>
      <c r="D655" s="1" t="s">
        <v>4310</v>
      </c>
      <c r="E655" s="1" t="s">
        <v>4311</v>
      </c>
      <c r="F655" s="1" t="s">
        <v>4312</v>
      </c>
      <c r="G655" s="1" t="s">
        <v>4313</v>
      </c>
    </row>
    <row r="656" spans="1:7" x14ac:dyDescent="0.2">
      <c r="A656" s="1" t="s">
        <v>4314</v>
      </c>
      <c r="B656" s="1" t="s">
        <v>4315</v>
      </c>
      <c r="C656" s="1" t="s">
        <v>4316</v>
      </c>
      <c r="D656" s="1" t="s">
        <v>4316</v>
      </c>
      <c r="E656" s="1" t="s">
        <v>4317</v>
      </c>
      <c r="F656" s="1" t="s">
        <v>4318</v>
      </c>
      <c r="G656" s="1" t="s">
        <v>4319</v>
      </c>
    </row>
    <row r="657" spans="1:7" x14ac:dyDescent="0.2">
      <c r="A657" s="1" t="s">
        <v>4320</v>
      </c>
      <c r="B657" s="1" t="s">
        <v>4321</v>
      </c>
      <c r="C657" s="1" t="s">
        <v>4322</v>
      </c>
      <c r="D657" s="1" t="s">
        <v>4323</v>
      </c>
      <c r="E657" s="1" t="s">
        <v>4324</v>
      </c>
      <c r="F657" s="1" t="s">
        <v>4325</v>
      </c>
      <c r="G657" s="1" t="s">
        <v>4326</v>
      </c>
    </row>
    <row r="658" spans="1:7" x14ac:dyDescent="0.2">
      <c r="A658" s="1" t="s">
        <v>4327</v>
      </c>
      <c r="B658" s="1" t="s">
        <v>4328</v>
      </c>
      <c r="C658" s="1" t="s">
        <v>4329</v>
      </c>
      <c r="D658" s="1" t="s">
        <v>4330</v>
      </c>
      <c r="E658" s="1" t="s">
        <v>4331</v>
      </c>
      <c r="F658" s="1" t="s">
        <v>4332</v>
      </c>
      <c r="G658" s="1" t="s">
        <v>4333</v>
      </c>
    </row>
    <row r="659" spans="1:7" x14ac:dyDescent="0.2">
      <c r="A659" s="1" t="s">
        <v>4334</v>
      </c>
      <c r="B659" s="1" t="s">
        <v>4335</v>
      </c>
      <c r="C659" s="1" t="s">
        <v>4336</v>
      </c>
      <c r="D659" s="1" t="s">
        <v>4337</v>
      </c>
      <c r="E659" s="1" t="s">
        <v>4338</v>
      </c>
      <c r="F659" s="1" t="s">
        <v>4339</v>
      </c>
      <c r="G659" s="1" t="s">
        <v>4340</v>
      </c>
    </row>
    <row r="660" spans="1:7" x14ac:dyDescent="0.2">
      <c r="A660" s="1" t="s">
        <v>4341</v>
      </c>
      <c r="B660" s="1" t="s">
        <v>4342</v>
      </c>
      <c r="C660" s="1" t="s">
        <v>4343</v>
      </c>
      <c r="D660" s="1" t="s">
        <v>4344</v>
      </c>
      <c r="E660" s="1" t="s">
        <v>4345</v>
      </c>
      <c r="F660" s="1" t="s">
        <v>4346</v>
      </c>
      <c r="G660" s="1" t="s">
        <v>4347</v>
      </c>
    </row>
    <row r="661" spans="1:7" x14ac:dyDescent="0.2">
      <c r="A661" s="1" t="s">
        <v>4348</v>
      </c>
      <c r="B661" s="1" t="s">
        <v>4349</v>
      </c>
      <c r="C661" s="1" t="s">
        <v>4350</v>
      </c>
      <c r="D661" s="1" t="s">
        <v>4351</v>
      </c>
      <c r="E661" s="1" t="s">
        <v>4352</v>
      </c>
      <c r="F661" s="1" t="s">
        <v>4353</v>
      </c>
      <c r="G661" s="1" t="s">
        <v>4354</v>
      </c>
    </row>
    <row r="662" spans="1:7" x14ac:dyDescent="0.2">
      <c r="A662" s="1" t="s">
        <v>4355</v>
      </c>
      <c r="B662" s="1" t="s">
        <v>4356</v>
      </c>
      <c r="C662" s="1" t="s">
        <v>4357</v>
      </c>
      <c r="D662" s="1" t="s">
        <v>4358</v>
      </c>
      <c r="E662" s="1" t="s">
        <v>4359</v>
      </c>
      <c r="F662" s="1" t="s">
        <v>4360</v>
      </c>
      <c r="G662" s="1" t="s">
        <v>4361</v>
      </c>
    </row>
    <row r="663" spans="1:7" x14ac:dyDescent="0.2">
      <c r="A663" s="1" t="s">
        <v>4362</v>
      </c>
      <c r="B663" s="1" t="s">
        <v>4363</v>
      </c>
      <c r="C663" s="1" t="s">
        <v>4364</v>
      </c>
      <c r="D663" s="1" t="s">
        <v>4365</v>
      </c>
      <c r="E663" s="1" t="s">
        <v>4366</v>
      </c>
      <c r="F663" s="1" t="s">
        <v>4367</v>
      </c>
      <c r="G663" s="1" t="s">
        <v>4368</v>
      </c>
    </row>
    <row r="664" spans="1:7" x14ac:dyDescent="0.2">
      <c r="A664" s="1" t="s">
        <v>4369</v>
      </c>
      <c r="B664" s="1" t="s">
        <v>4370</v>
      </c>
      <c r="C664" s="1" t="s">
        <v>4371</v>
      </c>
      <c r="D664" s="1" t="s">
        <v>4372</v>
      </c>
      <c r="E664" s="1" t="s">
        <v>4373</v>
      </c>
      <c r="F664" s="1" t="s">
        <v>4374</v>
      </c>
      <c r="G664" s="1" t="s">
        <v>4375</v>
      </c>
    </row>
    <row r="665" spans="1:7" x14ac:dyDescent="0.2">
      <c r="A665" s="1" t="s">
        <v>4376</v>
      </c>
      <c r="B665" s="1" t="s">
        <v>4377</v>
      </c>
      <c r="C665" s="1" t="s">
        <v>4378</v>
      </c>
      <c r="D665" s="1" t="s">
        <v>4379</v>
      </c>
      <c r="E665" s="1" t="s">
        <v>4380</v>
      </c>
      <c r="F665" s="1" t="s">
        <v>4381</v>
      </c>
      <c r="G665" s="1" t="s">
        <v>4382</v>
      </c>
    </row>
    <row r="666" spans="1:7" x14ac:dyDescent="0.2">
      <c r="A666" s="1" t="s">
        <v>4383</v>
      </c>
      <c r="B666" s="1" t="s">
        <v>4384</v>
      </c>
      <c r="C666" s="1" t="s">
        <v>4385</v>
      </c>
      <c r="D666" s="1" t="s">
        <v>4386</v>
      </c>
      <c r="E666" s="1" t="s">
        <v>4387</v>
      </c>
      <c r="F666" s="1" t="s">
        <v>4388</v>
      </c>
      <c r="G666" s="1" t="s">
        <v>4389</v>
      </c>
    </row>
    <row r="667" spans="1:7" x14ac:dyDescent="0.2">
      <c r="A667" s="1" t="s">
        <v>4390</v>
      </c>
      <c r="B667" s="1" t="s">
        <v>4391</v>
      </c>
      <c r="C667" s="1" t="s">
        <v>4392</v>
      </c>
      <c r="D667" s="1" t="s">
        <v>4393</v>
      </c>
      <c r="E667" s="1" t="s">
        <v>4394</v>
      </c>
      <c r="F667" s="1" t="s">
        <v>4395</v>
      </c>
      <c r="G667" s="1" t="s">
        <v>4396</v>
      </c>
    </row>
    <row r="668" spans="1:7" x14ac:dyDescent="0.2">
      <c r="A668" s="1" t="s">
        <v>4397</v>
      </c>
      <c r="B668" s="1" t="s">
        <v>4398</v>
      </c>
      <c r="C668" s="1" t="s">
        <v>4399</v>
      </c>
      <c r="D668" s="1" t="s">
        <v>4400</v>
      </c>
      <c r="E668" s="1" t="s">
        <v>4401</v>
      </c>
      <c r="F668" s="1" t="s">
        <v>4402</v>
      </c>
      <c r="G668" s="1" t="s">
        <v>4403</v>
      </c>
    </row>
    <row r="669" spans="1:7" x14ac:dyDescent="0.2">
      <c r="A669" s="1" t="s">
        <v>4404</v>
      </c>
      <c r="B669" s="1" t="s">
        <v>4405</v>
      </c>
      <c r="C669" s="1" t="s">
        <v>4406</v>
      </c>
      <c r="D669" s="1" t="s">
        <v>4407</v>
      </c>
      <c r="E669" s="1" t="s">
        <v>4408</v>
      </c>
      <c r="F669" s="1" t="s">
        <v>4409</v>
      </c>
      <c r="G669" s="1" t="s">
        <v>4410</v>
      </c>
    </row>
    <row r="670" spans="1:7" x14ac:dyDescent="0.2">
      <c r="A670" s="1" t="s">
        <v>4411</v>
      </c>
      <c r="B670" s="1" t="s">
        <v>4412</v>
      </c>
      <c r="C670" s="1" t="s">
        <v>4413</v>
      </c>
      <c r="D670" s="1" t="s">
        <v>4414</v>
      </c>
      <c r="E670" s="1" t="s">
        <v>4415</v>
      </c>
      <c r="F670" s="1" t="s">
        <v>4416</v>
      </c>
      <c r="G670" s="1" t="s">
        <v>4417</v>
      </c>
    </row>
    <row r="671" spans="1:7" x14ac:dyDescent="0.2">
      <c r="A671" s="1" t="s">
        <v>4418</v>
      </c>
      <c r="B671" s="1" t="s">
        <v>4419</v>
      </c>
      <c r="C671" s="1" t="s">
        <v>4420</v>
      </c>
      <c r="D671" s="1" t="s">
        <v>4421</v>
      </c>
      <c r="E671" s="1" t="s">
        <v>4422</v>
      </c>
      <c r="F671" s="1" t="s">
        <v>4423</v>
      </c>
      <c r="G671" s="1" t="s">
        <v>4424</v>
      </c>
    </row>
    <row r="672" spans="1:7" x14ac:dyDescent="0.2">
      <c r="A672" s="1" t="s">
        <v>4425</v>
      </c>
      <c r="B672" s="1" t="s">
        <v>4426</v>
      </c>
      <c r="C672" s="1" t="s">
        <v>4427</v>
      </c>
      <c r="D672" s="1" t="s">
        <v>4428</v>
      </c>
      <c r="E672" s="1" t="s">
        <v>4429</v>
      </c>
      <c r="F672" s="1" t="s">
        <v>4430</v>
      </c>
      <c r="G672" s="1" t="s">
        <v>4431</v>
      </c>
    </row>
    <row r="673" spans="1:7" x14ac:dyDescent="0.2">
      <c r="A673" s="1" t="s">
        <v>4432</v>
      </c>
      <c r="B673" s="1" t="s">
        <v>4433</v>
      </c>
      <c r="C673" s="1" t="s">
        <v>4434</v>
      </c>
      <c r="D673" s="1" t="s">
        <v>4435</v>
      </c>
      <c r="E673" s="1" t="s">
        <v>4436</v>
      </c>
      <c r="F673" s="1" t="s">
        <v>4437</v>
      </c>
      <c r="G673" s="1" t="s">
        <v>4438</v>
      </c>
    </row>
    <row r="674" spans="1:7" x14ac:dyDescent="0.2">
      <c r="A674" s="1" t="s">
        <v>4439</v>
      </c>
      <c r="B674" s="1" t="s">
        <v>4440</v>
      </c>
      <c r="C674" s="1" t="s">
        <v>4441</v>
      </c>
      <c r="D674" s="1" t="s">
        <v>4442</v>
      </c>
      <c r="E674" s="1" t="s">
        <v>4443</v>
      </c>
      <c r="F674" s="1" t="s">
        <v>4444</v>
      </c>
      <c r="G674" s="1" t="s">
        <v>4445</v>
      </c>
    </row>
    <row r="675" spans="1:7" x14ac:dyDescent="0.2">
      <c r="A675" s="1" t="s">
        <v>4446</v>
      </c>
      <c r="B675" s="1" t="s">
        <v>4447</v>
      </c>
      <c r="C675" s="1" t="s">
        <v>4448</v>
      </c>
      <c r="D675" s="1" t="s">
        <v>4449</v>
      </c>
      <c r="E675" s="1" t="s">
        <v>4450</v>
      </c>
      <c r="F675" s="1" t="s">
        <v>4451</v>
      </c>
      <c r="G675" s="1" t="s">
        <v>4452</v>
      </c>
    </row>
    <row r="676" spans="1:7" x14ac:dyDescent="0.2">
      <c r="A676" s="1" t="s">
        <v>4453</v>
      </c>
      <c r="B676" s="1" t="s">
        <v>4454</v>
      </c>
      <c r="C676" s="1" t="s">
        <v>4455</v>
      </c>
      <c r="D676" s="1" t="s">
        <v>4456</v>
      </c>
      <c r="E676" s="1" t="s">
        <v>4457</v>
      </c>
      <c r="F676" s="1" t="s">
        <v>4458</v>
      </c>
      <c r="G676" s="1" t="s">
        <v>4459</v>
      </c>
    </row>
    <row r="677" spans="1:7" x14ac:dyDescent="0.2">
      <c r="A677" s="1" t="s">
        <v>4460</v>
      </c>
      <c r="B677" s="1" t="s">
        <v>4461</v>
      </c>
      <c r="C677" s="1" t="s">
        <v>4462</v>
      </c>
      <c r="D677" s="1" t="s">
        <v>4463</v>
      </c>
      <c r="E677" s="1" t="s">
        <v>4464</v>
      </c>
      <c r="F677" s="1" t="s">
        <v>4465</v>
      </c>
      <c r="G677" s="1" t="s">
        <v>4466</v>
      </c>
    </row>
    <row r="678" spans="1:7" x14ac:dyDescent="0.2">
      <c r="A678" s="1" t="s">
        <v>4467</v>
      </c>
      <c r="B678" s="1" t="s">
        <v>4468</v>
      </c>
      <c r="C678" s="1" t="s">
        <v>4469</v>
      </c>
      <c r="D678" s="1" t="s">
        <v>4470</v>
      </c>
      <c r="E678" s="1" t="s">
        <v>4471</v>
      </c>
      <c r="F678" s="1" t="s">
        <v>4472</v>
      </c>
      <c r="G678" s="1" t="s">
        <v>4473</v>
      </c>
    </row>
    <row r="679" spans="1:7" x14ac:dyDescent="0.2">
      <c r="A679" s="1" t="s">
        <v>4474</v>
      </c>
      <c r="B679" s="1" t="s">
        <v>4475</v>
      </c>
      <c r="C679" s="1" t="s">
        <v>4476</v>
      </c>
      <c r="D679" s="1" t="s">
        <v>4477</v>
      </c>
      <c r="E679" s="1" t="s">
        <v>4372</v>
      </c>
      <c r="F679" s="1" t="s">
        <v>4478</v>
      </c>
      <c r="G679" s="1" t="s">
        <v>4479</v>
      </c>
    </row>
    <row r="680" spans="1:7" x14ac:dyDescent="0.2">
      <c r="A680" s="1" t="s">
        <v>4480</v>
      </c>
      <c r="B680" s="1" t="s">
        <v>4481</v>
      </c>
      <c r="C680" s="1" t="s">
        <v>4482</v>
      </c>
      <c r="D680" s="1" t="s">
        <v>4483</v>
      </c>
      <c r="E680" s="1" t="s">
        <v>4484</v>
      </c>
      <c r="F680" s="1" t="s">
        <v>4485</v>
      </c>
      <c r="G680" s="1" t="s">
        <v>4486</v>
      </c>
    </row>
    <row r="681" spans="1:7" x14ac:dyDescent="0.2">
      <c r="A681" s="1" t="s">
        <v>4487</v>
      </c>
      <c r="B681" s="1" t="s">
        <v>4488</v>
      </c>
      <c r="C681" s="1" t="s">
        <v>4489</v>
      </c>
      <c r="D681" s="1" t="s">
        <v>4490</v>
      </c>
      <c r="E681" s="1" t="s">
        <v>4491</v>
      </c>
      <c r="F681" s="1" t="s">
        <v>4492</v>
      </c>
      <c r="G681" s="1" t="s">
        <v>4493</v>
      </c>
    </row>
    <row r="682" spans="1:7" x14ac:dyDescent="0.2">
      <c r="A682" s="1" t="s">
        <v>4494</v>
      </c>
      <c r="B682" s="1" t="s">
        <v>4495</v>
      </c>
      <c r="C682" s="1" t="s">
        <v>4496</v>
      </c>
      <c r="D682" s="1" t="s">
        <v>4497</v>
      </c>
      <c r="E682" s="1" t="s">
        <v>4498</v>
      </c>
      <c r="F682" s="1" t="s">
        <v>4499</v>
      </c>
      <c r="G682" s="1" t="s">
        <v>4500</v>
      </c>
    </row>
    <row r="683" spans="1:7" x14ac:dyDescent="0.2">
      <c r="A683" s="1" t="s">
        <v>4501</v>
      </c>
      <c r="B683" s="1" t="s">
        <v>4502</v>
      </c>
      <c r="C683" s="1" t="s">
        <v>4503</v>
      </c>
      <c r="D683" s="1" t="s">
        <v>4504</v>
      </c>
      <c r="E683" s="1" t="s">
        <v>4505</v>
      </c>
      <c r="F683" s="1" t="s">
        <v>4506</v>
      </c>
      <c r="G683" s="1" t="s">
        <v>4507</v>
      </c>
    </row>
    <row r="684" spans="1:7" x14ac:dyDescent="0.2">
      <c r="A684" s="1" t="s">
        <v>4508</v>
      </c>
      <c r="B684" s="1" t="s">
        <v>4509</v>
      </c>
      <c r="C684" s="1" t="s">
        <v>4510</v>
      </c>
      <c r="D684" s="1" t="s">
        <v>4511</v>
      </c>
      <c r="E684" s="1" t="s">
        <v>4512</v>
      </c>
      <c r="F684" s="1" t="s">
        <v>4513</v>
      </c>
      <c r="G684" s="1" t="s">
        <v>4514</v>
      </c>
    </row>
    <row r="685" spans="1:7" x14ac:dyDescent="0.2">
      <c r="A685" s="1" t="s">
        <v>4515</v>
      </c>
      <c r="B685" s="1" t="s">
        <v>4516</v>
      </c>
      <c r="C685" s="1" t="s">
        <v>4517</v>
      </c>
      <c r="D685" s="1" t="s">
        <v>4518</v>
      </c>
      <c r="E685" s="1" t="s">
        <v>4519</v>
      </c>
      <c r="F685" s="1" t="s">
        <v>4520</v>
      </c>
      <c r="G685" s="1" t="s">
        <v>4521</v>
      </c>
    </row>
    <row r="686" spans="1:7" x14ac:dyDescent="0.2">
      <c r="A686" s="1" t="s">
        <v>4522</v>
      </c>
      <c r="B686" s="1" t="s">
        <v>4523</v>
      </c>
      <c r="C686" s="1" t="s">
        <v>4524</v>
      </c>
      <c r="D686" s="1" t="s">
        <v>4525</v>
      </c>
      <c r="E686" s="1" t="s">
        <v>4526</v>
      </c>
      <c r="F686" s="1" t="s">
        <v>4527</v>
      </c>
      <c r="G686" s="1" t="s">
        <v>4528</v>
      </c>
    </row>
    <row r="687" spans="1:7" x14ac:dyDescent="0.2">
      <c r="A687" s="1" t="s">
        <v>4529</v>
      </c>
      <c r="B687" s="1" t="s">
        <v>4530</v>
      </c>
      <c r="C687" s="1" t="s">
        <v>4531</v>
      </c>
      <c r="D687" s="1" t="s">
        <v>4532</v>
      </c>
      <c r="E687" s="1" t="s">
        <v>4533</v>
      </c>
      <c r="F687" s="1" t="s">
        <v>4534</v>
      </c>
      <c r="G687" s="1" t="s">
        <v>4535</v>
      </c>
    </row>
    <row r="688" spans="1:7" x14ac:dyDescent="0.2">
      <c r="A688" s="1" t="s">
        <v>4536</v>
      </c>
      <c r="B688" s="1" t="s">
        <v>4537</v>
      </c>
      <c r="C688" s="1" t="s">
        <v>4538</v>
      </c>
      <c r="D688" s="1" t="s">
        <v>4539</v>
      </c>
      <c r="E688" s="1" t="s">
        <v>4540</v>
      </c>
      <c r="F688" s="1" t="s">
        <v>4541</v>
      </c>
      <c r="G688" s="1" t="s">
        <v>4542</v>
      </c>
    </row>
    <row r="689" spans="1:7" x14ac:dyDescent="0.2">
      <c r="A689" s="1" t="s">
        <v>4543</v>
      </c>
      <c r="B689" s="1" t="s">
        <v>4544</v>
      </c>
      <c r="C689" s="1" t="s">
        <v>4545</v>
      </c>
      <c r="D689" s="1" t="s">
        <v>4546</v>
      </c>
      <c r="E689" s="1" t="s">
        <v>4547</v>
      </c>
      <c r="F689" s="1" t="s">
        <v>4548</v>
      </c>
      <c r="G689" s="1" t="s">
        <v>4549</v>
      </c>
    </row>
    <row r="690" spans="1:7" x14ac:dyDescent="0.2">
      <c r="A690" s="1" t="s">
        <v>4550</v>
      </c>
      <c r="B690" s="1" t="s">
        <v>4551</v>
      </c>
      <c r="C690" s="1" t="s">
        <v>4552</v>
      </c>
      <c r="D690" s="1" t="s">
        <v>4553</v>
      </c>
      <c r="E690" s="1" t="s">
        <v>4554</v>
      </c>
      <c r="F690" s="1" t="s">
        <v>4555</v>
      </c>
      <c r="G690" s="1" t="s">
        <v>4556</v>
      </c>
    </row>
    <row r="691" spans="1:7" x14ac:dyDescent="0.2">
      <c r="A691" s="1" t="s">
        <v>4557</v>
      </c>
      <c r="B691" s="1" t="s">
        <v>4558</v>
      </c>
      <c r="C691" s="1" t="s">
        <v>4559</v>
      </c>
      <c r="D691" s="1" t="s">
        <v>4560</v>
      </c>
      <c r="E691" s="1" t="s">
        <v>4561</v>
      </c>
      <c r="F691" s="1" t="s">
        <v>4562</v>
      </c>
      <c r="G691" s="1" t="s">
        <v>4563</v>
      </c>
    </row>
    <row r="692" spans="1:7" x14ac:dyDescent="0.2">
      <c r="A692" s="1" t="s">
        <v>4564</v>
      </c>
      <c r="B692" s="1" t="s">
        <v>4565</v>
      </c>
      <c r="C692" s="1" t="s">
        <v>4566</v>
      </c>
      <c r="D692" s="1" t="s">
        <v>4567</v>
      </c>
      <c r="E692" s="1" t="s">
        <v>4568</v>
      </c>
      <c r="F692" s="1" t="s">
        <v>4569</v>
      </c>
      <c r="G692" s="1" t="s">
        <v>4570</v>
      </c>
    </row>
    <row r="693" spans="1:7" x14ac:dyDescent="0.2">
      <c r="A693" s="1" t="s">
        <v>4571</v>
      </c>
      <c r="B693" s="1" t="s">
        <v>4572</v>
      </c>
      <c r="C693" s="1" t="s">
        <v>4573</v>
      </c>
      <c r="D693" s="1" t="s">
        <v>4574</v>
      </c>
      <c r="E693" s="1" t="s">
        <v>4575</v>
      </c>
      <c r="F693" s="1" t="s">
        <v>4576</v>
      </c>
      <c r="G693" s="1" t="s">
        <v>4577</v>
      </c>
    </row>
    <row r="694" spans="1:7" x14ac:dyDescent="0.2">
      <c r="A694" s="1" t="s">
        <v>4578</v>
      </c>
      <c r="B694" s="1" t="s">
        <v>4579</v>
      </c>
      <c r="C694" s="1" t="s">
        <v>4580</v>
      </c>
      <c r="D694" s="1" t="s">
        <v>4581</v>
      </c>
      <c r="E694" s="1" t="s">
        <v>4420</v>
      </c>
      <c r="F694" s="1" t="s">
        <v>4582</v>
      </c>
      <c r="G694" s="1" t="s">
        <v>4583</v>
      </c>
    </row>
    <row r="695" spans="1:7" x14ac:dyDescent="0.2">
      <c r="A695" s="1" t="s">
        <v>4584</v>
      </c>
      <c r="B695" s="1" t="s">
        <v>4585</v>
      </c>
      <c r="C695" s="1" t="s">
        <v>4586</v>
      </c>
      <c r="D695" s="1" t="s">
        <v>4587</v>
      </c>
      <c r="E695" s="1" t="s">
        <v>4588</v>
      </c>
      <c r="F695" s="1" t="s">
        <v>4589</v>
      </c>
      <c r="G695" s="1" t="s">
        <v>4590</v>
      </c>
    </row>
    <row r="696" spans="1:7" x14ac:dyDescent="0.2">
      <c r="A696" s="1" t="s">
        <v>4591</v>
      </c>
      <c r="B696" s="1" t="s">
        <v>4592</v>
      </c>
      <c r="C696" s="1" t="s">
        <v>4593</v>
      </c>
      <c r="D696" s="1" t="s">
        <v>4594</v>
      </c>
      <c r="E696" s="1" t="s">
        <v>4595</v>
      </c>
      <c r="F696" s="1" t="s">
        <v>4596</v>
      </c>
      <c r="G696" s="1" t="s">
        <v>4597</v>
      </c>
    </row>
    <row r="697" spans="1:7" x14ac:dyDescent="0.2">
      <c r="A697" s="1" t="s">
        <v>4598</v>
      </c>
      <c r="B697" s="1" t="s">
        <v>4599</v>
      </c>
      <c r="C697" s="1" t="s">
        <v>4600</v>
      </c>
      <c r="D697" s="1" t="s">
        <v>4601</v>
      </c>
      <c r="E697" s="1" t="s">
        <v>4602</v>
      </c>
      <c r="F697" s="1" t="s">
        <v>4603</v>
      </c>
      <c r="G697" s="1" t="s">
        <v>4604</v>
      </c>
    </row>
    <row r="698" spans="1:7" x14ac:dyDescent="0.2">
      <c r="A698" s="1" t="s">
        <v>4605</v>
      </c>
      <c r="B698" s="1" t="s">
        <v>4606</v>
      </c>
      <c r="C698" s="1" t="s">
        <v>4607</v>
      </c>
      <c r="D698" s="1" t="s">
        <v>4608</v>
      </c>
      <c r="E698" s="1" t="s">
        <v>4609</v>
      </c>
      <c r="F698" s="1" t="s">
        <v>4610</v>
      </c>
      <c r="G698" s="1" t="s">
        <v>4611</v>
      </c>
    </row>
    <row r="699" spans="1:7" x14ac:dyDescent="0.2">
      <c r="A699" s="1" t="s">
        <v>4612</v>
      </c>
      <c r="B699" s="1" t="s">
        <v>4613</v>
      </c>
      <c r="C699" s="1" t="s">
        <v>4614</v>
      </c>
      <c r="D699" s="1" t="s">
        <v>4615</v>
      </c>
      <c r="E699" s="1" t="s">
        <v>4616</v>
      </c>
      <c r="F699" s="1" t="s">
        <v>4617</v>
      </c>
      <c r="G699" s="1" t="s">
        <v>4618</v>
      </c>
    </row>
    <row r="700" spans="1:7" x14ac:dyDescent="0.2">
      <c r="A700" s="1" t="s">
        <v>4619</v>
      </c>
      <c r="B700" s="1" t="s">
        <v>4620</v>
      </c>
      <c r="C700" s="1" t="s">
        <v>4621</v>
      </c>
      <c r="D700" s="1" t="s">
        <v>4622</v>
      </c>
      <c r="E700" s="1" t="s">
        <v>4623</v>
      </c>
      <c r="F700" s="1" t="s">
        <v>4624</v>
      </c>
      <c r="G700" s="1" t="s">
        <v>4625</v>
      </c>
    </row>
    <row r="701" spans="1:7" x14ac:dyDescent="0.2">
      <c r="A701" s="1" t="s">
        <v>4626</v>
      </c>
      <c r="B701" s="1" t="s">
        <v>4627</v>
      </c>
      <c r="C701" s="1" t="s">
        <v>4628</v>
      </c>
      <c r="D701" s="1" t="s">
        <v>4629</v>
      </c>
      <c r="E701" s="1" t="s">
        <v>4630</v>
      </c>
      <c r="F701" s="1" t="s">
        <v>4631</v>
      </c>
      <c r="G701" s="1" t="s">
        <v>4632</v>
      </c>
    </row>
    <row r="702" spans="1:7" x14ac:dyDescent="0.2">
      <c r="A702" s="1" t="s">
        <v>4633</v>
      </c>
      <c r="B702" s="1" t="s">
        <v>4634</v>
      </c>
      <c r="C702" s="1" t="s">
        <v>4635</v>
      </c>
      <c r="D702" s="1" t="s">
        <v>4636</v>
      </c>
      <c r="E702" s="1" t="s">
        <v>4603</v>
      </c>
      <c r="F702" s="1" t="s">
        <v>4637</v>
      </c>
      <c r="G702" s="1" t="s">
        <v>4638</v>
      </c>
    </row>
    <row r="703" spans="1:7" x14ac:dyDescent="0.2">
      <c r="A703" s="1" t="s">
        <v>4639</v>
      </c>
      <c r="B703" s="1" t="s">
        <v>4640</v>
      </c>
      <c r="C703" s="1" t="s">
        <v>4601</v>
      </c>
      <c r="D703" s="1" t="s">
        <v>4641</v>
      </c>
      <c r="E703" s="1" t="s">
        <v>4642</v>
      </c>
      <c r="F703" s="1" t="s">
        <v>4643</v>
      </c>
      <c r="G703" s="1" t="s">
        <v>4644</v>
      </c>
    </row>
    <row r="704" spans="1:7" x14ac:dyDescent="0.2">
      <c r="A704" s="1" t="s">
        <v>4645</v>
      </c>
      <c r="B704" s="1" t="s">
        <v>4646</v>
      </c>
      <c r="C704" s="1" t="s">
        <v>4647</v>
      </c>
      <c r="D704" s="1" t="s">
        <v>4648</v>
      </c>
      <c r="E704" s="1" t="s">
        <v>4649</v>
      </c>
      <c r="F704" s="1" t="s">
        <v>4650</v>
      </c>
      <c r="G704" s="1" t="s">
        <v>4651</v>
      </c>
    </row>
    <row r="705" spans="1:7" x14ac:dyDescent="0.2">
      <c r="A705" s="1" t="s">
        <v>4652</v>
      </c>
      <c r="B705" s="1" t="s">
        <v>4653</v>
      </c>
      <c r="C705" s="1" t="s">
        <v>4654</v>
      </c>
      <c r="D705" s="1" t="s">
        <v>4655</v>
      </c>
      <c r="E705" s="1" t="s">
        <v>4656</v>
      </c>
      <c r="F705" s="1" t="s">
        <v>4657</v>
      </c>
      <c r="G705" s="1" t="s">
        <v>4658</v>
      </c>
    </row>
    <row r="706" spans="1:7" x14ac:dyDescent="0.2">
      <c r="A706" s="1" t="s">
        <v>4659</v>
      </c>
      <c r="B706" s="1" t="s">
        <v>4660</v>
      </c>
      <c r="C706" s="1" t="s">
        <v>4661</v>
      </c>
      <c r="D706" s="1" t="s">
        <v>4662</v>
      </c>
      <c r="E706" s="1" t="s">
        <v>4663</v>
      </c>
      <c r="F706" s="1" t="s">
        <v>4664</v>
      </c>
      <c r="G706" s="1" t="s">
        <v>4665</v>
      </c>
    </row>
    <row r="707" spans="1:7" x14ac:dyDescent="0.2">
      <c r="A707" s="1" t="s">
        <v>4666</v>
      </c>
      <c r="B707" s="1" t="s">
        <v>4667</v>
      </c>
      <c r="C707" s="1" t="s">
        <v>4668</v>
      </c>
      <c r="D707" s="1" t="s">
        <v>4669</v>
      </c>
      <c r="E707" s="1" t="s">
        <v>4670</v>
      </c>
      <c r="F707" s="1" t="s">
        <v>4671</v>
      </c>
      <c r="G707" s="1" t="s">
        <v>4672</v>
      </c>
    </row>
    <row r="708" spans="1:7" x14ac:dyDescent="0.2">
      <c r="A708" s="1" t="s">
        <v>4673</v>
      </c>
      <c r="B708" s="1" t="s">
        <v>4674</v>
      </c>
      <c r="C708" s="1" t="s">
        <v>4675</v>
      </c>
      <c r="D708" s="1" t="s">
        <v>4676</v>
      </c>
      <c r="E708" s="1" t="s">
        <v>4677</v>
      </c>
      <c r="F708" s="1" t="s">
        <v>4678</v>
      </c>
      <c r="G708" s="1" t="s">
        <v>4679</v>
      </c>
    </row>
    <row r="709" spans="1:7" x14ac:dyDescent="0.2">
      <c r="A709" s="1" t="s">
        <v>4680</v>
      </c>
      <c r="B709" s="1" t="s">
        <v>4681</v>
      </c>
      <c r="C709" s="1" t="s">
        <v>4682</v>
      </c>
      <c r="D709" s="1" t="s">
        <v>4683</v>
      </c>
      <c r="E709" s="1" t="s">
        <v>4684</v>
      </c>
      <c r="F709" s="1" t="s">
        <v>4685</v>
      </c>
      <c r="G709" s="1" t="s">
        <v>4686</v>
      </c>
    </row>
    <row r="710" spans="1:7" x14ac:dyDescent="0.2">
      <c r="A710" s="1" t="s">
        <v>4687</v>
      </c>
      <c r="B710" s="1" t="s">
        <v>4688</v>
      </c>
      <c r="C710" s="1" t="s">
        <v>4689</v>
      </c>
      <c r="D710" s="1" t="s">
        <v>4690</v>
      </c>
      <c r="E710" s="1" t="s">
        <v>4691</v>
      </c>
      <c r="F710" s="1" t="s">
        <v>4692</v>
      </c>
      <c r="G710" s="1" t="s">
        <v>4693</v>
      </c>
    </row>
    <row r="711" spans="1:7" x14ac:dyDescent="0.2">
      <c r="A711" s="1" t="s">
        <v>4694</v>
      </c>
      <c r="B711" s="1" t="s">
        <v>4695</v>
      </c>
      <c r="C711" s="1" t="s">
        <v>4696</v>
      </c>
      <c r="D711" s="1" t="s">
        <v>4697</v>
      </c>
      <c r="E711" s="1" t="s">
        <v>4698</v>
      </c>
      <c r="F711" s="1" t="s">
        <v>4699</v>
      </c>
      <c r="G711" s="1" t="s">
        <v>4700</v>
      </c>
    </row>
    <row r="712" spans="1:7" x14ac:dyDescent="0.2">
      <c r="A712" s="1" t="s">
        <v>4701</v>
      </c>
      <c r="B712" s="1" t="s">
        <v>4702</v>
      </c>
      <c r="C712" s="1" t="s">
        <v>4703</v>
      </c>
      <c r="D712" s="1" t="s">
        <v>4704</v>
      </c>
      <c r="E712" s="1" t="s">
        <v>4705</v>
      </c>
      <c r="F712" s="1" t="s">
        <v>4706</v>
      </c>
      <c r="G712" s="1" t="s">
        <v>4707</v>
      </c>
    </row>
    <row r="713" spans="1:7" x14ac:dyDescent="0.2">
      <c r="A713" s="1" t="s">
        <v>4708</v>
      </c>
      <c r="B713" s="1" t="s">
        <v>4709</v>
      </c>
      <c r="C713" s="1" t="s">
        <v>4710</v>
      </c>
      <c r="D713" s="1" t="s">
        <v>4711</v>
      </c>
      <c r="E713" s="1" t="s">
        <v>4712</v>
      </c>
      <c r="F713" s="1" t="s">
        <v>4713</v>
      </c>
      <c r="G713" s="1" t="s">
        <v>4714</v>
      </c>
    </row>
    <row r="714" spans="1:7" x14ac:dyDescent="0.2">
      <c r="A714" s="1" t="s">
        <v>4715</v>
      </c>
      <c r="B714" s="1" t="s">
        <v>4716</v>
      </c>
      <c r="C714" s="1" t="s">
        <v>4717</v>
      </c>
      <c r="D714" s="1" t="s">
        <v>4718</v>
      </c>
      <c r="E714" s="1" t="s">
        <v>4719</v>
      </c>
      <c r="F714" s="1" t="s">
        <v>4720</v>
      </c>
      <c r="G714" s="1" t="s">
        <v>4721</v>
      </c>
    </row>
    <row r="715" spans="1:7" x14ac:dyDescent="0.2">
      <c r="A715" s="1" t="s">
        <v>4722</v>
      </c>
      <c r="B715" s="1" t="s">
        <v>4723</v>
      </c>
      <c r="C715" s="1" t="s">
        <v>4724</v>
      </c>
      <c r="D715" s="1" t="s">
        <v>4725</v>
      </c>
      <c r="E715" s="1" t="s">
        <v>4726</v>
      </c>
      <c r="F715" s="1" t="s">
        <v>4727</v>
      </c>
      <c r="G715" s="1" t="s">
        <v>4728</v>
      </c>
    </row>
    <row r="716" spans="1:7" x14ac:dyDescent="0.2">
      <c r="A716" s="1" t="s">
        <v>4729</v>
      </c>
      <c r="B716" s="1" t="s">
        <v>4730</v>
      </c>
      <c r="C716" s="1" t="s">
        <v>4731</v>
      </c>
      <c r="D716" s="1" t="s">
        <v>4732</v>
      </c>
      <c r="E716" s="1" t="s">
        <v>4733</v>
      </c>
      <c r="F716" s="1" t="s">
        <v>4734</v>
      </c>
      <c r="G716" s="1" t="s">
        <v>4735</v>
      </c>
    </row>
    <row r="717" spans="1:7" x14ac:dyDescent="0.2">
      <c r="A717" s="1" t="s">
        <v>4736</v>
      </c>
      <c r="B717" s="1" t="s">
        <v>4737</v>
      </c>
      <c r="C717" s="1" t="s">
        <v>4738</v>
      </c>
      <c r="D717" s="1" t="s">
        <v>4739</v>
      </c>
      <c r="E717" s="1" t="s">
        <v>4420</v>
      </c>
      <c r="F717" s="1" t="s">
        <v>4740</v>
      </c>
      <c r="G717" s="1" t="s">
        <v>4741</v>
      </c>
    </row>
    <row r="718" spans="1:7" x14ac:dyDescent="0.2">
      <c r="A718" s="1" t="s">
        <v>4742</v>
      </c>
      <c r="B718" s="1" t="s">
        <v>4743</v>
      </c>
      <c r="C718" s="1" t="s">
        <v>4744</v>
      </c>
      <c r="D718" s="1" t="s">
        <v>4745</v>
      </c>
      <c r="E718" s="1" t="s">
        <v>4746</v>
      </c>
      <c r="F718" s="1" t="s">
        <v>4435</v>
      </c>
      <c r="G718" s="1" t="s">
        <v>4747</v>
      </c>
    </row>
    <row r="719" spans="1:7" x14ac:dyDescent="0.2">
      <c r="A719" s="1" t="s">
        <v>4748</v>
      </c>
      <c r="B719" s="1" t="s">
        <v>4749</v>
      </c>
      <c r="C719" s="1" t="s">
        <v>4750</v>
      </c>
      <c r="D719" s="1" t="s">
        <v>4751</v>
      </c>
      <c r="E719" s="1" t="s">
        <v>4752</v>
      </c>
      <c r="F719" s="1" t="s">
        <v>4753</v>
      </c>
      <c r="G719" s="1" t="s">
        <v>4754</v>
      </c>
    </row>
    <row r="720" spans="1:7" x14ac:dyDescent="0.2">
      <c r="A720" s="1" t="s">
        <v>4755</v>
      </c>
      <c r="B720" s="1" t="s">
        <v>4756</v>
      </c>
      <c r="C720" s="1" t="s">
        <v>4757</v>
      </c>
      <c r="D720" s="1" t="s">
        <v>4758</v>
      </c>
      <c r="E720" s="1" t="s">
        <v>4759</v>
      </c>
      <c r="F720" s="1" t="s">
        <v>4760</v>
      </c>
      <c r="G720" s="1" t="s">
        <v>4761</v>
      </c>
    </row>
    <row r="721" spans="1:7" x14ac:dyDescent="0.2">
      <c r="A721" s="1" t="s">
        <v>4762</v>
      </c>
      <c r="B721" s="1" t="s">
        <v>4763</v>
      </c>
      <c r="C721" s="1" t="s">
        <v>4764</v>
      </c>
      <c r="D721" s="1" t="s">
        <v>4765</v>
      </c>
      <c r="E721" s="1" t="s">
        <v>4766</v>
      </c>
      <c r="F721" s="1" t="s">
        <v>4767</v>
      </c>
      <c r="G721" s="1" t="s">
        <v>4768</v>
      </c>
    </row>
    <row r="722" spans="1:7" x14ac:dyDescent="0.2">
      <c r="A722" s="1" t="s">
        <v>4769</v>
      </c>
      <c r="B722" s="1" t="s">
        <v>4770</v>
      </c>
      <c r="C722" s="1" t="s">
        <v>4771</v>
      </c>
      <c r="D722" s="1" t="s">
        <v>4772</v>
      </c>
      <c r="E722" s="1" t="s">
        <v>4773</v>
      </c>
      <c r="F722" s="1" t="s">
        <v>4774</v>
      </c>
      <c r="G722" s="1" t="s">
        <v>4775</v>
      </c>
    </row>
    <row r="723" spans="1:7" x14ac:dyDescent="0.2">
      <c r="A723" s="1" t="s">
        <v>4776</v>
      </c>
      <c r="B723" s="1" t="s">
        <v>4777</v>
      </c>
      <c r="C723" s="1" t="s">
        <v>4778</v>
      </c>
      <c r="D723" s="1" t="s">
        <v>4779</v>
      </c>
      <c r="E723" s="1" t="s">
        <v>4780</v>
      </c>
      <c r="F723" s="1" t="s">
        <v>4781</v>
      </c>
      <c r="G723" s="1" t="s">
        <v>4782</v>
      </c>
    </row>
    <row r="724" spans="1:7" x14ac:dyDescent="0.2">
      <c r="A724" s="1" t="s">
        <v>4783</v>
      </c>
      <c r="B724" s="1" t="s">
        <v>4784</v>
      </c>
      <c r="C724" s="1" t="s">
        <v>4785</v>
      </c>
      <c r="D724" s="1" t="s">
        <v>4786</v>
      </c>
      <c r="E724" s="1" t="s">
        <v>4787</v>
      </c>
      <c r="F724" s="1" t="s">
        <v>4788</v>
      </c>
      <c r="G724" s="1" t="s">
        <v>4789</v>
      </c>
    </row>
    <row r="725" spans="1:7" x14ac:dyDescent="0.2">
      <c r="A725" s="1" t="s">
        <v>4790</v>
      </c>
      <c r="B725" s="1" t="s">
        <v>4791</v>
      </c>
      <c r="C725" s="1" t="s">
        <v>4792</v>
      </c>
      <c r="D725" s="1" t="s">
        <v>4793</v>
      </c>
      <c r="E725" s="1" t="s">
        <v>4434</v>
      </c>
      <c r="F725" s="1" t="s">
        <v>4793</v>
      </c>
      <c r="G725" s="1" t="s">
        <v>4794</v>
      </c>
    </row>
    <row r="726" spans="1:7" x14ac:dyDescent="0.2">
      <c r="A726" s="1" t="s">
        <v>4795</v>
      </c>
      <c r="B726" s="1" t="s">
        <v>4796</v>
      </c>
      <c r="C726" s="1" t="s">
        <v>4797</v>
      </c>
      <c r="D726" s="1" t="s">
        <v>4798</v>
      </c>
      <c r="E726" s="1" t="s">
        <v>4799</v>
      </c>
      <c r="F726" s="1" t="s">
        <v>4800</v>
      </c>
      <c r="G726" s="1" t="s">
        <v>4801</v>
      </c>
    </row>
    <row r="727" spans="1:7" x14ac:dyDescent="0.2">
      <c r="A727" s="1" t="s">
        <v>4802</v>
      </c>
      <c r="B727" s="1" t="s">
        <v>4803</v>
      </c>
      <c r="C727" s="1" t="s">
        <v>4804</v>
      </c>
      <c r="D727" s="1" t="s">
        <v>4805</v>
      </c>
      <c r="E727" s="1" t="s">
        <v>4806</v>
      </c>
      <c r="F727" s="1" t="s">
        <v>4807</v>
      </c>
      <c r="G727" s="1" t="s">
        <v>4808</v>
      </c>
    </row>
    <row r="728" spans="1:7" x14ac:dyDescent="0.2">
      <c r="A728" s="1" t="s">
        <v>4809</v>
      </c>
      <c r="B728" s="1" t="s">
        <v>4810</v>
      </c>
      <c r="C728" s="1" t="s">
        <v>4811</v>
      </c>
      <c r="D728" s="1" t="s">
        <v>4812</v>
      </c>
      <c r="E728" s="1" t="s">
        <v>4813</v>
      </c>
      <c r="F728" s="1" t="s">
        <v>4814</v>
      </c>
      <c r="G728" s="1" t="s">
        <v>4815</v>
      </c>
    </row>
    <row r="729" spans="1:7" x14ac:dyDescent="0.2">
      <c r="A729" s="1" t="s">
        <v>4816</v>
      </c>
      <c r="B729" s="1" t="s">
        <v>4817</v>
      </c>
      <c r="C729" s="1" t="s">
        <v>4818</v>
      </c>
      <c r="D729" s="1" t="s">
        <v>4819</v>
      </c>
      <c r="E729" s="1" t="s">
        <v>4820</v>
      </c>
      <c r="F729" s="1" t="s">
        <v>4821</v>
      </c>
      <c r="G729" s="1" t="s">
        <v>4822</v>
      </c>
    </row>
    <row r="730" spans="1:7" x14ac:dyDescent="0.2">
      <c r="A730" s="1" t="s">
        <v>4823</v>
      </c>
      <c r="B730" s="1" t="s">
        <v>4824</v>
      </c>
      <c r="C730" s="1" t="s">
        <v>4825</v>
      </c>
      <c r="D730" s="1" t="s">
        <v>4826</v>
      </c>
      <c r="E730" s="1" t="s">
        <v>4827</v>
      </c>
      <c r="F730" s="1" t="s">
        <v>4828</v>
      </c>
      <c r="G730" s="1" t="s">
        <v>4829</v>
      </c>
    </row>
    <row r="731" spans="1:7" x14ac:dyDescent="0.2">
      <c r="A731" s="1" t="s">
        <v>4830</v>
      </c>
      <c r="B731" s="1" t="s">
        <v>4831</v>
      </c>
      <c r="C731" s="1" t="s">
        <v>4832</v>
      </c>
      <c r="D731" s="1" t="s">
        <v>4833</v>
      </c>
      <c r="E731" s="1" t="s">
        <v>4834</v>
      </c>
      <c r="F731" s="1" t="s">
        <v>4835</v>
      </c>
      <c r="G731" s="1" t="s">
        <v>4836</v>
      </c>
    </row>
    <row r="732" spans="1:7" x14ac:dyDescent="0.2">
      <c r="A732" s="1" t="s">
        <v>4837</v>
      </c>
      <c r="B732" s="1" t="s">
        <v>4838</v>
      </c>
      <c r="C732" s="1" t="s">
        <v>4839</v>
      </c>
      <c r="D732" s="1" t="s">
        <v>4840</v>
      </c>
      <c r="E732" s="1" t="s">
        <v>4841</v>
      </c>
      <c r="F732" s="1" t="s">
        <v>4842</v>
      </c>
      <c r="G732" s="1" t="s">
        <v>4843</v>
      </c>
    </row>
    <row r="733" spans="1:7" x14ac:dyDescent="0.2">
      <c r="A733" s="1" t="s">
        <v>4844</v>
      </c>
      <c r="B733" s="1" t="s">
        <v>4845</v>
      </c>
      <c r="C733" s="1" t="s">
        <v>4846</v>
      </c>
      <c r="D733" s="1" t="s">
        <v>4847</v>
      </c>
      <c r="E733" s="1" t="s">
        <v>4848</v>
      </c>
      <c r="F733" s="1" t="s">
        <v>4849</v>
      </c>
      <c r="G733" s="1" t="s">
        <v>4850</v>
      </c>
    </row>
    <row r="734" spans="1:7" x14ac:dyDescent="0.2">
      <c r="A734" s="1" t="s">
        <v>4851</v>
      </c>
      <c r="B734" s="1" t="s">
        <v>4852</v>
      </c>
      <c r="C734" s="1" t="s">
        <v>4853</v>
      </c>
      <c r="D734" s="1" t="s">
        <v>4854</v>
      </c>
      <c r="E734" s="1" t="s">
        <v>4469</v>
      </c>
      <c r="F734" s="1" t="s">
        <v>4855</v>
      </c>
      <c r="G734" s="1" t="s">
        <v>4856</v>
      </c>
    </row>
    <row r="735" spans="1:7" x14ac:dyDescent="0.2">
      <c r="A735" s="1" t="s">
        <v>4857</v>
      </c>
      <c r="B735" s="1" t="s">
        <v>4858</v>
      </c>
      <c r="C735" s="1" t="s">
        <v>4859</v>
      </c>
      <c r="D735" s="1" t="s">
        <v>4860</v>
      </c>
      <c r="E735" s="1" t="s">
        <v>4861</v>
      </c>
      <c r="F735" s="1" t="s">
        <v>4862</v>
      </c>
      <c r="G735" s="1" t="s">
        <v>4863</v>
      </c>
    </row>
    <row r="736" spans="1:7" x14ac:dyDescent="0.2">
      <c r="A736" s="1" t="s">
        <v>4864</v>
      </c>
      <c r="B736" s="1" t="s">
        <v>4865</v>
      </c>
      <c r="C736" s="1" t="s">
        <v>4866</v>
      </c>
      <c r="D736" s="1" t="s">
        <v>4867</v>
      </c>
      <c r="E736" s="1" t="s">
        <v>4868</v>
      </c>
      <c r="F736" s="1" t="s">
        <v>4869</v>
      </c>
      <c r="G736" s="1" t="s">
        <v>4870</v>
      </c>
    </row>
    <row r="737" spans="1:7" x14ac:dyDescent="0.2">
      <c r="A737" s="1" t="s">
        <v>4871</v>
      </c>
      <c r="B737" s="1" t="s">
        <v>4872</v>
      </c>
      <c r="C737" s="1" t="s">
        <v>4873</v>
      </c>
      <c r="D737" s="1" t="s">
        <v>4874</v>
      </c>
      <c r="E737" s="1" t="s">
        <v>4875</v>
      </c>
      <c r="F737" s="1" t="s">
        <v>4876</v>
      </c>
      <c r="G737" s="1" t="s">
        <v>4877</v>
      </c>
    </row>
    <row r="738" spans="1:7" x14ac:dyDescent="0.2">
      <c r="A738" s="1" t="s">
        <v>4878</v>
      </c>
      <c r="B738" s="1" t="s">
        <v>4879</v>
      </c>
      <c r="C738" s="1" t="s">
        <v>4880</v>
      </c>
      <c r="D738" s="1" t="s">
        <v>4881</v>
      </c>
      <c r="E738" s="1" t="s">
        <v>4882</v>
      </c>
      <c r="F738" s="1" t="s">
        <v>4883</v>
      </c>
      <c r="G738" s="1" t="s">
        <v>4884</v>
      </c>
    </row>
    <row r="739" spans="1:7" x14ac:dyDescent="0.2">
      <c r="A739" s="1" t="s">
        <v>4885</v>
      </c>
      <c r="B739" s="1" t="s">
        <v>4886</v>
      </c>
      <c r="C739" s="1" t="s">
        <v>4887</v>
      </c>
      <c r="D739" s="1" t="s">
        <v>4888</v>
      </c>
      <c r="E739" s="1" t="s">
        <v>4889</v>
      </c>
      <c r="F739" s="1" t="s">
        <v>4890</v>
      </c>
      <c r="G739" s="1" t="s">
        <v>4891</v>
      </c>
    </row>
    <row r="740" spans="1:7" x14ac:dyDescent="0.2">
      <c r="A740" s="1" t="s">
        <v>4892</v>
      </c>
      <c r="B740" s="1" t="s">
        <v>4893</v>
      </c>
      <c r="C740" s="1" t="s">
        <v>4894</v>
      </c>
      <c r="D740" s="1" t="s">
        <v>4895</v>
      </c>
      <c r="E740" s="1" t="s">
        <v>4896</v>
      </c>
      <c r="F740" s="1" t="s">
        <v>4897</v>
      </c>
      <c r="G740" s="1" t="s">
        <v>4898</v>
      </c>
    </row>
    <row r="741" spans="1:7" x14ac:dyDescent="0.2">
      <c r="A741" s="1" t="s">
        <v>4899</v>
      </c>
      <c r="B741" s="1" t="s">
        <v>4900</v>
      </c>
      <c r="C741" s="1" t="s">
        <v>4901</v>
      </c>
      <c r="D741" s="1" t="s">
        <v>4902</v>
      </c>
      <c r="E741" s="1" t="s">
        <v>4903</v>
      </c>
      <c r="F741" s="1" t="s">
        <v>4904</v>
      </c>
      <c r="G741" s="1" t="s">
        <v>4905</v>
      </c>
    </row>
    <row r="742" spans="1:7" x14ac:dyDescent="0.2">
      <c r="A742" s="1" t="s">
        <v>4906</v>
      </c>
      <c r="B742" s="1" t="s">
        <v>4907</v>
      </c>
      <c r="C742" s="1" t="s">
        <v>4908</v>
      </c>
      <c r="D742" s="1" t="s">
        <v>4909</v>
      </c>
      <c r="E742" s="1" t="s">
        <v>4910</v>
      </c>
      <c r="F742" s="1" t="s">
        <v>4911</v>
      </c>
      <c r="G742" s="1" t="s">
        <v>4912</v>
      </c>
    </row>
    <row r="743" spans="1:7" x14ac:dyDescent="0.2">
      <c r="A743" s="1" t="s">
        <v>4913</v>
      </c>
      <c r="B743" s="1" t="s">
        <v>4914</v>
      </c>
      <c r="C743" s="1" t="s">
        <v>4915</v>
      </c>
      <c r="D743" s="1" t="s">
        <v>4916</v>
      </c>
      <c r="E743" s="1" t="s">
        <v>4917</v>
      </c>
      <c r="F743" s="1" t="s">
        <v>4918</v>
      </c>
      <c r="G743" s="1" t="s">
        <v>4919</v>
      </c>
    </row>
    <row r="744" spans="1:7" x14ac:dyDescent="0.2">
      <c r="A744" s="1" t="s">
        <v>4920</v>
      </c>
      <c r="B744" s="1" t="s">
        <v>4921</v>
      </c>
      <c r="C744" s="1" t="s">
        <v>4922</v>
      </c>
      <c r="D744" s="1" t="s">
        <v>4923</v>
      </c>
      <c r="E744" s="1" t="s">
        <v>4924</v>
      </c>
      <c r="F744" s="1" t="s">
        <v>4925</v>
      </c>
      <c r="G744" s="1" t="s">
        <v>4926</v>
      </c>
    </row>
    <row r="745" spans="1:7" x14ac:dyDescent="0.2">
      <c r="A745" s="1" t="s">
        <v>4927</v>
      </c>
      <c r="B745" s="1" t="s">
        <v>4928</v>
      </c>
      <c r="C745" s="1" t="s">
        <v>4929</v>
      </c>
      <c r="D745" s="1" t="s">
        <v>4930</v>
      </c>
      <c r="E745" s="1" t="s">
        <v>4931</v>
      </c>
      <c r="F745" s="1" t="s">
        <v>4932</v>
      </c>
      <c r="G745" s="1" t="s">
        <v>4933</v>
      </c>
    </row>
    <row r="746" spans="1:7" x14ac:dyDescent="0.2">
      <c r="A746" s="1" t="s">
        <v>4934</v>
      </c>
      <c r="B746" s="1" t="s">
        <v>4935</v>
      </c>
      <c r="C746" s="1" t="s">
        <v>4882</v>
      </c>
      <c r="D746" s="1" t="s">
        <v>4936</v>
      </c>
      <c r="E746" s="1" t="s">
        <v>4937</v>
      </c>
      <c r="F746" s="1" t="s">
        <v>4938</v>
      </c>
      <c r="G746" s="1" t="s">
        <v>4939</v>
      </c>
    </row>
    <row r="747" spans="1:7" x14ac:dyDescent="0.2">
      <c r="A747" s="1" t="s">
        <v>4940</v>
      </c>
      <c r="B747" s="1" t="s">
        <v>4941</v>
      </c>
      <c r="C747" s="1" t="s">
        <v>4942</v>
      </c>
      <c r="D747" s="1" t="s">
        <v>4868</v>
      </c>
      <c r="E747" s="1" t="s">
        <v>4943</v>
      </c>
      <c r="F747" s="1" t="s">
        <v>4944</v>
      </c>
      <c r="G747" s="1" t="s">
        <v>4945</v>
      </c>
    </row>
    <row r="748" spans="1:7" x14ac:dyDescent="0.2">
      <c r="A748" s="1" t="s">
        <v>4946</v>
      </c>
      <c r="B748" s="1" t="s">
        <v>4947</v>
      </c>
      <c r="C748" s="1" t="s">
        <v>4948</v>
      </c>
      <c r="D748" s="1" t="s">
        <v>4910</v>
      </c>
      <c r="E748" s="1" t="s">
        <v>4949</v>
      </c>
      <c r="F748" s="1" t="s">
        <v>4950</v>
      </c>
      <c r="G748" s="1" t="s">
        <v>4951</v>
      </c>
    </row>
    <row r="749" spans="1:7" x14ac:dyDescent="0.2">
      <c r="A749" s="1" t="s">
        <v>4952</v>
      </c>
      <c r="B749" s="1" t="s">
        <v>4953</v>
      </c>
      <c r="C749" s="1" t="s">
        <v>4954</v>
      </c>
      <c r="D749" s="1" t="s">
        <v>4955</v>
      </c>
      <c r="E749" s="1" t="s">
        <v>4956</v>
      </c>
      <c r="F749" s="1" t="s">
        <v>4957</v>
      </c>
      <c r="G749" s="1" t="s">
        <v>4958</v>
      </c>
    </row>
    <row r="750" spans="1:7" x14ac:dyDescent="0.2">
      <c r="A750" s="1" t="s">
        <v>4959</v>
      </c>
      <c r="B750" s="1" t="s">
        <v>4960</v>
      </c>
      <c r="C750" s="1" t="s">
        <v>4961</v>
      </c>
      <c r="D750" s="1" t="s">
        <v>4962</v>
      </c>
      <c r="E750" s="1" t="s">
        <v>4963</v>
      </c>
      <c r="F750" s="1" t="s">
        <v>4964</v>
      </c>
      <c r="G750" s="1" t="s">
        <v>4965</v>
      </c>
    </row>
    <row r="751" spans="1:7" x14ac:dyDescent="0.2">
      <c r="A751" s="1" t="s">
        <v>4966</v>
      </c>
      <c r="B751" s="1" t="s">
        <v>4967</v>
      </c>
      <c r="C751" s="1" t="s">
        <v>4968</v>
      </c>
      <c r="D751" s="1" t="s">
        <v>4969</v>
      </c>
      <c r="E751" s="1" t="s">
        <v>4970</v>
      </c>
      <c r="F751" s="1" t="s">
        <v>4971</v>
      </c>
      <c r="G751" s="1" t="s">
        <v>4972</v>
      </c>
    </row>
    <row r="752" spans="1:7" x14ac:dyDescent="0.2">
      <c r="A752" s="1" t="s">
        <v>4973</v>
      </c>
      <c r="B752" s="1" t="s">
        <v>4974</v>
      </c>
      <c r="C752" s="1" t="s">
        <v>4975</v>
      </c>
      <c r="D752" s="1" t="s">
        <v>4976</v>
      </c>
      <c r="E752" s="1" t="s">
        <v>4977</v>
      </c>
      <c r="F752" s="1" t="s">
        <v>4978</v>
      </c>
      <c r="G752" s="1" t="s">
        <v>4979</v>
      </c>
    </row>
    <row r="753" spans="1:7" x14ac:dyDescent="0.2">
      <c r="A753" s="1" t="s">
        <v>4980</v>
      </c>
      <c r="B753" s="1" t="s">
        <v>4981</v>
      </c>
      <c r="C753" s="1" t="s">
        <v>4982</v>
      </c>
      <c r="D753" s="1" t="s">
        <v>4983</v>
      </c>
      <c r="E753" s="1" t="s">
        <v>4984</v>
      </c>
      <c r="F753" s="1" t="s">
        <v>4985</v>
      </c>
      <c r="G753" s="1" t="s">
        <v>4986</v>
      </c>
    </row>
    <row r="754" spans="1:7" x14ac:dyDescent="0.2">
      <c r="A754" s="1" t="s">
        <v>4987</v>
      </c>
      <c r="B754" s="1" t="s">
        <v>4988</v>
      </c>
      <c r="C754" s="1" t="s">
        <v>4989</v>
      </c>
      <c r="D754" s="1" t="s">
        <v>4990</v>
      </c>
      <c r="E754" s="1" t="s">
        <v>4991</v>
      </c>
      <c r="F754" s="1" t="s">
        <v>4992</v>
      </c>
      <c r="G754" s="1" t="s">
        <v>4993</v>
      </c>
    </row>
    <row r="755" spans="1:7" x14ac:dyDescent="0.2">
      <c r="A755" s="1" t="s">
        <v>4994</v>
      </c>
      <c r="B755" s="1" t="s">
        <v>4995</v>
      </c>
      <c r="C755" s="1" t="s">
        <v>4996</v>
      </c>
      <c r="D755" s="1" t="s">
        <v>4997</v>
      </c>
      <c r="E755" s="1" t="s">
        <v>4998</v>
      </c>
      <c r="F755" s="1" t="s">
        <v>4999</v>
      </c>
      <c r="G755" s="1" t="s">
        <v>5000</v>
      </c>
    </row>
    <row r="756" spans="1:7" x14ac:dyDescent="0.2">
      <c r="A756" s="1" t="s">
        <v>5001</v>
      </c>
      <c r="B756" s="1" t="s">
        <v>5002</v>
      </c>
      <c r="C756" s="1" t="s">
        <v>5003</v>
      </c>
      <c r="D756" s="1" t="s">
        <v>5004</v>
      </c>
      <c r="E756" s="1" t="s">
        <v>5005</v>
      </c>
      <c r="F756" s="1" t="s">
        <v>5006</v>
      </c>
      <c r="G756" s="1" t="s">
        <v>5007</v>
      </c>
    </row>
    <row r="757" spans="1:7" x14ac:dyDescent="0.2">
      <c r="A757" s="1" t="s">
        <v>5008</v>
      </c>
      <c r="B757" s="1" t="s">
        <v>5009</v>
      </c>
      <c r="C757" s="1" t="s">
        <v>5010</v>
      </c>
      <c r="D757" s="1" t="s">
        <v>5011</v>
      </c>
      <c r="E757" s="1" t="s">
        <v>5012</v>
      </c>
      <c r="F757" s="1" t="s">
        <v>5011</v>
      </c>
      <c r="G757" s="1" t="s">
        <v>5013</v>
      </c>
    </row>
    <row r="758" spans="1:7" x14ac:dyDescent="0.2">
      <c r="A758" s="1" t="s">
        <v>5014</v>
      </c>
      <c r="B758" s="1" t="s">
        <v>5015</v>
      </c>
      <c r="C758" s="1" t="s">
        <v>5016</v>
      </c>
      <c r="D758" s="1" t="s">
        <v>5017</v>
      </c>
      <c r="E758" s="1" t="s">
        <v>5018</v>
      </c>
      <c r="F758" s="1" t="s">
        <v>5019</v>
      </c>
      <c r="G758" s="1" t="s">
        <v>5020</v>
      </c>
    </row>
    <row r="759" spans="1:7" x14ac:dyDescent="0.2">
      <c r="A759" s="1" t="s">
        <v>5021</v>
      </c>
      <c r="B759" s="1" t="s">
        <v>5022</v>
      </c>
      <c r="C759" s="1" t="s">
        <v>5023</v>
      </c>
      <c r="D759" s="1" t="s">
        <v>5024</v>
      </c>
      <c r="E759" s="1" t="s">
        <v>5025</v>
      </c>
      <c r="F759" s="1" t="s">
        <v>5026</v>
      </c>
      <c r="G759" s="1" t="s">
        <v>5027</v>
      </c>
    </row>
    <row r="760" spans="1:7" x14ac:dyDescent="0.2">
      <c r="A760" s="1" t="s">
        <v>5028</v>
      </c>
      <c r="B760" s="1" t="s">
        <v>5029</v>
      </c>
      <c r="C760" s="1" t="s">
        <v>5030</v>
      </c>
      <c r="D760" s="1" t="s">
        <v>5031</v>
      </c>
      <c r="E760" s="1" t="s">
        <v>5032</v>
      </c>
      <c r="F760" s="1" t="s">
        <v>5033</v>
      </c>
      <c r="G760" s="1" t="s">
        <v>5034</v>
      </c>
    </row>
    <row r="761" spans="1:7" x14ac:dyDescent="0.2">
      <c r="A761" s="1" t="s">
        <v>5035</v>
      </c>
      <c r="B761" s="1" t="s">
        <v>5036</v>
      </c>
      <c r="C761" s="1" t="s">
        <v>5037</v>
      </c>
      <c r="D761" s="1" t="s">
        <v>5038</v>
      </c>
      <c r="E761" s="1" t="s">
        <v>5039</v>
      </c>
      <c r="F761" s="1" t="s">
        <v>5040</v>
      </c>
      <c r="G761" s="1" t="s">
        <v>5041</v>
      </c>
    </row>
    <row r="762" spans="1:7" x14ac:dyDescent="0.2">
      <c r="A762" s="1" t="s">
        <v>5042</v>
      </c>
      <c r="B762" s="1" t="s">
        <v>5043</v>
      </c>
      <c r="C762" s="1" t="s">
        <v>5044</v>
      </c>
      <c r="D762" s="1" t="s">
        <v>5045</v>
      </c>
      <c r="E762" s="1" t="s">
        <v>5046</v>
      </c>
      <c r="F762" s="1" t="s">
        <v>5047</v>
      </c>
      <c r="G762" s="1" t="s">
        <v>5048</v>
      </c>
    </row>
    <row r="763" spans="1:7" x14ac:dyDescent="0.2">
      <c r="A763" s="1" t="s">
        <v>5049</v>
      </c>
      <c r="B763" s="1" t="s">
        <v>5050</v>
      </c>
      <c r="C763" s="1" t="s">
        <v>5051</v>
      </c>
      <c r="D763" s="1" t="s">
        <v>5052</v>
      </c>
      <c r="E763" s="1" t="s">
        <v>5053</v>
      </c>
      <c r="F763" s="1" t="s">
        <v>5054</v>
      </c>
      <c r="G763" s="1" t="s">
        <v>5055</v>
      </c>
    </row>
    <row r="764" spans="1:7" x14ac:dyDescent="0.2">
      <c r="A764" s="1" t="s">
        <v>5056</v>
      </c>
      <c r="B764" s="1" t="s">
        <v>5057</v>
      </c>
      <c r="C764" s="1" t="s">
        <v>5058</v>
      </c>
      <c r="D764" s="1" t="s">
        <v>5059</v>
      </c>
      <c r="E764" s="1" t="s">
        <v>5060</v>
      </c>
      <c r="F764" s="1" t="s">
        <v>4984</v>
      </c>
      <c r="G764" s="1" t="s">
        <v>5061</v>
      </c>
    </row>
    <row r="765" spans="1:7" x14ac:dyDescent="0.2">
      <c r="A765" s="1" t="s">
        <v>5062</v>
      </c>
      <c r="B765" s="1" t="s">
        <v>5063</v>
      </c>
      <c r="C765" s="1" t="s">
        <v>5064</v>
      </c>
      <c r="D765" s="1" t="s">
        <v>5065</v>
      </c>
      <c r="E765" s="1" t="s">
        <v>5066</v>
      </c>
      <c r="F765" s="1" t="s">
        <v>5067</v>
      </c>
      <c r="G765" s="1" t="s">
        <v>5068</v>
      </c>
    </row>
    <row r="766" spans="1:7" x14ac:dyDescent="0.2">
      <c r="A766" s="1" t="s">
        <v>5069</v>
      </c>
      <c r="B766" s="1" t="s">
        <v>5070</v>
      </c>
      <c r="C766" s="1" t="s">
        <v>5071</v>
      </c>
      <c r="D766" s="1" t="s">
        <v>5072</v>
      </c>
      <c r="E766" s="1" t="s">
        <v>5067</v>
      </c>
      <c r="F766" s="1" t="s">
        <v>5073</v>
      </c>
      <c r="G766" s="1" t="s">
        <v>5074</v>
      </c>
    </row>
    <row r="767" spans="1:7" x14ac:dyDescent="0.2">
      <c r="A767" s="1" t="s">
        <v>5075</v>
      </c>
      <c r="B767" s="1" t="s">
        <v>5076</v>
      </c>
      <c r="C767" s="1" t="s">
        <v>5077</v>
      </c>
      <c r="D767" s="1" t="s">
        <v>5078</v>
      </c>
      <c r="E767" s="1" t="s">
        <v>5079</v>
      </c>
      <c r="F767" s="1" t="s">
        <v>5080</v>
      </c>
      <c r="G767" s="1" t="s">
        <v>5081</v>
      </c>
    </row>
    <row r="768" spans="1:7" x14ac:dyDescent="0.2">
      <c r="A768" s="1" t="s">
        <v>5082</v>
      </c>
      <c r="B768" s="1" t="s">
        <v>5083</v>
      </c>
      <c r="C768" s="1" t="s">
        <v>5084</v>
      </c>
      <c r="D768" s="1" t="s">
        <v>4699</v>
      </c>
      <c r="E768" s="1" t="s">
        <v>5085</v>
      </c>
      <c r="F768" s="1" t="s">
        <v>5086</v>
      </c>
      <c r="G768" s="1" t="s">
        <v>5087</v>
      </c>
    </row>
    <row r="769" spans="1:7" x14ac:dyDescent="0.2">
      <c r="A769" s="1" t="s">
        <v>5088</v>
      </c>
      <c r="B769" s="1" t="s">
        <v>5089</v>
      </c>
      <c r="C769" s="1" t="s">
        <v>5090</v>
      </c>
      <c r="D769" s="1" t="s">
        <v>5091</v>
      </c>
      <c r="E769" s="1" t="s">
        <v>5092</v>
      </c>
      <c r="F769" s="1" t="s">
        <v>4449</v>
      </c>
      <c r="G769" s="1" t="s">
        <v>5093</v>
      </c>
    </row>
    <row r="770" spans="1:7" x14ac:dyDescent="0.2">
      <c r="A770" s="1" t="s">
        <v>5094</v>
      </c>
      <c r="B770" s="1" t="s">
        <v>5095</v>
      </c>
      <c r="C770" s="1" t="s">
        <v>5096</v>
      </c>
      <c r="D770" s="1" t="s">
        <v>5097</v>
      </c>
      <c r="E770" s="1" t="s">
        <v>5098</v>
      </c>
      <c r="F770" s="1" t="s">
        <v>5099</v>
      </c>
      <c r="G770" s="1" t="s">
        <v>5100</v>
      </c>
    </row>
    <row r="771" spans="1:7" x14ac:dyDescent="0.2">
      <c r="A771" s="1" t="s">
        <v>5101</v>
      </c>
      <c r="B771" s="1" t="s">
        <v>5102</v>
      </c>
      <c r="C771" s="1" t="s">
        <v>5103</v>
      </c>
      <c r="D771" s="1" t="s">
        <v>5104</v>
      </c>
      <c r="E771" s="1" t="s">
        <v>5105</v>
      </c>
      <c r="F771" s="1" t="s">
        <v>5106</v>
      </c>
      <c r="G771" s="1" t="s">
        <v>5107</v>
      </c>
    </row>
    <row r="772" spans="1:7" x14ac:dyDescent="0.2">
      <c r="A772" s="1" t="s">
        <v>5108</v>
      </c>
      <c r="B772" s="1" t="s">
        <v>5109</v>
      </c>
      <c r="C772" s="1" t="s">
        <v>5110</v>
      </c>
      <c r="D772" s="1" t="s">
        <v>5111</v>
      </c>
      <c r="E772" s="1" t="s">
        <v>5112</v>
      </c>
      <c r="F772" s="1" t="s">
        <v>5113</v>
      </c>
      <c r="G772" s="1" t="s">
        <v>5114</v>
      </c>
    </row>
    <row r="773" spans="1:7" x14ac:dyDescent="0.2">
      <c r="A773" s="1" t="s">
        <v>5115</v>
      </c>
      <c r="B773" s="1" t="s">
        <v>5116</v>
      </c>
      <c r="C773" s="1" t="s">
        <v>5117</v>
      </c>
      <c r="D773" s="1" t="s">
        <v>5118</v>
      </c>
      <c r="E773" s="1" t="s">
        <v>5119</v>
      </c>
      <c r="F773" s="1" t="s">
        <v>5120</v>
      </c>
      <c r="G773" s="1" t="s">
        <v>5121</v>
      </c>
    </row>
    <row r="774" spans="1:7" x14ac:dyDescent="0.2">
      <c r="A774" s="1" t="s">
        <v>5122</v>
      </c>
      <c r="B774" s="1" t="s">
        <v>5123</v>
      </c>
      <c r="C774" s="1" t="s">
        <v>5124</v>
      </c>
      <c r="D774" s="1" t="s">
        <v>5125</v>
      </c>
      <c r="E774" s="1" t="s">
        <v>4814</v>
      </c>
      <c r="F774" s="1" t="s">
        <v>5126</v>
      </c>
      <c r="G774" s="1" t="s">
        <v>5127</v>
      </c>
    </row>
    <row r="775" spans="1:7" x14ac:dyDescent="0.2">
      <c r="A775" s="1" t="s">
        <v>5128</v>
      </c>
      <c r="B775" s="1" t="s">
        <v>5129</v>
      </c>
      <c r="C775" s="1" t="s">
        <v>5130</v>
      </c>
      <c r="D775" s="1" t="s">
        <v>5131</v>
      </c>
      <c r="E775" s="1" t="s">
        <v>5132</v>
      </c>
      <c r="F775" s="1" t="s">
        <v>5133</v>
      </c>
      <c r="G775" s="1" t="s">
        <v>5134</v>
      </c>
    </row>
    <row r="776" spans="1:7" x14ac:dyDescent="0.2">
      <c r="A776" s="1" t="s">
        <v>5135</v>
      </c>
      <c r="B776" s="1" t="s">
        <v>5136</v>
      </c>
      <c r="C776" s="1" t="s">
        <v>5137</v>
      </c>
      <c r="D776" s="1" t="s">
        <v>5138</v>
      </c>
      <c r="E776" s="1" t="s">
        <v>5139</v>
      </c>
      <c r="F776" s="1" t="s">
        <v>5140</v>
      </c>
      <c r="G776" s="1" t="s">
        <v>5141</v>
      </c>
    </row>
    <row r="777" spans="1:7" x14ac:dyDescent="0.2">
      <c r="A777" s="1" t="s">
        <v>5142</v>
      </c>
      <c r="B777" s="1" t="s">
        <v>5143</v>
      </c>
      <c r="C777" s="1" t="s">
        <v>5144</v>
      </c>
      <c r="D777" s="1" t="s">
        <v>5145</v>
      </c>
      <c r="E777" s="1" t="s">
        <v>5146</v>
      </c>
      <c r="F777" s="1" t="s">
        <v>5147</v>
      </c>
      <c r="G777" s="1" t="s">
        <v>5148</v>
      </c>
    </row>
    <row r="778" spans="1:7" x14ac:dyDescent="0.2">
      <c r="A778" s="1" t="s">
        <v>5149</v>
      </c>
      <c r="B778" s="1" t="s">
        <v>5150</v>
      </c>
      <c r="C778" s="1" t="s">
        <v>4609</v>
      </c>
      <c r="D778" s="1" t="s">
        <v>5151</v>
      </c>
      <c r="E778" s="1" t="s">
        <v>5152</v>
      </c>
      <c r="F778" s="1" t="s">
        <v>5153</v>
      </c>
      <c r="G778" s="1" t="s">
        <v>5154</v>
      </c>
    </row>
    <row r="779" spans="1:7" x14ac:dyDescent="0.2">
      <c r="A779" s="1" t="s">
        <v>5155</v>
      </c>
      <c r="B779" s="1" t="s">
        <v>5156</v>
      </c>
      <c r="C779" s="1" t="s">
        <v>5157</v>
      </c>
      <c r="D779" s="1" t="s">
        <v>5158</v>
      </c>
      <c r="E779" s="1" t="s">
        <v>5159</v>
      </c>
      <c r="F779" s="1" t="s">
        <v>5160</v>
      </c>
      <c r="G779" s="1" t="s">
        <v>5161</v>
      </c>
    </row>
    <row r="780" spans="1:7" x14ac:dyDescent="0.2">
      <c r="A780" s="1" t="s">
        <v>5162</v>
      </c>
      <c r="B780" s="1" t="s">
        <v>5163</v>
      </c>
      <c r="C780" s="1" t="s">
        <v>5164</v>
      </c>
      <c r="D780" s="1" t="s">
        <v>5165</v>
      </c>
      <c r="E780" s="1" t="s">
        <v>5166</v>
      </c>
      <c r="F780" s="1" t="s">
        <v>5167</v>
      </c>
      <c r="G780" s="1" t="s">
        <v>5168</v>
      </c>
    </row>
    <row r="781" spans="1:7" x14ac:dyDescent="0.2">
      <c r="A781" s="1" t="s">
        <v>5169</v>
      </c>
      <c r="B781" s="1" t="s">
        <v>5170</v>
      </c>
      <c r="C781" s="1" t="s">
        <v>5171</v>
      </c>
      <c r="D781" s="1" t="s">
        <v>5172</v>
      </c>
      <c r="E781" s="1" t="s">
        <v>5173</v>
      </c>
      <c r="F781" s="1" t="s">
        <v>5174</v>
      </c>
      <c r="G781" s="1" t="s">
        <v>5175</v>
      </c>
    </row>
    <row r="782" spans="1:7" x14ac:dyDescent="0.2">
      <c r="A782" s="1" t="s">
        <v>5176</v>
      </c>
      <c r="B782" s="1" t="s">
        <v>5177</v>
      </c>
      <c r="C782" s="1" t="s">
        <v>4593</v>
      </c>
      <c r="D782" s="1" t="s">
        <v>5178</v>
      </c>
      <c r="E782" s="1" t="s">
        <v>5179</v>
      </c>
      <c r="F782" s="1" t="s">
        <v>5180</v>
      </c>
      <c r="G782" s="1" t="s">
        <v>5181</v>
      </c>
    </row>
    <row r="783" spans="1:7" x14ac:dyDescent="0.2">
      <c r="A783" s="1" t="s">
        <v>5182</v>
      </c>
      <c r="B783" s="1" t="s">
        <v>5183</v>
      </c>
      <c r="C783" s="1" t="s">
        <v>5184</v>
      </c>
      <c r="D783" s="1" t="s">
        <v>4895</v>
      </c>
      <c r="E783" s="1" t="s">
        <v>5185</v>
      </c>
      <c r="F783" s="1" t="s">
        <v>5186</v>
      </c>
      <c r="G783" s="1" t="s">
        <v>5187</v>
      </c>
    </row>
    <row r="784" spans="1:7" x14ac:dyDescent="0.2">
      <c r="A784" s="1" t="s">
        <v>5188</v>
      </c>
      <c r="B784" s="1" t="s">
        <v>5189</v>
      </c>
      <c r="C784" s="1" t="s">
        <v>5190</v>
      </c>
      <c r="D784" s="1" t="s">
        <v>5191</v>
      </c>
      <c r="E784" s="1" t="s">
        <v>5192</v>
      </c>
      <c r="F784" s="1" t="s">
        <v>5193</v>
      </c>
      <c r="G784" s="1" t="s">
        <v>5194</v>
      </c>
    </row>
    <row r="785" spans="1:7" x14ac:dyDescent="0.2">
      <c r="A785" s="1" t="s">
        <v>5195</v>
      </c>
      <c r="B785" s="1" t="s">
        <v>5196</v>
      </c>
      <c r="C785" s="1" t="s">
        <v>5197</v>
      </c>
      <c r="D785" s="1" t="s">
        <v>5198</v>
      </c>
      <c r="E785" s="1" t="s">
        <v>5199</v>
      </c>
      <c r="F785" s="1" t="s">
        <v>5199</v>
      </c>
      <c r="G785" s="1" t="s">
        <v>5200</v>
      </c>
    </row>
    <row r="786" spans="1:7" x14ac:dyDescent="0.2">
      <c r="A786" s="1" t="s">
        <v>5201</v>
      </c>
      <c r="B786" s="1" t="s">
        <v>5202</v>
      </c>
      <c r="C786" s="1" t="s">
        <v>5203</v>
      </c>
      <c r="D786" s="1" t="s">
        <v>5204</v>
      </c>
      <c r="E786" s="1" t="s">
        <v>5205</v>
      </c>
      <c r="F786" s="1" t="s">
        <v>5206</v>
      </c>
      <c r="G786" s="1" t="s">
        <v>5207</v>
      </c>
    </row>
    <row r="787" spans="1:7" x14ac:dyDescent="0.2">
      <c r="A787" s="1" t="s">
        <v>5208</v>
      </c>
      <c r="B787" s="1" t="s">
        <v>5209</v>
      </c>
      <c r="C787" s="1" t="s">
        <v>5210</v>
      </c>
      <c r="D787" s="1" t="s">
        <v>5211</v>
      </c>
      <c r="E787" s="1" t="s">
        <v>5212</v>
      </c>
      <c r="F787" s="1" t="s">
        <v>5213</v>
      </c>
      <c r="G787" s="1" t="s">
        <v>5214</v>
      </c>
    </row>
    <row r="788" spans="1:7" x14ac:dyDescent="0.2">
      <c r="A788" s="1" t="s">
        <v>5215</v>
      </c>
      <c r="B788" s="1" t="s">
        <v>5216</v>
      </c>
      <c r="C788" s="1" t="s">
        <v>5217</v>
      </c>
      <c r="D788" s="1" t="s">
        <v>5218</v>
      </c>
      <c r="E788" s="1" t="s">
        <v>5219</v>
      </c>
      <c r="F788" s="1" t="s">
        <v>5220</v>
      </c>
      <c r="G788" s="1" t="s">
        <v>5221</v>
      </c>
    </row>
    <row r="789" spans="1:7" x14ac:dyDescent="0.2">
      <c r="A789" s="1" t="s">
        <v>5222</v>
      </c>
      <c r="B789" s="1" t="s">
        <v>5223</v>
      </c>
      <c r="C789" s="1" t="s">
        <v>5224</v>
      </c>
      <c r="D789" s="1" t="s">
        <v>5225</v>
      </c>
      <c r="E789" s="1" t="s">
        <v>5226</v>
      </c>
      <c r="F789" s="1" t="s">
        <v>5227</v>
      </c>
      <c r="G789" s="1" t="s">
        <v>5228</v>
      </c>
    </row>
    <row r="790" spans="1:7" x14ac:dyDescent="0.2">
      <c r="A790" s="1" t="s">
        <v>5229</v>
      </c>
      <c r="B790" s="1" t="s">
        <v>5230</v>
      </c>
      <c r="C790" s="1" t="s">
        <v>5231</v>
      </c>
      <c r="D790" s="1" t="s">
        <v>5232</v>
      </c>
      <c r="E790" s="1" t="s">
        <v>5233</v>
      </c>
      <c r="F790" s="1" t="s">
        <v>5234</v>
      </c>
      <c r="G790" s="1" t="s">
        <v>5235</v>
      </c>
    </row>
    <row r="791" spans="1:7" x14ac:dyDescent="0.2">
      <c r="A791" s="1" t="s">
        <v>5236</v>
      </c>
      <c r="B791" s="1" t="s">
        <v>5237</v>
      </c>
      <c r="C791" s="1" t="s">
        <v>5238</v>
      </c>
      <c r="D791" s="1" t="s">
        <v>5239</v>
      </c>
      <c r="E791" s="1" t="s">
        <v>5240</v>
      </c>
      <c r="F791" s="1" t="s">
        <v>5241</v>
      </c>
      <c r="G791" s="1" t="s">
        <v>5242</v>
      </c>
    </row>
    <row r="792" spans="1:7" x14ac:dyDescent="0.2">
      <c r="A792" s="1" t="s">
        <v>5243</v>
      </c>
      <c r="B792" s="1" t="s">
        <v>5244</v>
      </c>
      <c r="C792" s="1" t="s">
        <v>5245</v>
      </c>
      <c r="D792" s="1" t="s">
        <v>5246</v>
      </c>
      <c r="E792" s="1" t="s">
        <v>5247</v>
      </c>
      <c r="F792" s="1" t="s">
        <v>5248</v>
      </c>
      <c r="G792" s="1" t="s">
        <v>5249</v>
      </c>
    </row>
    <row r="793" spans="1:7" x14ac:dyDescent="0.2">
      <c r="A793" s="1" t="s">
        <v>5250</v>
      </c>
      <c r="B793" s="1" t="s">
        <v>5251</v>
      </c>
      <c r="C793" s="1" t="s">
        <v>5252</v>
      </c>
      <c r="D793" s="1" t="s">
        <v>5253</v>
      </c>
      <c r="E793" s="1" t="s">
        <v>5254</v>
      </c>
      <c r="F793" s="1" t="s">
        <v>5255</v>
      </c>
      <c r="G793" s="1" t="s">
        <v>5256</v>
      </c>
    </row>
    <row r="794" spans="1:7" x14ac:dyDescent="0.2">
      <c r="A794" s="1" t="s">
        <v>5257</v>
      </c>
      <c r="B794" s="1" t="s">
        <v>5258</v>
      </c>
      <c r="C794" s="1" t="s">
        <v>5259</v>
      </c>
      <c r="D794" s="1" t="s">
        <v>5260</v>
      </c>
      <c r="E794" s="1" t="s">
        <v>5261</v>
      </c>
      <c r="F794" s="1" t="s">
        <v>5262</v>
      </c>
      <c r="G794" s="1" t="s">
        <v>5263</v>
      </c>
    </row>
    <row r="795" spans="1:7" x14ac:dyDescent="0.2">
      <c r="A795" s="1" t="s">
        <v>5264</v>
      </c>
      <c r="B795" s="1" t="s">
        <v>5265</v>
      </c>
      <c r="C795" s="1" t="s">
        <v>4622</v>
      </c>
      <c r="D795" s="1" t="s">
        <v>5266</v>
      </c>
      <c r="E795" s="1" t="s">
        <v>5267</v>
      </c>
      <c r="F795" s="1" t="s">
        <v>5268</v>
      </c>
      <c r="G795" s="1" t="s">
        <v>5269</v>
      </c>
    </row>
    <row r="796" spans="1:7" x14ac:dyDescent="0.2">
      <c r="A796" s="1" t="s">
        <v>5270</v>
      </c>
      <c r="B796" s="1" t="s">
        <v>5271</v>
      </c>
      <c r="C796" s="1" t="s">
        <v>5272</v>
      </c>
      <c r="D796" s="1" t="s">
        <v>5273</v>
      </c>
      <c r="E796" s="1" t="s">
        <v>5274</v>
      </c>
      <c r="F796" s="1" t="s">
        <v>5275</v>
      </c>
      <c r="G796" s="1" t="s">
        <v>5276</v>
      </c>
    </row>
    <row r="797" spans="1:7" x14ac:dyDescent="0.2">
      <c r="A797" s="1" t="s">
        <v>5277</v>
      </c>
      <c r="B797" s="1" t="s">
        <v>5278</v>
      </c>
      <c r="C797" s="1" t="s">
        <v>5279</v>
      </c>
      <c r="D797" s="1" t="s">
        <v>5280</v>
      </c>
      <c r="E797" s="1" t="s">
        <v>5281</v>
      </c>
      <c r="F797" s="1" t="s">
        <v>5282</v>
      </c>
      <c r="G797" s="1" t="s">
        <v>5283</v>
      </c>
    </row>
    <row r="798" spans="1:7" x14ac:dyDescent="0.2">
      <c r="A798" s="1" t="s">
        <v>5284</v>
      </c>
      <c r="B798" s="1" t="s">
        <v>5285</v>
      </c>
      <c r="C798" s="1" t="s">
        <v>5286</v>
      </c>
      <c r="D798" s="1" t="s">
        <v>5287</v>
      </c>
      <c r="E798" s="1" t="s">
        <v>4703</v>
      </c>
      <c r="F798" s="1" t="s">
        <v>5080</v>
      </c>
      <c r="G798" s="1" t="s">
        <v>5288</v>
      </c>
    </row>
    <row r="799" spans="1:7" x14ac:dyDescent="0.2">
      <c r="A799" s="1" t="s">
        <v>5289</v>
      </c>
      <c r="B799" s="1" t="s">
        <v>5290</v>
      </c>
      <c r="C799" s="1" t="s">
        <v>5125</v>
      </c>
      <c r="D799" s="1" t="s">
        <v>5291</v>
      </c>
      <c r="E799" s="1" t="s">
        <v>5292</v>
      </c>
      <c r="F799" s="1" t="s">
        <v>5293</v>
      </c>
      <c r="G799" s="1" t="s">
        <v>5294</v>
      </c>
    </row>
    <row r="800" spans="1:7" x14ac:dyDescent="0.2">
      <c r="A800" s="1" t="s">
        <v>5295</v>
      </c>
      <c r="B800" s="1" t="s">
        <v>5296</v>
      </c>
      <c r="C800" s="1" t="s">
        <v>5297</v>
      </c>
      <c r="D800" s="1" t="s">
        <v>5298</v>
      </c>
      <c r="E800" s="1" t="s">
        <v>4901</v>
      </c>
      <c r="F800" s="1" t="s">
        <v>4464</v>
      </c>
      <c r="G800" s="1" t="s">
        <v>5299</v>
      </c>
    </row>
    <row r="801" spans="1:7" x14ac:dyDescent="0.2">
      <c r="A801" s="1" t="s">
        <v>5300</v>
      </c>
      <c r="B801" s="1" t="s">
        <v>5301</v>
      </c>
      <c r="C801" s="1" t="s">
        <v>5302</v>
      </c>
      <c r="D801" s="1" t="s">
        <v>5303</v>
      </c>
      <c r="E801" s="1" t="s">
        <v>5304</v>
      </c>
      <c r="F801" s="1" t="s">
        <v>5305</v>
      </c>
      <c r="G801" s="1" t="s">
        <v>5306</v>
      </c>
    </row>
    <row r="802" spans="1:7" x14ac:dyDescent="0.2">
      <c r="A802" s="1" t="s">
        <v>5307</v>
      </c>
      <c r="B802" s="1" t="s">
        <v>5308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5313</v>
      </c>
    </row>
    <row r="803" spans="1:7" x14ac:dyDescent="0.2">
      <c r="A803" s="1" t="s">
        <v>5314</v>
      </c>
      <c r="B803" s="1" t="s">
        <v>5315</v>
      </c>
      <c r="C803" s="1" t="s">
        <v>5316</v>
      </c>
      <c r="D803" s="1" t="s">
        <v>4483</v>
      </c>
      <c r="E803" s="1" t="s">
        <v>5317</v>
      </c>
      <c r="F803" s="1" t="s">
        <v>4483</v>
      </c>
      <c r="G803" s="1" t="s">
        <v>5318</v>
      </c>
    </row>
    <row r="804" spans="1:7" x14ac:dyDescent="0.2">
      <c r="A804" s="1" t="s">
        <v>5319</v>
      </c>
      <c r="B804" s="1" t="s">
        <v>5320</v>
      </c>
      <c r="C804" s="1" t="s">
        <v>5321</v>
      </c>
      <c r="D804" s="1" t="s">
        <v>5322</v>
      </c>
      <c r="E804" s="1" t="s">
        <v>5323</v>
      </c>
      <c r="F804" s="1" t="s">
        <v>4388</v>
      </c>
      <c r="G804" s="1" t="s">
        <v>5324</v>
      </c>
    </row>
    <row r="805" spans="1:7" x14ac:dyDescent="0.2">
      <c r="A805" s="1" t="s">
        <v>5325</v>
      </c>
      <c r="B805" s="1" t="s">
        <v>5326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5331</v>
      </c>
    </row>
    <row r="806" spans="1:7" x14ac:dyDescent="0.2">
      <c r="A806" s="1" t="s">
        <v>5332</v>
      </c>
      <c r="B806" s="1" t="s">
        <v>5333</v>
      </c>
      <c r="C806" s="1" t="s">
        <v>5334</v>
      </c>
      <c r="D806" s="1" t="s">
        <v>5335</v>
      </c>
      <c r="E806" s="1" t="s">
        <v>5336</v>
      </c>
      <c r="F806" s="1" t="s">
        <v>5337</v>
      </c>
      <c r="G806" s="1" t="s">
        <v>5338</v>
      </c>
    </row>
    <row r="807" spans="1:7" x14ac:dyDescent="0.2">
      <c r="A807" s="1" t="s">
        <v>5339</v>
      </c>
      <c r="B807" s="1" t="s">
        <v>5340</v>
      </c>
      <c r="C807" s="1" t="s">
        <v>5341</v>
      </c>
      <c r="D807" s="1" t="s">
        <v>5342</v>
      </c>
      <c r="E807" s="1" t="s">
        <v>5343</v>
      </c>
      <c r="F807" s="1" t="s">
        <v>5344</v>
      </c>
      <c r="G807" s="1" t="s">
        <v>5345</v>
      </c>
    </row>
    <row r="808" spans="1:7" x14ac:dyDescent="0.2">
      <c r="A808" s="1" t="s">
        <v>5346</v>
      </c>
      <c r="B808" s="1" t="s">
        <v>5347</v>
      </c>
      <c r="C808" s="1" t="s">
        <v>5348</v>
      </c>
      <c r="D808" s="1" t="s">
        <v>5349</v>
      </c>
      <c r="E808" s="1" t="s">
        <v>5350</v>
      </c>
      <c r="F808" s="1" t="s">
        <v>5351</v>
      </c>
      <c r="G808" s="1" t="s">
        <v>5352</v>
      </c>
    </row>
    <row r="809" spans="1:7" x14ac:dyDescent="0.2">
      <c r="A809" s="1" t="s">
        <v>5353</v>
      </c>
      <c r="B809" s="1" t="s">
        <v>5354</v>
      </c>
      <c r="C809" s="1" t="s">
        <v>5355</v>
      </c>
      <c r="D809" s="1" t="s">
        <v>5356</v>
      </c>
      <c r="E809" s="1" t="s">
        <v>5357</v>
      </c>
      <c r="F809" s="1" t="s">
        <v>5358</v>
      </c>
      <c r="G809" s="1" t="s">
        <v>5359</v>
      </c>
    </row>
    <row r="810" spans="1:7" x14ac:dyDescent="0.2">
      <c r="A810" s="1" t="s">
        <v>5360</v>
      </c>
      <c r="B810" s="1" t="s">
        <v>5361</v>
      </c>
      <c r="C810" s="1" t="s">
        <v>4712</v>
      </c>
      <c r="D810" s="1" t="s">
        <v>5362</v>
      </c>
      <c r="E810" s="1" t="s">
        <v>5363</v>
      </c>
      <c r="F810" s="1" t="s">
        <v>5364</v>
      </c>
      <c r="G810" s="1" t="s">
        <v>5365</v>
      </c>
    </row>
    <row r="811" spans="1:7" x14ac:dyDescent="0.2">
      <c r="A811" s="1" t="s">
        <v>5366</v>
      </c>
      <c r="B811" s="1" t="s">
        <v>5367</v>
      </c>
      <c r="C811" s="1" t="s">
        <v>4968</v>
      </c>
      <c r="D811" s="1" t="s">
        <v>5368</v>
      </c>
      <c r="E811" s="1" t="s">
        <v>5369</v>
      </c>
      <c r="F811" s="1" t="s">
        <v>5370</v>
      </c>
      <c r="G811" s="1" t="s">
        <v>5371</v>
      </c>
    </row>
    <row r="812" spans="1:7" x14ac:dyDescent="0.2">
      <c r="A812" s="1" t="s">
        <v>5372</v>
      </c>
      <c r="B812" s="1" t="s">
        <v>5373</v>
      </c>
      <c r="C812" s="1" t="s">
        <v>5374</v>
      </c>
      <c r="D812" s="1" t="s">
        <v>5375</v>
      </c>
      <c r="E812" s="1" t="s">
        <v>5376</v>
      </c>
      <c r="F812" s="1" t="s">
        <v>5033</v>
      </c>
      <c r="G812" s="1" t="s">
        <v>5377</v>
      </c>
    </row>
    <row r="813" spans="1:7" x14ac:dyDescent="0.2">
      <c r="A813" s="1" t="s">
        <v>5378</v>
      </c>
      <c r="B813" s="1" t="s">
        <v>5379</v>
      </c>
      <c r="C813" s="1" t="s">
        <v>5380</v>
      </c>
      <c r="D813" s="1" t="s">
        <v>5381</v>
      </c>
      <c r="E813" s="1" t="s">
        <v>5382</v>
      </c>
      <c r="F813" s="1" t="s">
        <v>4420</v>
      </c>
      <c r="G813" s="1" t="s">
        <v>5383</v>
      </c>
    </row>
    <row r="814" spans="1:7" x14ac:dyDescent="0.2">
      <c r="A814" s="1" t="s">
        <v>5384</v>
      </c>
      <c r="B814" s="1" t="s">
        <v>5385</v>
      </c>
      <c r="C814" s="1" t="s">
        <v>5386</v>
      </c>
      <c r="D814" s="1" t="s">
        <v>5387</v>
      </c>
      <c r="E814" s="1" t="s">
        <v>5388</v>
      </c>
      <c r="F814" s="1" t="s">
        <v>5389</v>
      </c>
      <c r="G814" s="1" t="s">
        <v>5390</v>
      </c>
    </row>
    <row r="815" spans="1:7" x14ac:dyDescent="0.2">
      <c r="A815" s="1" t="s">
        <v>5391</v>
      </c>
      <c r="B815" s="1" t="s">
        <v>5392</v>
      </c>
      <c r="C815" s="1" t="s">
        <v>5393</v>
      </c>
      <c r="D815" s="1" t="s">
        <v>5394</v>
      </c>
      <c r="E815" s="1" t="s">
        <v>5395</v>
      </c>
      <c r="F815" s="1" t="s">
        <v>5396</v>
      </c>
      <c r="G815" s="1" t="s">
        <v>5397</v>
      </c>
    </row>
    <row r="816" spans="1:7" x14ac:dyDescent="0.2">
      <c r="A816" s="1" t="s">
        <v>5398</v>
      </c>
      <c r="B816" s="1" t="s">
        <v>5399</v>
      </c>
      <c r="C816" s="1" t="s">
        <v>5400</v>
      </c>
      <c r="D816" s="1" t="s">
        <v>5401</v>
      </c>
      <c r="E816" s="1" t="s">
        <v>5402</v>
      </c>
      <c r="F816" s="1" t="s">
        <v>5403</v>
      </c>
      <c r="G816" s="1" t="s">
        <v>5404</v>
      </c>
    </row>
    <row r="817" spans="1:7" x14ac:dyDescent="0.2">
      <c r="A817" s="1" t="s">
        <v>5405</v>
      </c>
      <c r="B817" s="1" t="s">
        <v>5406</v>
      </c>
      <c r="C817" s="1" t="s">
        <v>5407</v>
      </c>
      <c r="D817" s="1" t="s">
        <v>5408</v>
      </c>
      <c r="E817" s="1" t="s">
        <v>5409</v>
      </c>
      <c r="F817" s="1" t="s">
        <v>5410</v>
      </c>
      <c r="G817" s="1" t="s">
        <v>5411</v>
      </c>
    </row>
    <row r="818" spans="1:7" x14ac:dyDescent="0.2">
      <c r="A818" s="1" t="s">
        <v>5412</v>
      </c>
      <c r="B818" s="1" t="s">
        <v>5413</v>
      </c>
      <c r="C818" s="1" t="s">
        <v>5414</v>
      </c>
      <c r="D818" s="1" t="s">
        <v>5415</v>
      </c>
      <c r="E818" s="1" t="s">
        <v>5416</v>
      </c>
      <c r="F818" s="1" t="s">
        <v>5417</v>
      </c>
      <c r="G818" s="1" t="s">
        <v>5418</v>
      </c>
    </row>
    <row r="819" spans="1:7" x14ac:dyDescent="0.2">
      <c r="A819" s="1" t="s">
        <v>5419</v>
      </c>
      <c r="B819" s="1" t="s">
        <v>5420</v>
      </c>
      <c r="C819" s="1" t="s">
        <v>4799</v>
      </c>
      <c r="D819" s="1" t="s">
        <v>5011</v>
      </c>
      <c r="E819" s="1" t="s">
        <v>5421</v>
      </c>
      <c r="F819" s="1" t="s">
        <v>5422</v>
      </c>
      <c r="G819" s="1" t="s">
        <v>5423</v>
      </c>
    </row>
    <row r="820" spans="1:7" x14ac:dyDescent="0.2">
      <c r="A820" s="1" t="s">
        <v>5424</v>
      </c>
      <c r="B820" s="1" t="s">
        <v>5425</v>
      </c>
      <c r="C820" s="1" t="s">
        <v>5426</v>
      </c>
      <c r="D820" s="1" t="s">
        <v>5427</v>
      </c>
      <c r="E820" s="1" t="s">
        <v>5428</v>
      </c>
      <c r="F820" s="1" t="s">
        <v>5429</v>
      </c>
      <c r="G820" s="1" t="s">
        <v>5430</v>
      </c>
    </row>
    <row r="821" spans="1:7" x14ac:dyDescent="0.2">
      <c r="A821" s="1" t="s">
        <v>5431</v>
      </c>
      <c r="B821" s="1" t="s">
        <v>5432</v>
      </c>
      <c r="C821" s="1" t="s">
        <v>5433</v>
      </c>
      <c r="D821" s="1" t="s">
        <v>5434</v>
      </c>
      <c r="E821" s="1" t="s">
        <v>5435</v>
      </c>
      <c r="F821" s="1" t="s">
        <v>4469</v>
      </c>
      <c r="G821" s="1" t="s">
        <v>5436</v>
      </c>
    </row>
    <row r="822" spans="1:7" x14ac:dyDescent="0.2">
      <c r="A822" s="1" t="s">
        <v>5437</v>
      </c>
      <c r="B822" s="1" t="s">
        <v>5438</v>
      </c>
      <c r="C822" s="1" t="s">
        <v>5439</v>
      </c>
      <c r="D822" s="1" t="s">
        <v>5440</v>
      </c>
      <c r="E822" s="1" t="s">
        <v>5441</v>
      </c>
      <c r="F822" s="1" t="s">
        <v>5442</v>
      </c>
      <c r="G822" s="1" t="s">
        <v>5443</v>
      </c>
    </row>
    <row r="823" spans="1:7" x14ac:dyDescent="0.2">
      <c r="A823" s="1" t="s">
        <v>5444</v>
      </c>
      <c r="B823" s="1" t="s">
        <v>5445</v>
      </c>
      <c r="C823" s="1" t="s">
        <v>5446</v>
      </c>
      <c r="D823" s="1" t="s">
        <v>5447</v>
      </c>
      <c r="E823" s="1" t="s">
        <v>5448</v>
      </c>
      <c r="F823" s="1" t="s">
        <v>5117</v>
      </c>
      <c r="G823" s="1" t="s">
        <v>5449</v>
      </c>
    </row>
    <row r="824" spans="1:7" x14ac:dyDescent="0.2">
      <c r="A824" s="1" t="s">
        <v>5450</v>
      </c>
      <c r="B824" s="1" t="s">
        <v>5451</v>
      </c>
      <c r="C824" s="1" t="s">
        <v>5452</v>
      </c>
      <c r="D824" s="1" t="s">
        <v>5453</v>
      </c>
      <c r="E824" s="1" t="s">
        <v>5454</v>
      </c>
      <c r="F824" s="1" t="s">
        <v>4631</v>
      </c>
      <c r="G824" s="1" t="s">
        <v>5455</v>
      </c>
    </row>
    <row r="825" spans="1:7" x14ac:dyDescent="0.2">
      <c r="A825" s="1" t="s">
        <v>5456</v>
      </c>
      <c r="B825" s="1" t="s">
        <v>5457</v>
      </c>
      <c r="C825" s="1" t="s">
        <v>5458</v>
      </c>
      <c r="D825" s="1" t="s">
        <v>5459</v>
      </c>
      <c r="E825" s="1" t="s">
        <v>5460</v>
      </c>
      <c r="F825" s="1" t="s">
        <v>5461</v>
      </c>
      <c r="G825" s="1" t="s">
        <v>5462</v>
      </c>
    </row>
    <row r="826" spans="1:7" x14ac:dyDescent="0.2">
      <c r="A826" s="1" t="s">
        <v>5463</v>
      </c>
      <c r="B826" s="1" t="s">
        <v>5464</v>
      </c>
      <c r="C826" s="1" t="s">
        <v>5465</v>
      </c>
      <c r="D826" s="1" t="s">
        <v>5466</v>
      </c>
      <c r="E826" s="1" t="s">
        <v>5467</v>
      </c>
      <c r="F826" s="1" t="s">
        <v>5468</v>
      </c>
      <c r="G826" s="1" t="s">
        <v>5469</v>
      </c>
    </row>
    <row r="827" spans="1:7" x14ac:dyDescent="0.2">
      <c r="A827" s="1" t="s">
        <v>5470</v>
      </c>
      <c r="B827" s="1" t="s">
        <v>5471</v>
      </c>
      <c r="C827" s="1" t="s">
        <v>5472</v>
      </c>
      <c r="D827" s="1" t="s">
        <v>5473</v>
      </c>
      <c r="E827" s="1" t="s">
        <v>5474</v>
      </c>
      <c r="F827" s="1" t="s">
        <v>5475</v>
      </c>
      <c r="G827" s="1" t="s">
        <v>5476</v>
      </c>
    </row>
    <row r="828" spans="1:7" x14ac:dyDescent="0.2">
      <c r="A828" s="1" t="s">
        <v>5477</v>
      </c>
      <c r="B828" s="1" t="s">
        <v>5478</v>
      </c>
      <c r="C828" s="1" t="s">
        <v>5479</v>
      </c>
      <c r="D828" s="1" t="s">
        <v>5480</v>
      </c>
      <c r="E828" s="1" t="s">
        <v>5481</v>
      </c>
      <c r="F828" s="1" t="s">
        <v>5482</v>
      </c>
      <c r="G828" s="1" t="s">
        <v>5483</v>
      </c>
    </row>
    <row r="829" spans="1:7" x14ac:dyDescent="0.2">
      <c r="A829" s="1" t="s">
        <v>5484</v>
      </c>
      <c r="B829" s="1" t="s">
        <v>5485</v>
      </c>
      <c r="C829" s="1" t="s">
        <v>5486</v>
      </c>
      <c r="D829" s="1" t="s">
        <v>5487</v>
      </c>
      <c r="E829" s="1" t="s">
        <v>5488</v>
      </c>
      <c r="F829" s="1" t="s">
        <v>5489</v>
      </c>
      <c r="G829" s="1" t="s">
        <v>5490</v>
      </c>
    </row>
    <row r="830" spans="1:7" x14ac:dyDescent="0.2">
      <c r="A830" s="1" t="s">
        <v>5491</v>
      </c>
      <c r="B830" s="1" t="s">
        <v>5492</v>
      </c>
      <c r="C830" s="1" t="s">
        <v>5493</v>
      </c>
      <c r="D830" s="1" t="s">
        <v>5494</v>
      </c>
      <c r="E830" s="1" t="s">
        <v>5495</v>
      </c>
      <c r="F830" s="1" t="s">
        <v>5496</v>
      </c>
      <c r="G830" s="1" t="s">
        <v>5497</v>
      </c>
    </row>
    <row r="831" spans="1:7" x14ac:dyDescent="0.2">
      <c r="A831" s="1" t="s">
        <v>5498</v>
      </c>
      <c r="B831" s="1" t="s">
        <v>5499</v>
      </c>
      <c r="C831" s="1" t="s">
        <v>5500</v>
      </c>
      <c r="D831" s="1" t="s">
        <v>5501</v>
      </c>
      <c r="E831" s="1" t="s">
        <v>5502</v>
      </c>
      <c r="F831" s="1" t="s">
        <v>5503</v>
      </c>
      <c r="G831" s="1" t="s">
        <v>5504</v>
      </c>
    </row>
    <row r="832" spans="1:7" x14ac:dyDescent="0.2">
      <c r="A832" s="1" t="s">
        <v>5505</v>
      </c>
      <c r="B832" s="1" t="s">
        <v>5506</v>
      </c>
      <c r="C832" s="1" t="s">
        <v>5507</v>
      </c>
      <c r="D832" s="1" t="s">
        <v>5508</v>
      </c>
      <c r="E832" s="1" t="s">
        <v>5509</v>
      </c>
      <c r="F832" s="1" t="s">
        <v>5510</v>
      </c>
      <c r="G832" s="1" t="s">
        <v>5511</v>
      </c>
    </row>
    <row r="833" spans="1:7" x14ac:dyDescent="0.2">
      <c r="A833" s="1" t="s">
        <v>5512</v>
      </c>
      <c r="B833" s="1" t="s">
        <v>5513</v>
      </c>
      <c r="C833" s="1" t="s">
        <v>5514</v>
      </c>
      <c r="D833" s="1" t="s">
        <v>5515</v>
      </c>
      <c r="E833" s="1" t="s">
        <v>5516</v>
      </c>
      <c r="F833" s="1" t="s">
        <v>5517</v>
      </c>
      <c r="G833" s="1" t="s">
        <v>5518</v>
      </c>
    </row>
    <row r="834" spans="1:7" x14ac:dyDescent="0.2">
      <c r="A834" s="1" t="s">
        <v>5519</v>
      </c>
      <c r="B834" s="1" t="s">
        <v>5520</v>
      </c>
      <c r="C834" s="1" t="s">
        <v>5521</v>
      </c>
      <c r="D834" s="1" t="s">
        <v>5522</v>
      </c>
      <c r="E834" s="1" t="s">
        <v>5523</v>
      </c>
      <c r="F834" s="1" t="s">
        <v>5524</v>
      </c>
      <c r="G834" s="1" t="s">
        <v>5525</v>
      </c>
    </row>
    <row r="835" spans="1:7" x14ac:dyDescent="0.2">
      <c r="A835" s="1" t="s">
        <v>5526</v>
      </c>
      <c r="B835" s="1" t="s">
        <v>5527</v>
      </c>
      <c r="C835" s="1" t="s">
        <v>5528</v>
      </c>
      <c r="D835" s="1" t="s">
        <v>5529</v>
      </c>
      <c r="E835" s="1" t="s">
        <v>5530</v>
      </c>
      <c r="F835" s="1" t="s">
        <v>5531</v>
      </c>
      <c r="G835" s="1" t="s">
        <v>5532</v>
      </c>
    </row>
    <row r="836" spans="1:7" x14ac:dyDescent="0.2">
      <c r="A836" s="1" t="s">
        <v>5533</v>
      </c>
      <c r="B836" s="1" t="s">
        <v>5534</v>
      </c>
      <c r="C836" s="1" t="s">
        <v>5535</v>
      </c>
      <c r="D836" s="1" t="s">
        <v>5536</v>
      </c>
      <c r="E836" s="1" t="s">
        <v>5537</v>
      </c>
      <c r="F836" s="1" t="s">
        <v>5538</v>
      </c>
      <c r="G836" s="1" t="s">
        <v>5539</v>
      </c>
    </row>
    <row r="837" spans="1:7" x14ac:dyDescent="0.2">
      <c r="A837" s="1" t="s">
        <v>5540</v>
      </c>
      <c r="B837" s="1" t="s">
        <v>5541</v>
      </c>
      <c r="C837" s="1" t="s">
        <v>5542</v>
      </c>
      <c r="D837" s="1" t="s">
        <v>5543</v>
      </c>
      <c r="E837" s="1" t="s">
        <v>5544</v>
      </c>
      <c r="F837" s="1" t="s">
        <v>5545</v>
      </c>
      <c r="G837" s="1" t="s">
        <v>5546</v>
      </c>
    </row>
    <row r="838" spans="1:7" x14ac:dyDescent="0.2">
      <c r="A838" s="1" t="s">
        <v>5547</v>
      </c>
      <c r="B838" s="1" t="s">
        <v>5548</v>
      </c>
      <c r="C838" s="1" t="s">
        <v>5549</v>
      </c>
      <c r="D838" s="1" t="s">
        <v>5550</v>
      </c>
      <c r="E838" s="1" t="s">
        <v>5551</v>
      </c>
      <c r="F838" s="1" t="s">
        <v>5552</v>
      </c>
      <c r="G838" s="1" t="s">
        <v>5553</v>
      </c>
    </row>
    <row r="839" spans="1:7" x14ac:dyDescent="0.2">
      <c r="A839" s="1" t="s">
        <v>5554</v>
      </c>
      <c r="B839" s="1" t="s">
        <v>5555</v>
      </c>
      <c r="C839" s="1" t="s">
        <v>5556</v>
      </c>
      <c r="D839" s="1" t="s">
        <v>5557</v>
      </c>
      <c r="E839" s="1" t="s">
        <v>5558</v>
      </c>
      <c r="F839" s="1" t="s">
        <v>5559</v>
      </c>
      <c r="G839" s="1" t="s">
        <v>5560</v>
      </c>
    </row>
    <row r="840" spans="1:7" x14ac:dyDescent="0.2">
      <c r="A840" s="1" t="s">
        <v>5561</v>
      </c>
      <c r="B840" s="1" t="s">
        <v>5562</v>
      </c>
      <c r="C840" s="1" t="s">
        <v>5563</v>
      </c>
      <c r="D840" s="1" t="s">
        <v>5564</v>
      </c>
      <c r="E840" s="1" t="s">
        <v>5565</v>
      </c>
      <c r="F840" s="1" t="s">
        <v>5566</v>
      </c>
      <c r="G840" s="1" t="s">
        <v>5567</v>
      </c>
    </row>
    <row r="841" spans="1:7" x14ac:dyDescent="0.2">
      <c r="A841" s="1" t="s">
        <v>5568</v>
      </c>
      <c r="B841" s="1" t="s">
        <v>5569</v>
      </c>
      <c r="C841" s="1" t="s">
        <v>5570</v>
      </c>
      <c r="D841" s="1" t="s">
        <v>5571</v>
      </c>
      <c r="E841" s="1" t="s">
        <v>5572</v>
      </c>
      <c r="F841" s="1" t="s">
        <v>5573</v>
      </c>
      <c r="G841" s="1" t="s">
        <v>5574</v>
      </c>
    </row>
    <row r="842" spans="1:7" x14ac:dyDescent="0.2">
      <c r="A842" s="1" t="s">
        <v>5575</v>
      </c>
      <c r="B842" s="1" t="s">
        <v>5576</v>
      </c>
      <c r="C842" s="1" t="s">
        <v>5577</v>
      </c>
      <c r="D842" s="1" t="s">
        <v>5578</v>
      </c>
      <c r="E842" s="1" t="s">
        <v>5579</v>
      </c>
      <c r="F842" s="1" t="s">
        <v>5580</v>
      </c>
      <c r="G842" s="1" t="s">
        <v>5581</v>
      </c>
    </row>
    <row r="843" spans="1:7" x14ac:dyDescent="0.2">
      <c r="A843" s="1" t="s">
        <v>5582</v>
      </c>
      <c r="B843" s="1" t="s">
        <v>5583</v>
      </c>
      <c r="C843" s="1" t="s">
        <v>5584</v>
      </c>
      <c r="D843" s="1" t="s">
        <v>5585</v>
      </c>
      <c r="E843" s="1" t="s">
        <v>5586</v>
      </c>
      <c r="F843" s="1" t="s">
        <v>5551</v>
      </c>
      <c r="G843" s="1" t="s">
        <v>5587</v>
      </c>
    </row>
    <row r="844" spans="1:7" x14ac:dyDescent="0.2">
      <c r="A844" s="1" t="s">
        <v>5588</v>
      </c>
      <c r="B844" s="1" t="s">
        <v>5589</v>
      </c>
      <c r="C844" s="1" t="s">
        <v>5590</v>
      </c>
      <c r="D844" s="1" t="s">
        <v>5591</v>
      </c>
      <c r="E844" s="1" t="s">
        <v>5592</v>
      </c>
      <c r="F844" s="1" t="s">
        <v>5593</v>
      </c>
      <c r="G844" s="1" t="s">
        <v>5594</v>
      </c>
    </row>
    <row r="845" spans="1:7" x14ac:dyDescent="0.2">
      <c r="A845" s="1" t="s">
        <v>5595</v>
      </c>
      <c r="B845" s="1" t="s">
        <v>5596</v>
      </c>
      <c r="C845" s="1" t="s">
        <v>5597</v>
      </c>
      <c r="D845" s="1" t="s">
        <v>5598</v>
      </c>
      <c r="E845" s="1" t="s">
        <v>5599</v>
      </c>
      <c r="F845" s="1" t="s">
        <v>5600</v>
      </c>
      <c r="G845" s="1" t="s">
        <v>5601</v>
      </c>
    </row>
    <row r="846" spans="1:7" x14ac:dyDescent="0.2">
      <c r="A846" s="1" t="s">
        <v>5602</v>
      </c>
      <c r="B846" s="1" t="s">
        <v>5603</v>
      </c>
      <c r="C846" s="1" t="s">
        <v>5604</v>
      </c>
      <c r="D846" s="1" t="s">
        <v>5605</v>
      </c>
      <c r="E846" s="1" t="s">
        <v>5606</v>
      </c>
      <c r="F846" s="1" t="s">
        <v>5607</v>
      </c>
      <c r="G846" s="1" t="s">
        <v>5608</v>
      </c>
    </row>
    <row r="847" spans="1:7" x14ac:dyDescent="0.2">
      <c r="A847" s="1" t="s">
        <v>5609</v>
      </c>
      <c r="B847" s="1" t="s">
        <v>5610</v>
      </c>
      <c r="C847" s="1" t="s">
        <v>5611</v>
      </c>
      <c r="D847" s="1" t="s">
        <v>5612</v>
      </c>
      <c r="E847" s="1" t="s">
        <v>5613</v>
      </c>
      <c r="F847" s="1" t="s">
        <v>5614</v>
      </c>
      <c r="G847" s="1" t="s">
        <v>5615</v>
      </c>
    </row>
    <row r="848" spans="1:7" x14ac:dyDescent="0.2">
      <c r="A848" s="1" t="s">
        <v>5616</v>
      </c>
      <c r="B848" s="1" t="s">
        <v>5617</v>
      </c>
      <c r="C848" s="1" t="s">
        <v>5618</v>
      </c>
      <c r="D848" s="1" t="s">
        <v>5619</v>
      </c>
      <c r="E848" s="1" t="s">
        <v>5620</v>
      </c>
      <c r="F848" s="1" t="s">
        <v>5621</v>
      </c>
      <c r="G848" s="1" t="s">
        <v>5622</v>
      </c>
    </row>
    <row r="849" spans="1:7" x14ac:dyDescent="0.2">
      <c r="A849" s="1" t="s">
        <v>5623</v>
      </c>
      <c r="B849" s="1" t="s">
        <v>5624</v>
      </c>
      <c r="C849" s="1" t="s">
        <v>5625</v>
      </c>
      <c r="D849" s="1" t="s">
        <v>5626</v>
      </c>
      <c r="E849" s="1" t="s">
        <v>5627</v>
      </c>
      <c r="F849" s="1" t="s">
        <v>5628</v>
      </c>
      <c r="G849" s="1" t="s">
        <v>5629</v>
      </c>
    </row>
    <row r="850" spans="1:7" x14ac:dyDescent="0.2">
      <c r="A850" s="1" t="s">
        <v>5630</v>
      </c>
      <c r="B850" s="1" t="s">
        <v>5631</v>
      </c>
      <c r="C850" s="1" t="s">
        <v>5632</v>
      </c>
      <c r="D850" s="1" t="s">
        <v>5633</v>
      </c>
      <c r="E850" s="1" t="s">
        <v>5634</v>
      </c>
      <c r="F850" s="1" t="s">
        <v>5635</v>
      </c>
      <c r="G850" s="1" t="s">
        <v>5636</v>
      </c>
    </row>
    <row r="851" spans="1:7" x14ac:dyDescent="0.2">
      <c r="A851" s="1" t="s">
        <v>5637</v>
      </c>
      <c r="B851" s="1" t="s">
        <v>5638</v>
      </c>
      <c r="C851" s="1" t="s">
        <v>5639</v>
      </c>
      <c r="D851" s="1" t="s">
        <v>5640</v>
      </c>
      <c r="E851" s="1" t="s">
        <v>5641</v>
      </c>
      <c r="F851" s="1" t="s">
        <v>5642</v>
      </c>
      <c r="G851" s="1" t="s">
        <v>5643</v>
      </c>
    </row>
    <row r="852" spans="1:7" x14ac:dyDescent="0.2">
      <c r="A852" s="1" t="s">
        <v>5644</v>
      </c>
      <c r="B852" s="1" t="s">
        <v>5645</v>
      </c>
      <c r="C852" s="1" t="s">
        <v>5646</v>
      </c>
      <c r="D852" s="1" t="s">
        <v>5647</v>
      </c>
      <c r="E852" s="1" t="s">
        <v>5648</v>
      </c>
      <c r="F852" s="1" t="s">
        <v>5649</v>
      </c>
      <c r="G852" s="1" t="s">
        <v>5650</v>
      </c>
    </row>
    <row r="853" spans="1:7" x14ac:dyDescent="0.2">
      <c r="A853" s="1" t="s">
        <v>5651</v>
      </c>
      <c r="B853" s="1" t="s">
        <v>5652</v>
      </c>
      <c r="C853" s="1" t="s">
        <v>5653</v>
      </c>
      <c r="D853" s="1" t="s">
        <v>5654</v>
      </c>
      <c r="E853" s="1" t="s">
        <v>5655</v>
      </c>
      <c r="F853" s="1" t="s">
        <v>5656</v>
      </c>
      <c r="G853" s="1" t="s">
        <v>5657</v>
      </c>
    </row>
    <row r="854" spans="1:7" x14ac:dyDescent="0.2">
      <c r="A854" s="1" t="s">
        <v>5658</v>
      </c>
      <c r="B854" s="1" t="s">
        <v>5659</v>
      </c>
      <c r="C854" s="1" t="s">
        <v>5660</v>
      </c>
      <c r="D854" s="1" t="s">
        <v>5661</v>
      </c>
      <c r="E854" s="1" t="s">
        <v>5662</v>
      </c>
      <c r="F854" s="1" t="s">
        <v>5663</v>
      </c>
      <c r="G854" s="1" t="s">
        <v>5664</v>
      </c>
    </row>
    <row r="855" spans="1:7" x14ac:dyDescent="0.2">
      <c r="A855" s="1" t="s">
        <v>5665</v>
      </c>
      <c r="B855" s="1" t="s">
        <v>5666</v>
      </c>
      <c r="C855" s="1" t="s">
        <v>5667</v>
      </c>
      <c r="D855" s="1" t="s">
        <v>5668</v>
      </c>
      <c r="E855" s="1" t="s">
        <v>5669</v>
      </c>
      <c r="F855" s="1" t="s">
        <v>5670</v>
      </c>
      <c r="G855" s="1" t="s">
        <v>5671</v>
      </c>
    </row>
    <row r="856" spans="1:7" x14ac:dyDescent="0.2">
      <c r="A856" s="1" t="s">
        <v>5672</v>
      </c>
      <c r="B856" s="1" t="s">
        <v>5673</v>
      </c>
      <c r="C856" s="1" t="s">
        <v>5674</v>
      </c>
      <c r="D856" s="1" t="s">
        <v>5675</v>
      </c>
      <c r="E856" s="1" t="s">
        <v>5676</v>
      </c>
      <c r="F856" s="1" t="s">
        <v>5677</v>
      </c>
      <c r="G856" s="1" t="s">
        <v>5678</v>
      </c>
    </row>
    <row r="857" spans="1:7" x14ac:dyDescent="0.2">
      <c r="A857" s="1" t="s">
        <v>5679</v>
      </c>
      <c r="B857" s="1" t="s">
        <v>5680</v>
      </c>
      <c r="C857" s="1" t="s">
        <v>5681</v>
      </c>
      <c r="D857" s="1" t="s">
        <v>5682</v>
      </c>
      <c r="E857" s="1" t="s">
        <v>5683</v>
      </c>
      <c r="F857" s="1" t="s">
        <v>5684</v>
      </c>
      <c r="G857" s="1" t="s">
        <v>5685</v>
      </c>
    </row>
    <row r="858" spans="1:7" x14ac:dyDescent="0.2">
      <c r="A858" s="1" t="s">
        <v>5686</v>
      </c>
      <c r="B858" s="1" t="s">
        <v>5687</v>
      </c>
      <c r="C858" s="1" t="s">
        <v>5688</v>
      </c>
      <c r="D858" s="1" t="s">
        <v>5689</v>
      </c>
      <c r="E858" s="1" t="s">
        <v>5690</v>
      </c>
      <c r="F858" s="1" t="s">
        <v>5691</v>
      </c>
      <c r="G858" s="1" t="s">
        <v>5692</v>
      </c>
    </row>
    <row r="859" spans="1:7" x14ac:dyDescent="0.2">
      <c r="A859" s="1" t="s">
        <v>5693</v>
      </c>
      <c r="B859" s="1" t="s">
        <v>5694</v>
      </c>
      <c r="C859" s="1" t="s">
        <v>5695</v>
      </c>
      <c r="D859" s="1" t="s">
        <v>5696</v>
      </c>
      <c r="E859" s="1" t="s">
        <v>5697</v>
      </c>
      <c r="F859" s="1" t="s">
        <v>5698</v>
      </c>
      <c r="G859" s="1" t="s">
        <v>5699</v>
      </c>
    </row>
    <row r="860" spans="1:7" x14ac:dyDescent="0.2">
      <c r="A860" s="1" t="s">
        <v>5700</v>
      </c>
      <c r="B860" s="1" t="s">
        <v>5701</v>
      </c>
      <c r="C860" s="1" t="s">
        <v>5487</v>
      </c>
      <c r="D860" s="1" t="s">
        <v>5702</v>
      </c>
      <c r="E860" s="1" t="s">
        <v>5703</v>
      </c>
      <c r="F860" s="1" t="s">
        <v>5704</v>
      </c>
      <c r="G860" s="1" t="s">
        <v>5705</v>
      </c>
    </row>
    <row r="861" spans="1:7" x14ac:dyDescent="0.2">
      <c r="A861" s="1" t="s">
        <v>5706</v>
      </c>
      <c r="B861" s="1" t="s">
        <v>5707</v>
      </c>
      <c r="C861" s="1" t="s">
        <v>5708</v>
      </c>
      <c r="D861" s="1" t="s">
        <v>5709</v>
      </c>
      <c r="E861" s="1" t="s">
        <v>5710</v>
      </c>
      <c r="F861" s="1" t="s">
        <v>5711</v>
      </c>
      <c r="G861" s="1" t="s">
        <v>5712</v>
      </c>
    </row>
    <row r="862" spans="1:7" x14ac:dyDescent="0.2">
      <c r="A862" s="1" t="s">
        <v>5713</v>
      </c>
      <c r="B862" s="1" t="s">
        <v>5714</v>
      </c>
      <c r="C862" s="1" t="s">
        <v>5715</v>
      </c>
      <c r="D862" s="1" t="s">
        <v>5716</v>
      </c>
      <c r="E862" s="1" t="s">
        <v>5717</v>
      </c>
      <c r="F862" s="1" t="s">
        <v>5717</v>
      </c>
      <c r="G862" s="1" t="s">
        <v>5718</v>
      </c>
    </row>
    <row r="863" spans="1:7" x14ac:dyDescent="0.2">
      <c r="A863" s="1" t="s">
        <v>5719</v>
      </c>
      <c r="B863" s="1" t="s">
        <v>5720</v>
      </c>
      <c r="C863" s="1" t="s">
        <v>5721</v>
      </c>
      <c r="D863" s="1" t="s">
        <v>5722</v>
      </c>
      <c r="E863" s="1" t="s">
        <v>5723</v>
      </c>
      <c r="F863" s="1" t="s">
        <v>5724</v>
      </c>
      <c r="G863" s="1" t="s">
        <v>5725</v>
      </c>
    </row>
    <row r="864" spans="1:7" x14ac:dyDescent="0.2">
      <c r="A864" s="1" t="s">
        <v>5726</v>
      </c>
      <c r="B864" s="1" t="s">
        <v>5727</v>
      </c>
      <c r="C864" s="1" t="s">
        <v>5728</v>
      </c>
      <c r="D864" s="1" t="s">
        <v>5729</v>
      </c>
      <c r="E864" s="1" t="s">
        <v>5730</v>
      </c>
      <c r="F864" s="1" t="s">
        <v>5731</v>
      </c>
      <c r="G864" s="1" t="s">
        <v>5732</v>
      </c>
    </row>
    <row r="865" spans="1:7" x14ac:dyDescent="0.2">
      <c r="A865" s="1" t="s">
        <v>5733</v>
      </c>
      <c r="B865" s="1" t="s">
        <v>5734</v>
      </c>
      <c r="C865" s="1" t="s">
        <v>5735</v>
      </c>
      <c r="D865" s="1" t="s">
        <v>5736</v>
      </c>
      <c r="E865" s="1" t="s">
        <v>5737</v>
      </c>
      <c r="F865" s="1" t="s">
        <v>5738</v>
      </c>
      <c r="G865" s="1" t="s">
        <v>5739</v>
      </c>
    </row>
    <row r="866" spans="1:7" x14ac:dyDescent="0.2">
      <c r="A866" s="1" t="s">
        <v>5740</v>
      </c>
      <c r="B866" s="1" t="s">
        <v>5741</v>
      </c>
      <c r="C866" s="1" t="s">
        <v>5742</v>
      </c>
      <c r="D866" s="1" t="s">
        <v>5743</v>
      </c>
      <c r="E866" s="1" t="s">
        <v>5744</v>
      </c>
      <c r="F866" s="1" t="s">
        <v>5745</v>
      </c>
      <c r="G866" s="1" t="s">
        <v>5746</v>
      </c>
    </row>
    <row r="867" spans="1:7" x14ac:dyDescent="0.2">
      <c r="A867" s="1" t="s">
        <v>5747</v>
      </c>
      <c r="B867" s="1" t="s">
        <v>5748</v>
      </c>
      <c r="C867" s="1" t="s">
        <v>5749</v>
      </c>
      <c r="D867" s="1" t="s">
        <v>5750</v>
      </c>
      <c r="E867" s="1" t="s">
        <v>5751</v>
      </c>
      <c r="F867" s="1" t="s">
        <v>5752</v>
      </c>
      <c r="G867" s="1" t="s">
        <v>5753</v>
      </c>
    </row>
    <row r="868" spans="1:7" x14ac:dyDescent="0.2">
      <c r="A868" s="1" t="s">
        <v>5754</v>
      </c>
      <c r="B868" s="1" t="s">
        <v>5755</v>
      </c>
      <c r="C868" s="1" t="s">
        <v>5756</v>
      </c>
      <c r="D868" s="1" t="s">
        <v>5757</v>
      </c>
      <c r="E868" s="1" t="s">
        <v>5758</v>
      </c>
      <c r="F868" s="1" t="s">
        <v>5759</v>
      </c>
      <c r="G868" s="1" t="s">
        <v>5760</v>
      </c>
    </row>
    <row r="869" spans="1:7" x14ac:dyDescent="0.2">
      <c r="A869" s="1" t="s">
        <v>5761</v>
      </c>
      <c r="B869" s="1" t="s">
        <v>5762</v>
      </c>
      <c r="C869" s="1" t="s">
        <v>5763</v>
      </c>
      <c r="D869" s="1" t="s">
        <v>5764</v>
      </c>
      <c r="E869" s="1" t="s">
        <v>5765</v>
      </c>
      <c r="F869" s="1" t="s">
        <v>5766</v>
      </c>
      <c r="G869" s="1" t="s">
        <v>5767</v>
      </c>
    </row>
    <row r="870" spans="1:7" x14ac:dyDescent="0.2">
      <c r="A870" s="1" t="s">
        <v>5768</v>
      </c>
      <c r="B870" s="1" t="s">
        <v>5769</v>
      </c>
      <c r="C870" s="1" t="s">
        <v>5770</v>
      </c>
      <c r="D870" s="1" t="s">
        <v>5771</v>
      </c>
      <c r="E870" s="1" t="s">
        <v>5772</v>
      </c>
      <c r="F870" s="1" t="s">
        <v>5773</v>
      </c>
      <c r="G870" s="1" t="s">
        <v>5774</v>
      </c>
    </row>
    <row r="871" spans="1:7" x14ac:dyDescent="0.2">
      <c r="A871" s="1" t="s">
        <v>5775</v>
      </c>
      <c r="B871" s="1" t="s">
        <v>5776</v>
      </c>
      <c r="C871" s="1" t="s">
        <v>5777</v>
      </c>
      <c r="D871" s="1" t="s">
        <v>5778</v>
      </c>
      <c r="E871" s="1" t="s">
        <v>5779</v>
      </c>
      <c r="F871" s="1" t="s">
        <v>5780</v>
      </c>
      <c r="G871" s="1" t="s">
        <v>5781</v>
      </c>
    </row>
    <row r="872" spans="1:7" x14ac:dyDescent="0.2">
      <c r="A872" s="1" t="s">
        <v>5782</v>
      </c>
      <c r="B872" s="1" t="s">
        <v>5783</v>
      </c>
      <c r="C872" s="1" t="s">
        <v>5784</v>
      </c>
      <c r="D872" s="1" t="s">
        <v>5785</v>
      </c>
      <c r="E872" s="1" t="s">
        <v>5786</v>
      </c>
      <c r="F872" s="1" t="s">
        <v>5787</v>
      </c>
      <c r="G872" s="1" t="s">
        <v>5788</v>
      </c>
    </row>
    <row r="873" spans="1:7" x14ac:dyDescent="0.2">
      <c r="A873" s="1" t="s">
        <v>5789</v>
      </c>
      <c r="B873" s="1" t="s">
        <v>5790</v>
      </c>
      <c r="C873" s="1" t="s">
        <v>5791</v>
      </c>
      <c r="D873" s="1" t="s">
        <v>5792</v>
      </c>
      <c r="E873" s="1" t="s">
        <v>5793</v>
      </c>
      <c r="F873" s="1" t="s">
        <v>5794</v>
      </c>
      <c r="G873" s="1" t="s">
        <v>5795</v>
      </c>
    </row>
    <row r="874" spans="1:7" x14ac:dyDescent="0.2">
      <c r="A874" s="1" t="s">
        <v>5796</v>
      </c>
      <c r="B874" s="1" t="s">
        <v>5797</v>
      </c>
      <c r="C874" s="1" t="s">
        <v>5798</v>
      </c>
      <c r="D874" s="1" t="s">
        <v>5799</v>
      </c>
      <c r="E874" s="1" t="s">
        <v>5800</v>
      </c>
      <c r="F874" s="1" t="s">
        <v>5801</v>
      </c>
      <c r="G874" s="1" t="s">
        <v>5802</v>
      </c>
    </row>
    <row r="875" spans="1:7" x14ac:dyDescent="0.2">
      <c r="A875" s="1" t="s">
        <v>5803</v>
      </c>
      <c r="B875" s="1" t="s">
        <v>5804</v>
      </c>
      <c r="C875" s="1" t="s">
        <v>5805</v>
      </c>
      <c r="D875" s="1" t="s">
        <v>5806</v>
      </c>
      <c r="E875" s="1" t="s">
        <v>5807</v>
      </c>
      <c r="F875" s="1" t="s">
        <v>5808</v>
      </c>
      <c r="G875" s="1" t="s">
        <v>5809</v>
      </c>
    </row>
    <row r="876" spans="1:7" x14ac:dyDescent="0.2">
      <c r="A876" s="1" t="s">
        <v>5810</v>
      </c>
      <c r="B876" s="1" t="s">
        <v>5811</v>
      </c>
      <c r="C876" s="1" t="s">
        <v>5812</v>
      </c>
      <c r="D876" s="1" t="s">
        <v>5813</v>
      </c>
      <c r="E876" s="1" t="s">
        <v>5814</v>
      </c>
      <c r="F876" s="1" t="s">
        <v>5815</v>
      </c>
      <c r="G876" s="1" t="s">
        <v>5816</v>
      </c>
    </row>
    <row r="877" spans="1:7" x14ac:dyDescent="0.2">
      <c r="A877" s="1" t="s">
        <v>5817</v>
      </c>
      <c r="B877" s="1" t="s">
        <v>5818</v>
      </c>
      <c r="C877" s="1" t="s">
        <v>5819</v>
      </c>
      <c r="D877" s="1" t="s">
        <v>5820</v>
      </c>
      <c r="E877" s="1" t="s">
        <v>5821</v>
      </c>
      <c r="F877" s="1" t="s">
        <v>5822</v>
      </c>
      <c r="G877" s="1" t="s">
        <v>5823</v>
      </c>
    </row>
    <row r="878" spans="1:7" x14ac:dyDescent="0.2">
      <c r="A878" s="1" t="s">
        <v>5824</v>
      </c>
      <c r="B878" s="1" t="s">
        <v>5825</v>
      </c>
      <c r="C878" s="1" t="s">
        <v>5826</v>
      </c>
      <c r="D878" s="1" t="s">
        <v>5827</v>
      </c>
      <c r="E878" s="1" t="s">
        <v>5828</v>
      </c>
      <c r="F878" s="1" t="s">
        <v>5829</v>
      </c>
      <c r="G878" s="1" t="s">
        <v>5830</v>
      </c>
    </row>
    <row r="879" spans="1:7" x14ac:dyDescent="0.2">
      <c r="A879" s="1" t="s">
        <v>5831</v>
      </c>
      <c r="B879" s="1" t="s">
        <v>5832</v>
      </c>
      <c r="C879" s="1" t="s">
        <v>5833</v>
      </c>
      <c r="D879" s="1" t="s">
        <v>5834</v>
      </c>
      <c r="E879" s="1" t="s">
        <v>5835</v>
      </c>
      <c r="F879" s="1" t="s">
        <v>5836</v>
      </c>
      <c r="G879" s="1" t="s">
        <v>5837</v>
      </c>
    </row>
    <row r="880" spans="1:7" x14ac:dyDescent="0.2">
      <c r="A880" s="1" t="s">
        <v>5838</v>
      </c>
      <c r="B880" s="1" t="s">
        <v>5839</v>
      </c>
      <c r="C880" s="1" t="s">
        <v>5840</v>
      </c>
      <c r="D880" s="1" t="s">
        <v>5841</v>
      </c>
      <c r="E880" s="1" t="s">
        <v>5842</v>
      </c>
      <c r="F880" s="1" t="s">
        <v>5843</v>
      </c>
      <c r="G880" s="1" t="s">
        <v>5844</v>
      </c>
    </row>
    <row r="881" spans="1:7" x14ac:dyDescent="0.2">
      <c r="A881" s="1" t="s">
        <v>5845</v>
      </c>
      <c r="B881" s="1" t="s">
        <v>5846</v>
      </c>
      <c r="C881" s="1" t="s">
        <v>5847</v>
      </c>
      <c r="D881" s="1" t="s">
        <v>5848</v>
      </c>
      <c r="E881" s="1" t="s">
        <v>5849</v>
      </c>
      <c r="F881" s="1" t="s">
        <v>5850</v>
      </c>
      <c r="G881" s="1" t="s">
        <v>5851</v>
      </c>
    </row>
    <row r="882" spans="1:7" x14ac:dyDescent="0.2">
      <c r="A882" s="1" t="s">
        <v>5852</v>
      </c>
      <c r="B882" s="1" t="s">
        <v>5853</v>
      </c>
      <c r="C882" s="1" t="s">
        <v>5854</v>
      </c>
      <c r="D882" s="1" t="s">
        <v>5855</v>
      </c>
      <c r="E882" s="1" t="s">
        <v>5856</v>
      </c>
      <c r="F882" s="1" t="s">
        <v>5857</v>
      </c>
      <c r="G882" s="1" t="s">
        <v>5858</v>
      </c>
    </row>
    <row r="883" spans="1:7" x14ac:dyDescent="0.2">
      <c r="A883" s="1" t="s">
        <v>5859</v>
      </c>
      <c r="B883" s="1" t="s">
        <v>5860</v>
      </c>
      <c r="C883" s="1" t="s">
        <v>5861</v>
      </c>
      <c r="D883" s="1" t="s">
        <v>5862</v>
      </c>
      <c r="E883" s="1" t="s">
        <v>5863</v>
      </c>
      <c r="F883" s="1" t="s">
        <v>5864</v>
      </c>
      <c r="G883" s="1" t="s">
        <v>5865</v>
      </c>
    </row>
    <row r="884" spans="1:7" x14ac:dyDescent="0.2">
      <c r="A884" s="1" t="s">
        <v>5866</v>
      </c>
      <c r="B884" s="1" t="s">
        <v>5867</v>
      </c>
      <c r="C884" s="1" t="s">
        <v>5868</v>
      </c>
      <c r="D884" s="1" t="s">
        <v>5869</v>
      </c>
      <c r="E884" s="1" t="s">
        <v>5870</v>
      </c>
      <c r="F884" s="1" t="s">
        <v>5871</v>
      </c>
      <c r="G884" s="1" t="s">
        <v>5872</v>
      </c>
    </row>
    <row r="885" spans="1:7" x14ac:dyDescent="0.2">
      <c r="A885" s="1" t="s">
        <v>5873</v>
      </c>
      <c r="B885" s="1" t="s">
        <v>5874</v>
      </c>
      <c r="C885" s="1" t="s">
        <v>5875</v>
      </c>
      <c r="D885" s="1" t="s">
        <v>5876</v>
      </c>
      <c r="E885" s="1" t="s">
        <v>5877</v>
      </c>
      <c r="F885" s="1" t="s">
        <v>5878</v>
      </c>
      <c r="G885" s="1" t="s">
        <v>5879</v>
      </c>
    </row>
    <row r="886" spans="1:7" x14ac:dyDescent="0.2">
      <c r="A886" s="1" t="s">
        <v>5880</v>
      </c>
      <c r="B886" s="1" t="s">
        <v>5881</v>
      </c>
      <c r="C886" s="1" t="s">
        <v>5882</v>
      </c>
      <c r="D886" s="1" t="s">
        <v>5883</v>
      </c>
      <c r="E886" s="1" t="s">
        <v>5884</v>
      </c>
      <c r="F886" s="1" t="s">
        <v>5885</v>
      </c>
      <c r="G886" s="1" t="s">
        <v>5886</v>
      </c>
    </row>
    <row r="887" spans="1:7" x14ac:dyDescent="0.2">
      <c r="A887" s="1" t="s">
        <v>5887</v>
      </c>
      <c r="B887" s="1" t="s">
        <v>5888</v>
      </c>
      <c r="C887" s="1" t="s">
        <v>5889</v>
      </c>
      <c r="D887" s="1" t="s">
        <v>5890</v>
      </c>
      <c r="E887" s="1" t="s">
        <v>5891</v>
      </c>
      <c r="F887" s="1" t="s">
        <v>5892</v>
      </c>
      <c r="G887" s="1" t="s">
        <v>5893</v>
      </c>
    </row>
    <row r="888" spans="1:7" x14ac:dyDescent="0.2">
      <c r="A888" s="1" t="s">
        <v>5894</v>
      </c>
      <c r="B888" s="1" t="s">
        <v>5895</v>
      </c>
      <c r="C888" s="1" t="s">
        <v>5896</v>
      </c>
      <c r="D888" s="1" t="s">
        <v>5897</v>
      </c>
      <c r="E888" s="1" t="s">
        <v>5898</v>
      </c>
      <c r="F888" s="1" t="s">
        <v>5899</v>
      </c>
      <c r="G888" s="1" t="s">
        <v>5900</v>
      </c>
    </row>
    <row r="889" spans="1:7" x14ac:dyDescent="0.2">
      <c r="A889" s="1" t="s">
        <v>5901</v>
      </c>
      <c r="B889" s="1" t="s">
        <v>5902</v>
      </c>
      <c r="C889" s="1" t="s">
        <v>5903</v>
      </c>
      <c r="D889" s="1" t="s">
        <v>5904</v>
      </c>
      <c r="E889" s="1" t="s">
        <v>5905</v>
      </c>
      <c r="F889" s="1" t="s">
        <v>5906</v>
      </c>
      <c r="G889" s="1" t="s">
        <v>5907</v>
      </c>
    </row>
    <row r="890" spans="1:7" x14ac:dyDescent="0.2">
      <c r="A890" s="1" t="s">
        <v>5908</v>
      </c>
      <c r="B890" s="1" t="s">
        <v>5909</v>
      </c>
      <c r="C890" s="1" t="s">
        <v>5910</v>
      </c>
      <c r="D890" s="1" t="s">
        <v>5911</v>
      </c>
      <c r="E890" s="1" t="s">
        <v>5912</v>
      </c>
      <c r="F890" s="1" t="s">
        <v>5913</v>
      </c>
      <c r="G890" s="1" t="s">
        <v>5914</v>
      </c>
    </row>
    <row r="891" spans="1:7" x14ac:dyDescent="0.2">
      <c r="A891" s="1" t="s">
        <v>5915</v>
      </c>
      <c r="B891" s="1" t="s">
        <v>5916</v>
      </c>
      <c r="C891" s="1" t="s">
        <v>5917</v>
      </c>
      <c r="D891" s="1" t="s">
        <v>5918</v>
      </c>
      <c r="E891" s="1" t="s">
        <v>5919</v>
      </c>
      <c r="F891" s="1" t="s">
        <v>5920</v>
      </c>
      <c r="G891" s="1" t="s">
        <v>5921</v>
      </c>
    </row>
    <row r="892" spans="1:7" x14ac:dyDescent="0.2">
      <c r="A892" s="1" t="s">
        <v>5922</v>
      </c>
      <c r="B892" s="1" t="s">
        <v>5923</v>
      </c>
      <c r="C892" s="1" t="s">
        <v>5924</v>
      </c>
      <c r="D892" s="1" t="s">
        <v>5925</v>
      </c>
      <c r="E892" s="1" t="s">
        <v>5926</v>
      </c>
      <c r="F892" s="1" t="s">
        <v>5927</v>
      </c>
      <c r="G892" s="1" t="s">
        <v>5928</v>
      </c>
    </row>
    <row r="893" spans="1:7" x14ac:dyDescent="0.2">
      <c r="A893" s="1" t="s">
        <v>5929</v>
      </c>
      <c r="B893" s="1" t="s">
        <v>5930</v>
      </c>
      <c r="C893" s="1" t="s">
        <v>5931</v>
      </c>
      <c r="D893" s="1" t="s">
        <v>5932</v>
      </c>
      <c r="E893" s="1" t="s">
        <v>5933</v>
      </c>
      <c r="F893" s="1" t="s">
        <v>5934</v>
      </c>
      <c r="G893" s="1" t="s">
        <v>5935</v>
      </c>
    </row>
    <row r="894" spans="1:7" x14ac:dyDescent="0.2">
      <c r="A894" s="1" t="s">
        <v>5936</v>
      </c>
      <c r="B894" s="1" t="s">
        <v>5937</v>
      </c>
      <c r="C894" s="1" t="s">
        <v>5938</v>
      </c>
      <c r="D894" s="1" t="s">
        <v>5939</v>
      </c>
      <c r="E894" s="1" t="s">
        <v>5940</v>
      </c>
      <c r="F894" s="1" t="s">
        <v>5941</v>
      </c>
      <c r="G894" s="1" t="s">
        <v>5942</v>
      </c>
    </row>
    <row r="895" spans="1:7" x14ac:dyDescent="0.2">
      <c r="A895" s="1" t="s">
        <v>5943</v>
      </c>
      <c r="B895" s="1" t="s">
        <v>5944</v>
      </c>
      <c r="C895" s="1" t="s">
        <v>5945</v>
      </c>
      <c r="D895" s="1" t="s">
        <v>5946</v>
      </c>
      <c r="E895" s="1" t="s">
        <v>5947</v>
      </c>
      <c r="F895" s="1" t="s">
        <v>5948</v>
      </c>
      <c r="G895" s="1" t="s">
        <v>5949</v>
      </c>
    </row>
    <row r="896" spans="1:7" x14ac:dyDescent="0.2">
      <c r="A896" s="1" t="s">
        <v>5950</v>
      </c>
      <c r="B896" s="1" t="s">
        <v>5951</v>
      </c>
      <c r="C896" s="1" t="s">
        <v>5952</v>
      </c>
      <c r="D896" s="1" t="s">
        <v>5953</v>
      </c>
      <c r="E896" s="1" t="s">
        <v>5954</v>
      </c>
      <c r="F896" s="1" t="s">
        <v>5955</v>
      </c>
      <c r="G896" s="1" t="s">
        <v>5956</v>
      </c>
    </row>
    <row r="897" spans="1:7" x14ac:dyDescent="0.2">
      <c r="A897" s="1" t="s">
        <v>5957</v>
      </c>
      <c r="B897" s="1" t="s">
        <v>5958</v>
      </c>
      <c r="C897" s="1" t="s">
        <v>5959</v>
      </c>
      <c r="D897" s="1" t="s">
        <v>5960</v>
      </c>
      <c r="E897" s="1" t="s">
        <v>5961</v>
      </c>
      <c r="F897" s="1" t="s">
        <v>5962</v>
      </c>
      <c r="G897" s="1" t="s">
        <v>5963</v>
      </c>
    </row>
    <row r="898" spans="1:7" x14ac:dyDescent="0.2">
      <c r="A898" s="1" t="s">
        <v>5964</v>
      </c>
      <c r="B898" s="1" t="s">
        <v>5965</v>
      </c>
      <c r="C898" s="1" t="s">
        <v>5966</v>
      </c>
      <c r="D898" s="1" t="s">
        <v>5967</v>
      </c>
      <c r="E898" s="1" t="s">
        <v>5968</v>
      </c>
      <c r="F898" s="1" t="s">
        <v>5969</v>
      </c>
      <c r="G898" s="1" t="s">
        <v>5970</v>
      </c>
    </row>
    <row r="899" spans="1:7" x14ac:dyDescent="0.2">
      <c r="A899" s="1" t="s">
        <v>5971</v>
      </c>
      <c r="B899" s="1" t="s">
        <v>5972</v>
      </c>
      <c r="C899" s="1" t="s">
        <v>5973</v>
      </c>
      <c r="D899" s="1" t="s">
        <v>5974</v>
      </c>
      <c r="E899" s="1" t="s">
        <v>5975</v>
      </c>
      <c r="F899" s="1" t="s">
        <v>5976</v>
      </c>
      <c r="G899" s="1" t="s">
        <v>5977</v>
      </c>
    </row>
    <row r="900" spans="1:7" x14ac:dyDescent="0.2">
      <c r="A900" s="1" t="s">
        <v>5978</v>
      </c>
      <c r="B900" s="1" t="s">
        <v>5979</v>
      </c>
      <c r="C900" s="1" t="s">
        <v>5980</v>
      </c>
      <c r="D900" s="1" t="s">
        <v>5981</v>
      </c>
      <c r="E900" s="1" t="s">
        <v>5982</v>
      </c>
      <c r="F900" s="1" t="s">
        <v>5983</v>
      </c>
      <c r="G900" s="1" t="s">
        <v>5984</v>
      </c>
    </row>
    <row r="901" spans="1:7" x14ac:dyDescent="0.2">
      <c r="A901" s="1" t="s">
        <v>5985</v>
      </c>
      <c r="B901" s="1" t="s">
        <v>5986</v>
      </c>
      <c r="C901" s="1" t="s">
        <v>5987</v>
      </c>
      <c r="D901" s="1" t="s">
        <v>5988</v>
      </c>
      <c r="E901" s="1" t="s">
        <v>5989</v>
      </c>
      <c r="F901" s="1" t="s">
        <v>5990</v>
      </c>
      <c r="G901" s="1" t="s">
        <v>5991</v>
      </c>
    </row>
    <row r="902" spans="1:7" x14ac:dyDescent="0.2">
      <c r="A902" s="1" t="s">
        <v>5992</v>
      </c>
      <c r="B902" s="1" t="s">
        <v>5993</v>
      </c>
      <c r="C902" s="1" t="s">
        <v>5994</v>
      </c>
      <c r="D902" s="1" t="s">
        <v>5995</v>
      </c>
      <c r="E902" s="1" t="s">
        <v>5996</v>
      </c>
      <c r="F902" s="1" t="s">
        <v>5997</v>
      </c>
      <c r="G902" s="1" t="s">
        <v>5998</v>
      </c>
    </row>
    <row r="903" spans="1:7" x14ac:dyDescent="0.2">
      <c r="A903" s="1" t="s">
        <v>5999</v>
      </c>
      <c r="B903" s="1" t="s">
        <v>6000</v>
      </c>
      <c r="C903" s="1" t="s">
        <v>6001</v>
      </c>
      <c r="D903" s="1" t="s">
        <v>6002</v>
      </c>
      <c r="E903" s="1" t="s">
        <v>6003</v>
      </c>
      <c r="F903" s="1" t="s">
        <v>5856</v>
      </c>
      <c r="G903" s="1" t="s">
        <v>6004</v>
      </c>
    </row>
    <row r="904" spans="1:7" x14ac:dyDescent="0.2">
      <c r="A904" s="1" t="s">
        <v>6005</v>
      </c>
      <c r="B904" s="1" t="s">
        <v>6006</v>
      </c>
      <c r="C904" s="1" t="s">
        <v>6007</v>
      </c>
      <c r="D904" s="1" t="s">
        <v>6008</v>
      </c>
      <c r="E904" s="1" t="s">
        <v>6009</v>
      </c>
      <c r="F904" s="1" t="s">
        <v>6010</v>
      </c>
      <c r="G904" s="1" t="s">
        <v>6011</v>
      </c>
    </row>
    <row r="905" spans="1:7" x14ac:dyDescent="0.2">
      <c r="A905" s="1" t="s">
        <v>6012</v>
      </c>
      <c r="B905" s="1" t="s">
        <v>6013</v>
      </c>
      <c r="C905" s="1" t="s">
        <v>6014</v>
      </c>
      <c r="D905" s="1" t="s">
        <v>6015</v>
      </c>
      <c r="E905" s="1" t="s">
        <v>6016</v>
      </c>
      <c r="F905" s="1" t="s">
        <v>6017</v>
      </c>
      <c r="G905" s="1" t="s">
        <v>6018</v>
      </c>
    </row>
    <row r="906" spans="1:7" x14ac:dyDescent="0.2">
      <c r="A906" s="1" t="s">
        <v>6019</v>
      </c>
      <c r="B906" s="1" t="s">
        <v>6020</v>
      </c>
      <c r="C906" s="1" t="s">
        <v>6021</v>
      </c>
      <c r="D906" s="1" t="s">
        <v>6022</v>
      </c>
      <c r="E906" s="1" t="s">
        <v>6023</v>
      </c>
      <c r="F906" s="1" t="s">
        <v>5981</v>
      </c>
      <c r="G906" s="1" t="s">
        <v>6024</v>
      </c>
    </row>
    <row r="907" spans="1:7" x14ac:dyDescent="0.2">
      <c r="A907" s="1" t="s">
        <v>6025</v>
      </c>
      <c r="B907" s="1" t="s">
        <v>6026</v>
      </c>
      <c r="C907" s="1" t="s">
        <v>6027</v>
      </c>
      <c r="D907" s="1" t="s">
        <v>6028</v>
      </c>
      <c r="E907" s="1" t="s">
        <v>6029</v>
      </c>
      <c r="F907" s="1" t="s">
        <v>6030</v>
      </c>
      <c r="G907" s="1" t="s">
        <v>6031</v>
      </c>
    </row>
    <row r="908" spans="1:7" x14ac:dyDescent="0.2">
      <c r="A908" s="1" t="s">
        <v>6032</v>
      </c>
      <c r="B908" s="1" t="s">
        <v>6033</v>
      </c>
      <c r="C908" s="1" t="s">
        <v>6034</v>
      </c>
      <c r="D908" s="1" t="s">
        <v>6035</v>
      </c>
      <c r="E908" s="1" t="s">
        <v>6036</v>
      </c>
      <c r="F908" s="1" t="s">
        <v>6037</v>
      </c>
      <c r="G908" s="1" t="s">
        <v>6038</v>
      </c>
    </row>
    <row r="909" spans="1:7" x14ac:dyDescent="0.2">
      <c r="A909" s="1" t="s">
        <v>6039</v>
      </c>
      <c r="B909" s="1" t="s">
        <v>6040</v>
      </c>
      <c r="C909" s="1" t="s">
        <v>6041</v>
      </c>
      <c r="D909" s="1" t="s">
        <v>6042</v>
      </c>
      <c r="E909" s="1" t="s">
        <v>6043</v>
      </c>
      <c r="F909" s="1" t="s">
        <v>6044</v>
      </c>
      <c r="G909" s="1" t="s">
        <v>6045</v>
      </c>
    </row>
    <row r="910" spans="1:7" x14ac:dyDescent="0.2">
      <c r="A910" s="1" t="s">
        <v>6046</v>
      </c>
      <c r="B910" s="1" t="s">
        <v>6047</v>
      </c>
      <c r="C910" s="1" t="s">
        <v>6048</v>
      </c>
      <c r="D910" s="1" t="s">
        <v>6049</v>
      </c>
      <c r="E910" s="1" t="s">
        <v>6050</v>
      </c>
      <c r="F910" s="1" t="s">
        <v>6051</v>
      </c>
      <c r="G910" s="1" t="s">
        <v>6052</v>
      </c>
    </row>
    <row r="911" spans="1:7" x14ac:dyDescent="0.2">
      <c r="A911" s="1" t="s">
        <v>6053</v>
      </c>
      <c r="B911" s="1" t="s">
        <v>6054</v>
      </c>
      <c r="C911" s="1" t="s">
        <v>6055</v>
      </c>
      <c r="D911" s="1" t="s">
        <v>6056</v>
      </c>
      <c r="E911" s="1" t="s">
        <v>6057</v>
      </c>
      <c r="F911" s="1" t="s">
        <v>6058</v>
      </c>
      <c r="G911" s="1" t="s">
        <v>6059</v>
      </c>
    </row>
    <row r="912" spans="1:7" x14ac:dyDescent="0.2">
      <c r="A912" s="1" t="s">
        <v>6060</v>
      </c>
      <c r="B912" s="1" t="s">
        <v>6061</v>
      </c>
      <c r="C912" s="1" t="s">
        <v>6062</v>
      </c>
      <c r="D912" s="1" t="s">
        <v>6063</v>
      </c>
      <c r="E912" s="1" t="s">
        <v>6064</v>
      </c>
      <c r="F912" s="1" t="s">
        <v>6065</v>
      </c>
      <c r="G912" s="1" t="s">
        <v>6066</v>
      </c>
    </row>
    <row r="913" spans="1:7" x14ac:dyDescent="0.2">
      <c r="A913" s="1" t="s">
        <v>6067</v>
      </c>
      <c r="B913" s="1" t="s">
        <v>6068</v>
      </c>
      <c r="C913" s="1" t="s">
        <v>6069</v>
      </c>
      <c r="D913" s="1" t="s">
        <v>6070</v>
      </c>
      <c r="E913" s="1" t="s">
        <v>6071</v>
      </c>
      <c r="F913" s="1" t="s">
        <v>6072</v>
      </c>
      <c r="G913" s="1" t="s">
        <v>6073</v>
      </c>
    </row>
    <row r="914" spans="1:7" x14ac:dyDescent="0.2">
      <c r="A914" s="1" t="s">
        <v>6074</v>
      </c>
      <c r="B914" s="1" t="s">
        <v>6075</v>
      </c>
      <c r="C914" s="1" t="s">
        <v>6076</v>
      </c>
      <c r="D914" s="1" t="s">
        <v>6077</v>
      </c>
      <c r="E914" s="1" t="s">
        <v>6078</v>
      </c>
      <c r="F914" s="1" t="s">
        <v>6079</v>
      </c>
      <c r="G914" s="1" t="s">
        <v>6080</v>
      </c>
    </row>
    <row r="915" spans="1:7" x14ac:dyDescent="0.2">
      <c r="A915" s="1" t="s">
        <v>6081</v>
      </c>
      <c r="B915" s="1" t="s">
        <v>6082</v>
      </c>
      <c r="C915" s="1" t="s">
        <v>6083</v>
      </c>
      <c r="D915" s="1" t="s">
        <v>6084</v>
      </c>
      <c r="E915" s="1" t="s">
        <v>6085</v>
      </c>
      <c r="F915" s="1" t="s">
        <v>6076</v>
      </c>
      <c r="G915" s="1" t="s">
        <v>6086</v>
      </c>
    </row>
    <row r="916" spans="1:7" x14ac:dyDescent="0.2">
      <c r="A916" s="1" t="s">
        <v>6087</v>
      </c>
      <c r="B916" s="1" t="s">
        <v>6088</v>
      </c>
      <c r="C916" s="1" t="s">
        <v>6089</v>
      </c>
      <c r="D916" s="1" t="s">
        <v>6090</v>
      </c>
      <c r="E916" s="1" t="s">
        <v>6091</v>
      </c>
      <c r="F916" s="1" t="s">
        <v>6092</v>
      </c>
      <c r="G916" s="1" t="s">
        <v>6093</v>
      </c>
    </row>
    <row r="917" spans="1:7" x14ac:dyDescent="0.2">
      <c r="A917" s="1" t="s">
        <v>6094</v>
      </c>
      <c r="B917" s="1" t="s">
        <v>6095</v>
      </c>
      <c r="C917" s="1" t="s">
        <v>6096</v>
      </c>
      <c r="D917" s="1" t="s">
        <v>6097</v>
      </c>
      <c r="E917" s="1" t="s">
        <v>6098</v>
      </c>
      <c r="F917" s="1" t="s">
        <v>6099</v>
      </c>
      <c r="G917" s="1" t="s">
        <v>6100</v>
      </c>
    </row>
    <row r="918" spans="1:7" x14ac:dyDescent="0.2">
      <c r="A918" s="1" t="s">
        <v>6101</v>
      </c>
      <c r="B918" s="1" t="s">
        <v>6102</v>
      </c>
      <c r="C918" s="1" t="s">
        <v>6103</v>
      </c>
      <c r="D918" s="1" t="s">
        <v>6104</v>
      </c>
      <c r="E918" s="1" t="s">
        <v>6105</v>
      </c>
      <c r="F918" s="1" t="s">
        <v>6106</v>
      </c>
      <c r="G918" s="1" t="s">
        <v>6107</v>
      </c>
    </row>
    <row r="919" spans="1:7" x14ac:dyDescent="0.2">
      <c r="A919" s="1" t="s">
        <v>6108</v>
      </c>
      <c r="B919" s="1" t="s">
        <v>6109</v>
      </c>
      <c r="C919" s="1" t="s">
        <v>6110</v>
      </c>
      <c r="D919" s="1" t="s">
        <v>6111</v>
      </c>
      <c r="E919" s="1" t="s">
        <v>6112</v>
      </c>
      <c r="F919" s="1" t="s">
        <v>6113</v>
      </c>
      <c r="G919" s="1" t="s">
        <v>6114</v>
      </c>
    </row>
    <row r="920" spans="1:7" x14ac:dyDescent="0.2">
      <c r="A920" s="1" t="s">
        <v>6115</v>
      </c>
      <c r="B920" s="1" t="s">
        <v>6116</v>
      </c>
      <c r="C920" s="1" t="s">
        <v>6117</v>
      </c>
      <c r="D920" s="1" t="s">
        <v>6118</v>
      </c>
      <c r="E920" s="1" t="s">
        <v>6119</v>
      </c>
      <c r="F920" s="1" t="s">
        <v>6120</v>
      </c>
      <c r="G920" s="1" t="s">
        <v>6121</v>
      </c>
    </row>
    <row r="921" spans="1:7" x14ac:dyDescent="0.2">
      <c r="A921" s="1" t="s">
        <v>6122</v>
      </c>
      <c r="B921" s="1" t="s">
        <v>6123</v>
      </c>
      <c r="C921" s="1" t="s">
        <v>6124</v>
      </c>
      <c r="D921" s="1" t="s">
        <v>6125</v>
      </c>
      <c r="E921" s="1" t="s">
        <v>6126</v>
      </c>
      <c r="F921" s="1" t="s">
        <v>6127</v>
      </c>
      <c r="G921" s="1" t="s">
        <v>6128</v>
      </c>
    </row>
    <row r="922" spans="1:7" x14ac:dyDescent="0.2">
      <c r="A922" s="1" t="s">
        <v>6129</v>
      </c>
      <c r="B922" s="1" t="s">
        <v>6130</v>
      </c>
      <c r="C922" s="1" t="s">
        <v>6131</v>
      </c>
      <c r="D922" s="1" t="s">
        <v>6132</v>
      </c>
      <c r="E922" s="1" t="s">
        <v>6133</v>
      </c>
      <c r="F922" s="1" t="s">
        <v>6134</v>
      </c>
      <c r="G922" s="1" t="s">
        <v>6135</v>
      </c>
    </row>
    <row r="923" spans="1:7" x14ac:dyDescent="0.2">
      <c r="A923" s="1" t="s">
        <v>6136</v>
      </c>
      <c r="B923" s="1" t="s">
        <v>6137</v>
      </c>
      <c r="C923" s="1" t="s">
        <v>6138</v>
      </c>
      <c r="D923" s="1" t="s">
        <v>6139</v>
      </c>
      <c r="E923" s="1" t="s">
        <v>6140</v>
      </c>
      <c r="F923" s="1" t="s">
        <v>6141</v>
      </c>
      <c r="G923" s="1" t="s">
        <v>6142</v>
      </c>
    </row>
    <row r="924" spans="1:7" x14ac:dyDescent="0.2">
      <c r="A924" s="1" t="s">
        <v>6143</v>
      </c>
      <c r="B924" s="1" t="s">
        <v>6144</v>
      </c>
      <c r="C924" s="1" t="s">
        <v>6145</v>
      </c>
      <c r="D924" s="1" t="s">
        <v>6146</v>
      </c>
      <c r="E924" s="1" t="s">
        <v>6147</v>
      </c>
      <c r="F924" s="1" t="s">
        <v>6148</v>
      </c>
      <c r="G924" s="1" t="s">
        <v>6149</v>
      </c>
    </row>
    <row r="925" spans="1:7" x14ac:dyDescent="0.2">
      <c r="A925" s="1" t="s">
        <v>6150</v>
      </c>
      <c r="B925" s="1" t="s">
        <v>6151</v>
      </c>
      <c r="C925" s="1" t="s">
        <v>6152</v>
      </c>
      <c r="D925" s="1" t="s">
        <v>6153</v>
      </c>
      <c r="E925" s="1" t="s">
        <v>6154</v>
      </c>
      <c r="F925" s="1" t="s">
        <v>6155</v>
      </c>
      <c r="G925" s="1" t="s">
        <v>6156</v>
      </c>
    </row>
    <row r="926" spans="1:7" x14ac:dyDescent="0.2">
      <c r="A926" s="1" t="s">
        <v>6157</v>
      </c>
      <c r="B926" s="1" t="s">
        <v>6158</v>
      </c>
      <c r="C926" s="1" t="s">
        <v>6159</v>
      </c>
      <c r="D926" s="1" t="s">
        <v>6160</v>
      </c>
      <c r="E926" s="1" t="s">
        <v>6161</v>
      </c>
      <c r="F926" s="1" t="s">
        <v>6162</v>
      </c>
      <c r="G926" s="1" t="s">
        <v>6163</v>
      </c>
    </row>
    <row r="927" spans="1:7" x14ac:dyDescent="0.2">
      <c r="A927" s="1" t="s">
        <v>6164</v>
      </c>
      <c r="B927" s="1" t="s">
        <v>6165</v>
      </c>
      <c r="C927" s="1" t="s">
        <v>6166</v>
      </c>
      <c r="D927" s="1" t="s">
        <v>6167</v>
      </c>
      <c r="E927" s="1" t="s">
        <v>6168</v>
      </c>
      <c r="F927" s="1" t="s">
        <v>6167</v>
      </c>
      <c r="G927" s="1" t="s">
        <v>6169</v>
      </c>
    </row>
    <row r="928" spans="1:7" x14ac:dyDescent="0.2">
      <c r="A928" s="1" t="s">
        <v>6170</v>
      </c>
      <c r="B928" s="1" t="s">
        <v>6171</v>
      </c>
      <c r="C928" s="1" t="s">
        <v>6172</v>
      </c>
      <c r="D928" s="1" t="s">
        <v>6173</v>
      </c>
      <c r="E928" s="1" t="s">
        <v>6174</v>
      </c>
      <c r="F928" s="1" t="s">
        <v>6175</v>
      </c>
      <c r="G928" s="1" t="s">
        <v>6176</v>
      </c>
    </row>
    <row r="929" spans="1:7" x14ac:dyDescent="0.2">
      <c r="A929" s="1" t="s">
        <v>6177</v>
      </c>
      <c r="B929" s="1" t="s">
        <v>6178</v>
      </c>
      <c r="C929" s="1" t="s">
        <v>6179</v>
      </c>
      <c r="D929" s="1" t="s">
        <v>6180</v>
      </c>
      <c r="E929" s="1" t="s">
        <v>6181</v>
      </c>
      <c r="F929" s="1" t="s">
        <v>6182</v>
      </c>
      <c r="G929" s="1" t="s">
        <v>6183</v>
      </c>
    </row>
    <row r="930" spans="1:7" x14ac:dyDescent="0.2">
      <c r="A930" s="1" t="s">
        <v>6184</v>
      </c>
      <c r="B930" s="1" t="s">
        <v>6185</v>
      </c>
      <c r="C930" s="1" t="s">
        <v>6186</v>
      </c>
      <c r="D930" s="1" t="s">
        <v>6187</v>
      </c>
      <c r="E930" s="1" t="s">
        <v>6148</v>
      </c>
      <c r="F930" s="1" t="s">
        <v>6188</v>
      </c>
      <c r="G930" s="1" t="s">
        <v>6189</v>
      </c>
    </row>
    <row r="931" spans="1:7" x14ac:dyDescent="0.2">
      <c r="A931" s="1" t="s">
        <v>6190</v>
      </c>
      <c r="B931" s="1" t="s">
        <v>6191</v>
      </c>
      <c r="C931" s="1" t="s">
        <v>6192</v>
      </c>
      <c r="D931" s="1" t="s">
        <v>6193</v>
      </c>
      <c r="E931" s="1" t="s">
        <v>6194</v>
      </c>
      <c r="F931" s="1" t="s">
        <v>6195</v>
      </c>
      <c r="G931" s="1" t="s">
        <v>6196</v>
      </c>
    </row>
    <row r="932" spans="1:7" x14ac:dyDescent="0.2">
      <c r="A932" s="1" t="s">
        <v>6197</v>
      </c>
      <c r="B932" s="1" t="s">
        <v>6198</v>
      </c>
      <c r="C932" s="1" t="s">
        <v>6199</v>
      </c>
      <c r="D932" s="1" t="s">
        <v>6200</v>
      </c>
      <c r="E932" s="1" t="s">
        <v>6201</v>
      </c>
      <c r="F932" s="1" t="s">
        <v>6202</v>
      </c>
      <c r="G932" s="1" t="s">
        <v>6203</v>
      </c>
    </row>
    <row r="933" spans="1:7" x14ac:dyDescent="0.2">
      <c r="A933" s="1" t="s">
        <v>6204</v>
      </c>
      <c r="B933" s="1" t="s">
        <v>6205</v>
      </c>
      <c r="C933" s="1" t="s">
        <v>6206</v>
      </c>
      <c r="D933" s="1" t="s">
        <v>6207</v>
      </c>
      <c r="E933" s="1" t="s">
        <v>6208</v>
      </c>
      <c r="F933" s="1" t="s">
        <v>6209</v>
      </c>
      <c r="G933" s="1" t="s">
        <v>6210</v>
      </c>
    </row>
    <row r="934" spans="1:7" x14ac:dyDescent="0.2">
      <c r="A934" s="1" t="s">
        <v>6211</v>
      </c>
      <c r="B934" s="1" t="s">
        <v>6212</v>
      </c>
      <c r="C934" s="1" t="s">
        <v>6213</v>
      </c>
      <c r="D934" s="1" t="s">
        <v>6214</v>
      </c>
      <c r="E934" s="1" t="s">
        <v>6215</v>
      </c>
      <c r="F934" s="1" t="s">
        <v>6216</v>
      </c>
      <c r="G934" s="1" t="s">
        <v>6217</v>
      </c>
    </row>
    <row r="935" spans="1:7" x14ac:dyDescent="0.2">
      <c r="A935" s="1" t="s">
        <v>6218</v>
      </c>
      <c r="B935" s="1" t="s">
        <v>6219</v>
      </c>
      <c r="C935" s="1" t="s">
        <v>6220</v>
      </c>
      <c r="D935" s="1" t="s">
        <v>6221</v>
      </c>
      <c r="E935" s="1" t="s">
        <v>6222</v>
      </c>
      <c r="F935" s="1" t="s">
        <v>6223</v>
      </c>
      <c r="G935" s="1" t="s">
        <v>6224</v>
      </c>
    </row>
    <row r="936" spans="1:7" x14ac:dyDescent="0.2">
      <c r="A936" s="1" t="s">
        <v>6225</v>
      </c>
      <c r="B936" s="1" t="s">
        <v>6226</v>
      </c>
      <c r="C936" s="1" t="s">
        <v>6227</v>
      </c>
      <c r="D936" s="1" t="s">
        <v>6228</v>
      </c>
      <c r="E936" s="1" t="s">
        <v>6229</v>
      </c>
      <c r="F936" s="1" t="s">
        <v>6230</v>
      </c>
      <c r="G936" s="1" t="s">
        <v>6231</v>
      </c>
    </row>
    <row r="937" spans="1:7" x14ac:dyDescent="0.2">
      <c r="A937" s="1" t="s">
        <v>6232</v>
      </c>
      <c r="B937" s="1" t="s">
        <v>6233</v>
      </c>
      <c r="C937" s="1" t="s">
        <v>6234</v>
      </c>
      <c r="D937" s="1" t="s">
        <v>6235</v>
      </c>
      <c r="E937" s="1" t="s">
        <v>6236</v>
      </c>
      <c r="F937" s="1" t="s">
        <v>6237</v>
      </c>
      <c r="G937" s="1" t="s">
        <v>6238</v>
      </c>
    </row>
    <row r="938" spans="1:7" x14ac:dyDescent="0.2">
      <c r="A938" s="1" t="s">
        <v>6239</v>
      </c>
      <c r="B938" s="1" t="s">
        <v>6226</v>
      </c>
      <c r="C938" s="1" t="s">
        <v>6227</v>
      </c>
      <c r="D938" s="1" t="s">
        <v>6240</v>
      </c>
      <c r="E938" s="1" t="s">
        <v>6241</v>
      </c>
      <c r="F938" s="1" t="s">
        <v>6242</v>
      </c>
      <c r="G938" s="1" t="s">
        <v>6243</v>
      </c>
    </row>
    <row r="939" spans="1:7" x14ac:dyDescent="0.2">
      <c r="A939" s="1" t="s">
        <v>6244</v>
      </c>
      <c r="B939" s="1" t="s">
        <v>6245</v>
      </c>
      <c r="C939" s="1" t="s">
        <v>6246</v>
      </c>
      <c r="D939" s="1" t="s">
        <v>6247</v>
      </c>
      <c r="E939" s="1" t="s">
        <v>6248</v>
      </c>
      <c r="F939" s="1" t="s">
        <v>6249</v>
      </c>
      <c r="G939" s="1" t="s">
        <v>6250</v>
      </c>
    </row>
    <row r="940" spans="1:7" x14ac:dyDescent="0.2">
      <c r="A940" s="1" t="s">
        <v>6251</v>
      </c>
      <c r="B940" s="1" t="s">
        <v>6252</v>
      </c>
      <c r="C940" s="1" t="s">
        <v>6253</v>
      </c>
      <c r="D940" s="1" t="s">
        <v>6254</v>
      </c>
      <c r="E940" s="1" t="s">
        <v>6255</v>
      </c>
      <c r="F940" s="1" t="s">
        <v>6256</v>
      </c>
      <c r="G940" s="1" t="s">
        <v>6257</v>
      </c>
    </row>
    <row r="941" spans="1:7" x14ac:dyDescent="0.2">
      <c r="A941" s="1" t="s">
        <v>6258</v>
      </c>
      <c r="B941" s="1" t="s">
        <v>6259</v>
      </c>
      <c r="C941" s="1" t="s">
        <v>6260</v>
      </c>
      <c r="D941" s="1" t="s">
        <v>6261</v>
      </c>
      <c r="E941" s="1" t="s">
        <v>6126</v>
      </c>
      <c r="F941" s="1" t="s">
        <v>6262</v>
      </c>
      <c r="G941" s="1" t="s">
        <v>6263</v>
      </c>
    </row>
    <row r="942" spans="1:7" x14ac:dyDescent="0.2">
      <c r="A942" s="1" t="s">
        <v>6264</v>
      </c>
      <c r="B942" s="1" t="s">
        <v>6265</v>
      </c>
      <c r="C942" s="1" t="s">
        <v>6266</v>
      </c>
      <c r="D942" s="1" t="s">
        <v>6267</v>
      </c>
      <c r="E942" s="1" t="s">
        <v>6268</v>
      </c>
      <c r="F942" s="1" t="s">
        <v>6269</v>
      </c>
      <c r="G942" s="1" t="s">
        <v>6270</v>
      </c>
    </row>
    <row r="943" spans="1:7" x14ac:dyDescent="0.2">
      <c r="A943" s="1" t="s">
        <v>6271</v>
      </c>
      <c r="B943" s="1" t="s">
        <v>6272</v>
      </c>
      <c r="C943" s="1" t="s">
        <v>6273</v>
      </c>
      <c r="D943" s="1" t="s">
        <v>6274</v>
      </c>
      <c r="E943" s="1" t="s">
        <v>6275</v>
      </c>
      <c r="F943" s="1" t="s">
        <v>6276</v>
      </c>
      <c r="G943" s="1" t="s">
        <v>6277</v>
      </c>
    </row>
    <row r="944" spans="1:7" x14ac:dyDescent="0.2">
      <c r="A944" s="1" t="s">
        <v>6278</v>
      </c>
      <c r="B944" s="1" t="s">
        <v>6279</v>
      </c>
      <c r="C944" s="1" t="s">
        <v>6280</v>
      </c>
      <c r="D944" s="1" t="s">
        <v>6281</v>
      </c>
      <c r="E944" s="1" t="s">
        <v>6282</v>
      </c>
      <c r="F944" s="1" t="s">
        <v>6283</v>
      </c>
      <c r="G944" s="1" t="s">
        <v>6284</v>
      </c>
    </row>
    <row r="945" spans="1:7" x14ac:dyDescent="0.2">
      <c r="A945" s="1" t="s">
        <v>6285</v>
      </c>
      <c r="B945" s="1" t="s">
        <v>6286</v>
      </c>
      <c r="C945" s="1" t="s">
        <v>6287</v>
      </c>
      <c r="D945" s="1" t="s">
        <v>6288</v>
      </c>
      <c r="E945" s="1" t="s">
        <v>6289</v>
      </c>
      <c r="F945" s="1" t="s">
        <v>6290</v>
      </c>
      <c r="G945" s="1" t="s">
        <v>6291</v>
      </c>
    </row>
    <row r="946" spans="1:7" x14ac:dyDescent="0.2">
      <c r="A946" s="1" t="s">
        <v>6292</v>
      </c>
      <c r="B946" s="1" t="s">
        <v>6293</v>
      </c>
      <c r="C946" s="1" t="s">
        <v>6294</v>
      </c>
      <c r="D946" s="1" t="s">
        <v>6295</v>
      </c>
      <c r="E946" s="1" t="s">
        <v>6296</v>
      </c>
      <c r="F946" s="1" t="s">
        <v>6297</v>
      </c>
      <c r="G946" s="1" t="s">
        <v>6298</v>
      </c>
    </row>
    <row r="947" spans="1:7" x14ac:dyDescent="0.2">
      <c r="A947" s="1" t="s">
        <v>6299</v>
      </c>
      <c r="B947" s="1" t="s">
        <v>6300</v>
      </c>
      <c r="C947" s="1" t="s">
        <v>6301</v>
      </c>
      <c r="D947" s="1" t="s">
        <v>6302</v>
      </c>
      <c r="E947" s="1" t="s">
        <v>6303</v>
      </c>
      <c r="F947" s="1" t="s">
        <v>6304</v>
      </c>
      <c r="G947" s="1" t="s">
        <v>6305</v>
      </c>
    </row>
    <row r="948" spans="1:7" x14ac:dyDescent="0.2">
      <c r="A948" s="1" t="s">
        <v>6306</v>
      </c>
      <c r="B948" s="1" t="s">
        <v>6307</v>
      </c>
      <c r="C948" s="1" t="s">
        <v>6308</v>
      </c>
      <c r="D948" s="1" t="s">
        <v>6309</v>
      </c>
      <c r="E948" s="1" t="s">
        <v>6310</v>
      </c>
      <c r="F948" s="1" t="s">
        <v>6311</v>
      </c>
      <c r="G948" s="1" t="s">
        <v>6312</v>
      </c>
    </row>
    <row r="949" spans="1:7" x14ac:dyDescent="0.2">
      <c r="A949" s="1" t="s">
        <v>6313</v>
      </c>
      <c r="B949" s="1" t="s">
        <v>6314</v>
      </c>
      <c r="C949" s="1" t="s">
        <v>6315</v>
      </c>
      <c r="D949" s="1" t="s">
        <v>6316</v>
      </c>
      <c r="E949" s="1" t="s">
        <v>6317</v>
      </c>
      <c r="F949" s="1" t="s">
        <v>6318</v>
      </c>
      <c r="G949" s="1" t="s">
        <v>6319</v>
      </c>
    </row>
    <row r="950" spans="1:7" x14ac:dyDescent="0.2">
      <c r="A950" s="1" t="s">
        <v>6320</v>
      </c>
      <c r="B950" s="1" t="s">
        <v>6321</v>
      </c>
      <c r="C950" s="1" t="s">
        <v>6322</v>
      </c>
      <c r="D950" s="1" t="s">
        <v>6323</v>
      </c>
      <c r="E950" s="1" t="s">
        <v>6324</v>
      </c>
      <c r="F950" s="1" t="s">
        <v>6325</v>
      </c>
      <c r="G950" s="1" t="s">
        <v>6326</v>
      </c>
    </row>
    <row r="951" spans="1:7" x14ac:dyDescent="0.2">
      <c r="A951" s="1" t="s">
        <v>6327</v>
      </c>
      <c r="B951" s="1" t="s">
        <v>6328</v>
      </c>
      <c r="C951" s="1" t="s">
        <v>6329</v>
      </c>
      <c r="D951" s="1" t="s">
        <v>6330</v>
      </c>
      <c r="E951" s="1" t="s">
        <v>6331</v>
      </c>
      <c r="F951" s="1" t="s">
        <v>6089</v>
      </c>
      <c r="G951" s="1" t="s">
        <v>6332</v>
      </c>
    </row>
    <row r="952" spans="1:7" x14ac:dyDescent="0.2">
      <c r="A952" s="1" t="s">
        <v>6333</v>
      </c>
      <c r="B952" s="1" t="s">
        <v>6334</v>
      </c>
      <c r="C952" s="1" t="s">
        <v>6335</v>
      </c>
      <c r="D952" s="1" t="s">
        <v>6336</v>
      </c>
      <c r="E952" s="1" t="s">
        <v>6337</v>
      </c>
      <c r="F952" s="1" t="s">
        <v>6338</v>
      </c>
      <c r="G952" s="1" t="s">
        <v>6339</v>
      </c>
    </row>
    <row r="953" spans="1:7" x14ac:dyDescent="0.2">
      <c r="A953" s="1" t="s">
        <v>6340</v>
      </c>
      <c r="B953" s="1" t="s">
        <v>6341</v>
      </c>
      <c r="C953" s="1" t="s">
        <v>6342</v>
      </c>
      <c r="D953" s="1" t="s">
        <v>6343</v>
      </c>
      <c r="E953" s="1" t="s">
        <v>6344</v>
      </c>
      <c r="F953" s="1" t="s">
        <v>6345</v>
      </c>
      <c r="G953" s="1" t="s">
        <v>6346</v>
      </c>
    </row>
    <row r="954" spans="1:7" x14ac:dyDescent="0.2">
      <c r="A954" s="1" t="s">
        <v>6347</v>
      </c>
      <c r="B954" s="1" t="s">
        <v>6348</v>
      </c>
      <c r="C954" s="1" t="s">
        <v>6349</v>
      </c>
      <c r="D954" s="1" t="s">
        <v>6350</v>
      </c>
      <c r="E954" s="1" t="s">
        <v>6351</v>
      </c>
      <c r="F954" s="1" t="s">
        <v>6352</v>
      </c>
      <c r="G954" s="1" t="s">
        <v>6353</v>
      </c>
    </row>
    <row r="955" spans="1:7" x14ac:dyDescent="0.2">
      <c r="A955" s="1" t="s">
        <v>6354</v>
      </c>
      <c r="B955" s="1" t="s">
        <v>6355</v>
      </c>
      <c r="C955" s="1" t="s">
        <v>6356</v>
      </c>
      <c r="D955" s="1" t="s">
        <v>6357</v>
      </c>
      <c r="E955" s="1" t="s">
        <v>6358</v>
      </c>
      <c r="F955" s="1" t="s">
        <v>6359</v>
      </c>
      <c r="G955" s="1" t="s">
        <v>6360</v>
      </c>
    </row>
    <row r="956" spans="1:7" x14ac:dyDescent="0.2">
      <c r="A956" s="1" t="s">
        <v>6361</v>
      </c>
      <c r="B956" s="1" t="s">
        <v>6362</v>
      </c>
      <c r="C956" s="1" t="s">
        <v>6363</v>
      </c>
      <c r="D956" s="1" t="s">
        <v>6364</v>
      </c>
      <c r="E956" s="1" t="s">
        <v>6365</v>
      </c>
      <c r="F956" s="1" t="s">
        <v>6366</v>
      </c>
      <c r="G956" s="1" t="s">
        <v>6367</v>
      </c>
    </row>
    <row r="957" spans="1:7" x14ac:dyDescent="0.2">
      <c r="A957" s="1" t="s">
        <v>6368</v>
      </c>
      <c r="B957" s="1" t="s">
        <v>6369</v>
      </c>
      <c r="C957" s="1" t="s">
        <v>6370</v>
      </c>
      <c r="D957" s="1" t="s">
        <v>6371</v>
      </c>
      <c r="E957" s="1" t="s">
        <v>6372</v>
      </c>
      <c r="F957" s="1" t="s">
        <v>6373</v>
      </c>
      <c r="G957" s="1" t="s">
        <v>6374</v>
      </c>
    </row>
    <row r="958" spans="1:7" x14ac:dyDescent="0.2">
      <c r="A958" s="1" t="s">
        <v>6375</v>
      </c>
      <c r="B958" s="1" t="s">
        <v>6376</v>
      </c>
      <c r="C958" s="1" t="s">
        <v>6377</v>
      </c>
      <c r="D958" s="1" t="s">
        <v>6378</v>
      </c>
      <c r="E958" s="1" t="s">
        <v>6379</v>
      </c>
      <c r="F958" s="1" t="s">
        <v>6380</v>
      </c>
      <c r="G958" s="1" t="s">
        <v>6381</v>
      </c>
    </row>
    <row r="959" spans="1:7" x14ac:dyDescent="0.2">
      <c r="A959" s="1" t="s">
        <v>6382</v>
      </c>
      <c r="B959" s="1" t="s">
        <v>6383</v>
      </c>
      <c r="C959" s="1" t="s">
        <v>6384</v>
      </c>
      <c r="D959" s="1" t="s">
        <v>6385</v>
      </c>
      <c r="E959" s="1" t="s">
        <v>6386</v>
      </c>
      <c r="F959" s="1" t="s">
        <v>6387</v>
      </c>
      <c r="G959" s="1" t="s">
        <v>6388</v>
      </c>
    </row>
    <row r="960" spans="1:7" x14ac:dyDescent="0.2">
      <c r="A960" s="1" t="s">
        <v>6389</v>
      </c>
      <c r="B960" s="1" t="s">
        <v>6390</v>
      </c>
      <c r="C960" s="1" t="s">
        <v>6391</v>
      </c>
      <c r="D960" s="1" t="s">
        <v>6392</v>
      </c>
      <c r="E960" s="1" t="s">
        <v>6393</v>
      </c>
      <c r="F960" s="1" t="s">
        <v>6394</v>
      </c>
      <c r="G960" s="1" t="s">
        <v>6395</v>
      </c>
    </row>
    <row r="961" spans="1:7" x14ac:dyDescent="0.2">
      <c r="A961" s="1" t="s">
        <v>6396</v>
      </c>
      <c r="B961" s="1" t="s">
        <v>6397</v>
      </c>
      <c r="C961" s="1" t="s">
        <v>6398</v>
      </c>
      <c r="D961" s="1" t="s">
        <v>6399</v>
      </c>
      <c r="E961" s="1" t="s">
        <v>6400</v>
      </c>
      <c r="F961" s="1" t="s">
        <v>6401</v>
      </c>
      <c r="G961" s="1" t="s">
        <v>6402</v>
      </c>
    </row>
    <row r="962" spans="1:7" x14ac:dyDescent="0.2">
      <c r="A962" s="1" t="s">
        <v>6403</v>
      </c>
      <c r="B962" s="1" t="s">
        <v>6404</v>
      </c>
      <c r="C962" s="1" t="s">
        <v>6405</v>
      </c>
      <c r="D962" s="1" t="s">
        <v>6406</v>
      </c>
      <c r="E962" s="1" t="s">
        <v>6407</v>
      </c>
      <c r="F962" s="1" t="s">
        <v>6408</v>
      </c>
      <c r="G962" s="1" t="s">
        <v>6409</v>
      </c>
    </row>
    <row r="963" spans="1:7" x14ac:dyDescent="0.2">
      <c r="A963" s="1" t="s">
        <v>6410</v>
      </c>
      <c r="B963" s="1" t="s">
        <v>6411</v>
      </c>
      <c r="C963" s="1" t="s">
        <v>6412</v>
      </c>
      <c r="D963" s="1" t="s">
        <v>6413</v>
      </c>
      <c r="E963" s="1" t="s">
        <v>6414</v>
      </c>
      <c r="F963" s="1" t="s">
        <v>6415</v>
      </c>
      <c r="G963" s="1" t="s">
        <v>6416</v>
      </c>
    </row>
    <row r="964" spans="1:7" x14ac:dyDescent="0.2">
      <c r="A964" s="1" t="s">
        <v>6417</v>
      </c>
      <c r="B964" s="1" t="s">
        <v>6418</v>
      </c>
      <c r="C964" s="1" t="s">
        <v>6419</v>
      </c>
      <c r="D964" s="1" t="s">
        <v>6420</v>
      </c>
      <c r="E964" s="1" t="s">
        <v>6421</v>
      </c>
      <c r="F964" s="1" t="s">
        <v>6422</v>
      </c>
      <c r="G964" s="1" t="s">
        <v>6423</v>
      </c>
    </row>
    <row r="965" spans="1:7" x14ac:dyDescent="0.2">
      <c r="A965" s="1" t="s">
        <v>6424</v>
      </c>
      <c r="B965" s="1" t="s">
        <v>6425</v>
      </c>
      <c r="C965" s="1" t="s">
        <v>6426</v>
      </c>
      <c r="D965" s="1" t="s">
        <v>6427</v>
      </c>
      <c r="E965" s="1" t="s">
        <v>6428</v>
      </c>
      <c r="F965" s="1" t="s">
        <v>6429</v>
      </c>
      <c r="G965" s="1" t="s">
        <v>6430</v>
      </c>
    </row>
    <row r="966" spans="1:7" x14ac:dyDescent="0.2">
      <c r="A966" s="1" t="s">
        <v>6431</v>
      </c>
      <c r="B966" s="1" t="s">
        <v>6432</v>
      </c>
      <c r="C966" s="1" t="s">
        <v>6433</v>
      </c>
      <c r="D966" s="1" t="s">
        <v>6434</v>
      </c>
      <c r="E966" s="1" t="s">
        <v>6435</v>
      </c>
      <c r="F966" s="1" t="s">
        <v>6436</v>
      </c>
      <c r="G966" s="1" t="s">
        <v>6437</v>
      </c>
    </row>
    <row r="967" spans="1:7" x14ac:dyDescent="0.2">
      <c r="A967" s="1" t="s">
        <v>6438</v>
      </c>
      <c r="B967" s="1" t="s">
        <v>6439</v>
      </c>
      <c r="C967" s="1" t="s">
        <v>6440</v>
      </c>
      <c r="D967" s="1" t="s">
        <v>6441</v>
      </c>
      <c r="E967" s="1" t="s">
        <v>6442</v>
      </c>
      <c r="F967" s="1" t="s">
        <v>6443</v>
      </c>
      <c r="G967" s="1" t="s">
        <v>6444</v>
      </c>
    </row>
    <row r="968" spans="1:7" x14ac:dyDescent="0.2">
      <c r="A968" s="1" t="s">
        <v>6445</v>
      </c>
      <c r="B968" s="1" t="s">
        <v>6446</v>
      </c>
      <c r="C968" s="1" t="s">
        <v>6447</v>
      </c>
      <c r="D968" s="1" t="s">
        <v>6448</v>
      </c>
      <c r="E968" s="1" t="s">
        <v>6449</v>
      </c>
      <c r="F968" s="1" t="s">
        <v>6450</v>
      </c>
      <c r="G968" s="1" t="s">
        <v>6451</v>
      </c>
    </row>
    <row r="969" spans="1:7" x14ac:dyDescent="0.2">
      <c r="A969" s="1" t="s">
        <v>6452</v>
      </c>
      <c r="B969" s="1" t="s">
        <v>6453</v>
      </c>
      <c r="C969" s="1" t="s">
        <v>6454</v>
      </c>
      <c r="D969" s="1" t="s">
        <v>6455</v>
      </c>
      <c r="E969" s="1" t="s">
        <v>6456</v>
      </c>
      <c r="F969" s="1" t="s">
        <v>6457</v>
      </c>
      <c r="G969" s="1" t="s">
        <v>6458</v>
      </c>
    </row>
    <row r="970" spans="1:7" x14ac:dyDescent="0.2">
      <c r="A970" s="1" t="s">
        <v>6459</v>
      </c>
      <c r="B970" s="1" t="s">
        <v>6460</v>
      </c>
      <c r="C970" s="1" t="s">
        <v>6461</v>
      </c>
      <c r="D970" s="1" t="s">
        <v>6462</v>
      </c>
      <c r="E970" s="1" t="s">
        <v>6463</v>
      </c>
      <c r="F970" s="1" t="s">
        <v>6464</v>
      </c>
      <c r="G970" s="1" t="s">
        <v>6465</v>
      </c>
    </row>
    <row r="971" spans="1:7" x14ac:dyDescent="0.2">
      <c r="A971" s="1" t="s">
        <v>6466</v>
      </c>
      <c r="B971" s="1" t="s">
        <v>6467</v>
      </c>
      <c r="C971" s="1" t="s">
        <v>6468</v>
      </c>
      <c r="D971" s="1" t="s">
        <v>6469</v>
      </c>
      <c r="E971" s="1" t="s">
        <v>6470</v>
      </c>
      <c r="F971" s="1" t="s">
        <v>6471</v>
      </c>
      <c r="G971" s="1" t="s">
        <v>6472</v>
      </c>
    </row>
    <row r="972" spans="1:7" x14ac:dyDescent="0.2">
      <c r="A972" s="1" t="s">
        <v>6473</v>
      </c>
      <c r="B972" s="1" t="s">
        <v>6474</v>
      </c>
      <c r="C972" s="1" t="s">
        <v>6475</v>
      </c>
      <c r="D972" s="1" t="s">
        <v>6476</v>
      </c>
      <c r="E972" s="1" t="s">
        <v>6477</v>
      </c>
      <c r="F972" s="1" t="s">
        <v>6478</v>
      </c>
      <c r="G972" s="1" t="s">
        <v>6479</v>
      </c>
    </row>
    <row r="973" spans="1:7" x14ac:dyDescent="0.2">
      <c r="A973" s="1" t="s">
        <v>6480</v>
      </c>
      <c r="B973" s="1" t="s">
        <v>6481</v>
      </c>
      <c r="C973" s="1" t="s">
        <v>6482</v>
      </c>
      <c r="D973" s="1" t="s">
        <v>6483</v>
      </c>
      <c r="E973" s="1" t="s">
        <v>6484</v>
      </c>
      <c r="F973" s="1" t="s">
        <v>6485</v>
      </c>
      <c r="G973" s="1" t="s">
        <v>6486</v>
      </c>
    </row>
    <row r="974" spans="1:7" x14ac:dyDescent="0.2">
      <c r="A974" s="1" t="s">
        <v>6487</v>
      </c>
      <c r="B974" s="1" t="s">
        <v>6488</v>
      </c>
      <c r="C974" s="1" t="s">
        <v>6489</v>
      </c>
      <c r="D974" s="1" t="s">
        <v>6490</v>
      </c>
      <c r="E974" s="1" t="s">
        <v>6491</v>
      </c>
      <c r="F974" s="1" t="s">
        <v>6492</v>
      </c>
      <c r="G974" s="1" t="s">
        <v>6493</v>
      </c>
    </row>
    <row r="975" spans="1:7" x14ac:dyDescent="0.2">
      <c r="A975" s="1" t="s">
        <v>6494</v>
      </c>
      <c r="B975" s="1" t="s">
        <v>6495</v>
      </c>
      <c r="C975" s="1" t="s">
        <v>6496</v>
      </c>
      <c r="D975" s="1" t="s">
        <v>6497</v>
      </c>
      <c r="E975" s="1" t="s">
        <v>6498</v>
      </c>
      <c r="F975" s="1" t="s">
        <v>6499</v>
      </c>
      <c r="G975" s="1" t="s">
        <v>6500</v>
      </c>
    </row>
    <row r="976" spans="1:7" x14ac:dyDescent="0.2">
      <c r="A976" s="1" t="s">
        <v>6501</v>
      </c>
      <c r="B976" s="1" t="s">
        <v>6502</v>
      </c>
      <c r="C976" s="1" t="s">
        <v>6503</v>
      </c>
      <c r="D976" s="1" t="s">
        <v>6504</v>
      </c>
      <c r="E976" s="1" t="s">
        <v>6505</v>
      </c>
      <c r="F976" s="1" t="s">
        <v>6506</v>
      </c>
      <c r="G976" s="1" t="s">
        <v>6507</v>
      </c>
    </row>
    <row r="977" spans="1:7" x14ac:dyDescent="0.2">
      <c r="A977" s="1" t="s">
        <v>6508</v>
      </c>
      <c r="B977" s="1" t="s">
        <v>6509</v>
      </c>
      <c r="C977" s="1" t="s">
        <v>6510</v>
      </c>
      <c r="D977" s="1" t="s">
        <v>6511</v>
      </c>
      <c r="E977" s="1" t="s">
        <v>6512</v>
      </c>
      <c r="F977" s="1" t="s">
        <v>6513</v>
      </c>
      <c r="G977" s="1" t="s">
        <v>6514</v>
      </c>
    </row>
    <row r="978" spans="1:7" x14ac:dyDescent="0.2">
      <c r="A978" s="1" t="s">
        <v>6515</v>
      </c>
      <c r="B978" s="1" t="s">
        <v>6516</v>
      </c>
      <c r="C978" s="1" t="s">
        <v>6517</v>
      </c>
      <c r="D978" s="1" t="s">
        <v>6518</v>
      </c>
      <c r="E978" s="1" t="s">
        <v>6519</v>
      </c>
      <c r="F978" s="1" t="s">
        <v>6520</v>
      </c>
      <c r="G978" s="1" t="s">
        <v>6521</v>
      </c>
    </row>
    <row r="979" spans="1:7" x14ac:dyDescent="0.2">
      <c r="A979" s="1" t="s">
        <v>6522</v>
      </c>
      <c r="B979" s="1" t="s">
        <v>6516</v>
      </c>
      <c r="C979" s="1" t="s">
        <v>6517</v>
      </c>
      <c r="D979" s="1" t="s">
        <v>6523</v>
      </c>
      <c r="E979" s="1" t="s">
        <v>6524</v>
      </c>
      <c r="F979" s="1" t="s">
        <v>6525</v>
      </c>
      <c r="G979" s="1" t="s">
        <v>6526</v>
      </c>
    </row>
    <row r="980" spans="1:7" x14ac:dyDescent="0.2">
      <c r="A980" s="1" t="s">
        <v>6527</v>
      </c>
      <c r="B980" s="1" t="s">
        <v>6528</v>
      </c>
      <c r="C980" s="1" t="s">
        <v>6529</v>
      </c>
      <c r="D980" s="1" t="s">
        <v>6530</v>
      </c>
      <c r="E980" s="1" t="s">
        <v>6531</v>
      </c>
      <c r="F980" s="1" t="s">
        <v>6532</v>
      </c>
      <c r="G980" s="1" t="s">
        <v>6533</v>
      </c>
    </row>
    <row r="981" spans="1:7" x14ac:dyDescent="0.2">
      <c r="A981" s="1" t="s">
        <v>6534</v>
      </c>
      <c r="B981" s="1" t="s">
        <v>6535</v>
      </c>
      <c r="C981" s="1" t="s">
        <v>6536</v>
      </c>
      <c r="D981" s="1" t="s">
        <v>6517</v>
      </c>
      <c r="E981" s="1" t="s">
        <v>6537</v>
      </c>
      <c r="F981" s="1" t="s">
        <v>6538</v>
      </c>
      <c r="G981" s="1" t="s">
        <v>6539</v>
      </c>
    </row>
    <row r="982" spans="1:7" x14ac:dyDescent="0.2">
      <c r="A982" s="1" t="s">
        <v>6540</v>
      </c>
      <c r="B982" s="1" t="s">
        <v>6541</v>
      </c>
      <c r="C982" s="1" t="s">
        <v>6542</v>
      </c>
      <c r="D982" s="1" t="s">
        <v>6543</v>
      </c>
      <c r="E982" s="1" t="s">
        <v>6544</v>
      </c>
      <c r="F982" s="1" t="s">
        <v>6545</v>
      </c>
      <c r="G982" s="1" t="s">
        <v>6546</v>
      </c>
    </row>
    <row r="983" spans="1:7" x14ac:dyDescent="0.2">
      <c r="A983" s="1" t="s">
        <v>6547</v>
      </c>
      <c r="B983" s="1" t="s">
        <v>6548</v>
      </c>
      <c r="C983" s="1" t="s">
        <v>6549</v>
      </c>
      <c r="D983" s="1" t="s">
        <v>6550</v>
      </c>
      <c r="E983" s="1" t="s">
        <v>6551</v>
      </c>
      <c r="F983" s="1" t="s">
        <v>6552</v>
      </c>
      <c r="G983" s="1" t="s">
        <v>6553</v>
      </c>
    </row>
    <row r="984" spans="1:7" x14ac:dyDescent="0.2">
      <c r="A984" s="1" t="s">
        <v>6554</v>
      </c>
      <c r="B984" s="1" t="s">
        <v>6555</v>
      </c>
      <c r="C984" s="1" t="s">
        <v>6556</v>
      </c>
      <c r="D984" s="1" t="s">
        <v>6557</v>
      </c>
      <c r="E984" s="1" t="s">
        <v>6558</v>
      </c>
      <c r="F984" s="1" t="s">
        <v>6559</v>
      </c>
      <c r="G984" s="1" t="s">
        <v>6560</v>
      </c>
    </row>
    <row r="985" spans="1:7" x14ac:dyDescent="0.2">
      <c r="A985" s="1" t="s">
        <v>6561</v>
      </c>
      <c r="B985" s="1" t="s">
        <v>6562</v>
      </c>
      <c r="C985" s="1" t="s">
        <v>6563</v>
      </c>
      <c r="D985" s="1" t="s">
        <v>6564</v>
      </c>
      <c r="E985" s="1" t="s">
        <v>6565</v>
      </c>
      <c r="F985" s="1" t="s">
        <v>6566</v>
      </c>
      <c r="G985" s="1" t="s">
        <v>6567</v>
      </c>
    </row>
    <row r="986" spans="1:7" x14ac:dyDescent="0.2">
      <c r="A986" s="1" t="s">
        <v>6568</v>
      </c>
      <c r="B986" s="1" t="s">
        <v>6569</v>
      </c>
      <c r="C986" s="1" t="s">
        <v>6570</v>
      </c>
      <c r="D986" s="1" t="s">
        <v>6571</v>
      </c>
      <c r="E986" s="1" t="s">
        <v>6572</v>
      </c>
      <c r="F986" s="1" t="s">
        <v>6573</v>
      </c>
      <c r="G986" s="1" t="s">
        <v>6574</v>
      </c>
    </row>
    <row r="987" spans="1:7" x14ac:dyDescent="0.2">
      <c r="A987" s="1" t="s">
        <v>6575</v>
      </c>
      <c r="B987" s="1" t="s">
        <v>6576</v>
      </c>
      <c r="C987" s="1" t="s">
        <v>6577</v>
      </c>
      <c r="D987" s="1" t="s">
        <v>6578</v>
      </c>
      <c r="E987" s="1" t="s">
        <v>6579</v>
      </c>
      <c r="F987" s="1" t="s">
        <v>6580</v>
      </c>
      <c r="G987" s="1" t="s">
        <v>6581</v>
      </c>
    </row>
    <row r="988" spans="1:7" x14ac:dyDescent="0.2">
      <c r="A988" s="1" t="s">
        <v>6582</v>
      </c>
      <c r="B988" s="1" t="s">
        <v>6583</v>
      </c>
      <c r="C988" s="1" t="s">
        <v>6584</v>
      </c>
      <c r="D988" s="1" t="s">
        <v>6585</v>
      </c>
      <c r="E988" s="1" t="s">
        <v>6586</v>
      </c>
      <c r="F988" s="1" t="s">
        <v>6587</v>
      </c>
      <c r="G988" s="1" t="s">
        <v>6588</v>
      </c>
    </row>
    <row r="989" spans="1:7" x14ac:dyDescent="0.2">
      <c r="A989" s="1" t="s">
        <v>6589</v>
      </c>
      <c r="B989" s="1" t="s">
        <v>6590</v>
      </c>
      <c r="C989" s="1" t="s">
        <v>6591</v>
      </c>
      <c r="D989" s="1" t="s">
        <v>6592</v>
      </c>
      <c r="E989" s="1" t="s">
        <v>6593</v>
      </c>
      <c r="F989" s="1" t="s">
        <v>6594</v>
      </c>
      <c r="G989" s="1" t="s">
        <v>6595</v>
      </c>
    </row>
    <row r="990" spans="1:7" x14ac:dyDescent="0.2">
      <c r="A990" s="1" t="s">
        <v>6596</v>
      </c>
      <c r="B990" s="1" t="s">
        <v>6597</v>
      </c>
      <c r="C990" s="1" t="s">
        <v>6598</v>
      </c>
      <c r="D990" s="1" t="s">
        <v>6599</v>
      </c>
      <c r="E990" s="1" t="s">
        <v>6600</v>
      </c>
      <c r="F990" s="1" t="s">
        <v>6601</v>
      </c>
      <c r="G990" s="1" t="s">
        <v>6602</v>
      </c>
    </row>
    <row r="991" spans="1:7" x14ac:dyDescent="0.2">
      <c r="A991" s="1" t="s">
        <v>6603</v>
      </c>
      <c r="B991" s="1" t="s">
        <v>6604</v>
      </c>
      <c r="C991" s="1" t="s">
        <v>6605</v>
      </c>
      <c r="D991" s="1" t="s">
        <v>6606</v>
      </c>
      <c r="E991" s="1" t="s">
        <v>6607</v>
      </c>
      <c r="F991" s="1" t="s">
        <v>6608</v>
      </c>
      <c r="G991" s="1" t="s">
        <v>6609</v>
      </c>
    </row>
    <row r="992" spans="1:7" x14ac:dyDescent="0.2">
      <c r="A992" s="1" t="s">
        <v>6610</v>
      </c>
      <c r="B992" s="1" t="s">
        <v>6611</v>
      </c>
      <c r="C992" s="1" t="s">
        <v>6612</v>
      </c>
      <c r="D992" s="1" t="s">
        <v>6613</v>
      </c>
      <c r="E992" s="1" t="s">
        <v>6614</v>
      </c>
      <c r="F992" s="1" t="s">
        <v>6615</v>
      </c>
      <c r="G992" s="1" t="s">
        <v>6616</v>
      </c>
    </row>
    <row r="993" spans="1:7" x14ac:dyDescent="0.2">
      <c r="A993" s="1" t="s">
        <v>6617</v>
      </c>
      <c r="B993" s="1" t="s">
        <v>6618</v>
      </c>
      <c r="C993" s="1" t="s">
        <v>6619</v>
      </c>
      <c r="D993" s="1" t="s">
        <v>6620</v>
      </c>
      <c r="E993" s="1" t="s">
        <v>6621</v>
      </c>
      <c r="F993" s="1" t="s">
        <v>6622</v>
      </c>
      <c r="G993" s="1" t="s">
        <v>6623</v>
      </c>
    </row>
    <row r="994" spans="1:7" x14ac:dyDescent="0.2">
      <c r="A994" s="1" t="s">
        <v>6624</v>
      </c>
      <c r="B994" s="1" t="s">
        <v>6625</v>
      </c>
      <c r="C994" s="1" t="s">
        <v>6626</v>
      </c>
      <c r="D994" s="1" t="s">
        <v>6627</v>
      </c>
      <c r="E994" s="1" t="s">
        <v>6628</v>
      </c>
      <c r="F994" s="1" t="s">
        <v>6629</v>
      </c>
      <c r="G994" s="1" t="s">
        <v>6630</v>
      </c>
    </row>
    <row r="995" spans="1:7" x14ac:dyDescent="0.2">
      <c r="A995" s="1" t="s">
        <v>6631</v>
      </c>
      <c r="B995" s="1" t="s">
        <v>6632</v>
      </c>
      <c r="C995" s="1" t="s">
        <v>6633</v>
      </c>
      <c r="D995" s="1" t="s">
        <v>6634</v>
      </c>
      <c r="E995" s="1" t="s">
        <v>6635</v>
      </c>
      <c r="F995" s="1" t="s">
        <v>6636</v>
      </c>
      <c r="G995" s="1" t="s">
        <v>6637</v>
      </c>
    </row>
    <row r="996" spans="1:7" x14ac:dyDescent="0.2">
      <c r="A996" s="1" t="s">
        <v>6638</v>
      </c>
      <c r="B996" s="1" t="s">
        <v>6639</v>
      </c>
      <c r="C996" s="1" t="s">
        <v>6640</v>
      </c>
      <c r="D996" s="1" t="s">
        <v>6641</v>
      </c>
      <c r="E996" s="1" t="s">
        <v>6642</v>
      </c>
      <c r="F996" s="1" t="s">
        <v>6643</v>
      </c>
      <c r="G996" s="1" t="s">
        <v>6644</v>
      </c>
    </row>
    <row r="997" spans="1:7" x14ac:dyDescent="0.2">
      <c r="A997" s="1" t="s">
        <v>6645</v>
      </c>
      <c r="B997" s="1" t="s">
        <v>6646</v>
      </c>
      <c r="C997" s="1" t="s">
        <v>6647</v>
      </c>
      <c r="D997" s="1" t="s">
        <v>6648</v>
      </c>
      <c r="E997" s="1" t="s">
        <v>6649</v>
      </c>
      <c r="F997" s="1" t="s">
        <v>6650</v>
      </c>
      <c r="G997" s="1" t="s">
        <v>6651</v>
      </c>
    </row>
    <row r="998" spans="1:7" x14ac:dyDescent="0.2">
      <c r="A998" s="1" t="s">
        <v>6652</v>
      </c>
      <c r="B998" s="1" t="s">
        <v>6653</v>
      </c>
      <c r="C998" s="1" t="s">
        <v>6654</v>
      </c>
      <c r="D998" s="1" t="s">
        <v>6655</v>
      </c>
      <c r="E998" s="1" t="s">
        <v>6656</v>
      </c>
      <c r="F998" s="1" t="s">
        <v>6657</v>
      </c>
      <c r="G998" s="1" t="s">
        <v>6658</v>
      </c>
    </row>
    <row r="999" spans="1:7" x14ac:dyDescent="0.2">
      <c r="A999" s="1" t="s">
        <v>6659</v>
      </c>
      <c r="B999" s="1" t="s">
        <v>6660</v>
      </c>
      <c r="C999" s="1" t="s">
        <v>6661</v>
      </c>
      <c r="D999" s="1" t="s">
        <v>6662</v>
      </c>
      <c r="E999" s="1" t="s">
        <v>6663</v>
      </c>
      <c r="F999" s="1" t="s">
        <v>6664</v>
      </c>
      <c r="G999" s="1" t="s">
        <v>6665</v>
      </c>
    </row>
    <row r="1000" spans="1:7" x14ac:dyDescent="0.2">
      <c r="A1000" s="1" t="s">
        <v>6666</v>
      </c>
      <c r="B1000" s="1" t="s">
        <v>6667</v>
      </c>
      <c r="C1000" s="1" t="s">
        <v>6668</v>
      </c>
      <c r="D1000" s="1" t="s">
        <v>6669</v>
      </c>
      <c r="E1000" s="1" t="s">
        <v>6670</v>
      </c>
      <c r="F1000" s="1" t="s">
        <v>6671</v>
      </c>
      <c r="G1000" s="1" t="s">
        <v>6672</v>
      </c>
    </row>
    <row r="1001" spans="1:7" x14ac:dyDescent="0.2">
      <c r="A1001" s="1" t="s">
        <v>6673</v>
      </c>
      <c r="B1001" s="1" t="s">
        <v>6674</v>
      </c>
      <c r="C1001" s="1" t="s">
        <v>6675</v>
      </c>
      <c r="D1001" s="1" t="s">
        <v>6676</v>
      </c>
      <c r="E1001" s="1" t="s">
        <v>6677</v>
      </c>
      <c r="F1001" s="1" t="s">
        <v>6678</v>
      </c>
      <c r="G1001" s="1" t="s">
        <v>6679</v>
      </c>
    </row>
    <row r="1002" spans="1:7" x14ac:dyDescent="0.2">
      <c r="A1002" s="1" t="s">
        <v>6680</v>
      </c>
      <c r="B1002" s="1" t="s">
        <v>6681</v>
      </c>
      <c r="C1002" s="1" t="s">
        <v>6682</v>
      </c>
      <c r="D1002" s="1" t="s">
        <v>6683</v>
      </c>
      <c r="E1002" s="1" t="s">
        <v>6684</v>
      </c>
      <c r="F1002" s="1" t="s">
        <v>6685</v>
      </c>
      <c r="G1002" s="1" t="s">
        <v>6686</v>
      </c>
    </row>
    <row r="1003" spans="1:7" x14ac:dyDescent="0.2">
      <c r="A1003" s="1" t="s">
        <v>6687</v>
      </c>
      <c r="B1003" s="1" t="s">
        <v>6688</v>
      </c>
      <c r="C1003" s="1" t="s">
        <v>6689</v>
      </c>
      <c r="D1003" s="1" t="s">
        <v>6690</v>
      </c>
      <c r="E1003" s="1" t="s">
        <v>6691</v>
      </c>
      <c r="F1003" s="1" t="s">
        <v>6692</v>
      </c>
      <c r="G1003" s="1" t="s">
        <v>6693</v>
      </c>
    </row>
    <row r="1004" spans="1:7" x14ac:dyDescent="0.2">
      <c r="A1004" s="1" t="s">
        <v>6694</v>
      </c>
      <c r="B1004" s="1" t="s">
        <v>6695</v>
      </c>
      <c r="C1004" s="1" t="s">
        <v>6696</v>
      </c>
      <c r="D1004" s="1" t="s">
        <v>6697</v>
      </c>
      <c r="E1004" s="1" t="s">
        <v>6698</v>
      </c>
      <c r="F1004" s="1" t="s">
        <v>6699</v>
      </c>
      <c r="G1004" s="1" t="s">
        <v>6700</v>
      </c>
    </row>
    <row r="1005" spans="1:7" x14ac:dyDescent="0.2">
      <c r="A1005" s="1" t="s">
        <v>6701</v>
      </c>
      <c r="B1005" s="1" t="s">
        <v>6702</v>
      </c>
      <c r="C1005" s="1" t="s">
        <v>6703</v>
      </c>
      <c r="D1005" s="1" t="s">
        <v>6704</v>
      </c>
      <c r="E1005" s="1" t="s">
        <v>6705</v>
      </c>
      <c r="F1005" s="1" t="s">
        <v>6706</v>
      </c>
      <c r="G1005" s="1" t="s">
        <v>6707</v>
      </c>
    </row>
    <row r="1006" spans="1:7" x14ac:dyDescent="0.2">
      <c r="A1006" s="1" t="s">
        <v>6708</v>
      </c>
      <c r="B1006" s="1" t="s">
        <v>6709</v>
      </c>
      <c r="C1006" s="1" t="s">
        <v>6710</v>
      </c>
      <c r="D1006" s="1" t="s">
        <v>6711</v>
      </c>
      <c r="E1006" s="1" t="s">
        <v>6712</v>
      </c>
      <c r="F1006" s="1" t="s">
        <v>6713</v>
      </c>
      <c r="G1006" s="1" t="s">
        <v>6714</v>
      </c>
    </row>
    <row r="1007" spans="1:7" x14ac:dyDescent="0.2">
      <c r="A1007" s="1" t="s">
        <v>6715</v>
      </c>
      <c r="B1007" s="1" t="s">
        <v>6716</v>
      </c>
      <c r="C1007" s="1" t="s">
        <v>6717</v>
      </c>
      <c r="D1007" s="1" t="s">
        <v>6718</v>
      </c>
      <c r="E1007" s="1" t="s">
        <v>6719</v>
      </c>
      <c r="F1007" s="1" t="s">
        <v>6720</v>
      </c>
      <c r="G1007" s="1" t="s">
        <v>6721</v>
      </c>
    </row>
    <row r="1008" spans="1:7" x14ac:dyDescent="0.2">
      <c r="A1008" s="1" t="s">
        <v>6722</v>
      </c>
      <c r="B1008" s="1" t="s">
        <v>6723</v>
      </c>
      <c r="C1008" s="1" t="s">
        <v>6724</v>
      </c>
      <c r="D1008" s="1" t="s">
        <v>6725</v>
      </c>
      <c r="E1008" s="1" t="s">
        <v>6717</v>
      </c>
      <c r="F1008" s="1" t="s">
        <v>6726</v>
      </c>
      <c r="G1008" s="1" t="s">
        <v>6727</v>
      </c>
    </row>
    <row r="1009" spans="1:7" x14ac:dyDescent="0.2">
      <c r="A1009" s="1" t="s">
        <v>6728</v>
      </c>
      <c r="B1009" s="1" t="s">
        <v>6729</v>
      </c>
      <c r="C1009" s="1" t="s">
        <v>6730</v>
      </c>
      <c r="D1009" s="1" t="s">
        <v>6731</v>
      </c>
      <c r="E1009" s="1" t="s">
        <v>6732</v>
      </c>
      <c r="F1009" s="1" t="s">
        <v>6733</v>
      </c>
      <c r="G1009" s="1" t="s">
        <v>6734</v>
      </c>
    </row>
    <row r="1010" spans="1:7" x14ac:dyDescent="0.2">
      <c r="A1010" s="1" t="s">
        <v>6735</v>
      </c>
      <c r="B1010" s="1" t="s">
        <v>6736</v>
      </c>
      <c r="C1010" s="1" t="s">
        <v>6737</v>
      </c>
      <c r="D1010" s="1" t="s">
        <v>6738</v>
      </c>
      <c r="E1010" s="1" t="s">
        <v>6739</v>
      </c>
      <c r="F1010" s="1" t="s">
        <v>6740</v>
      </c>
      <c r="G1010" s="1" t="s">
        <v>6741</v>
      </c>
    </row>
    <row r="1011" spans="1:7" x14ac:dyDescent="0.2">
      <c r="A1011" s="1" t="s">
        <v>6742</v>
      </c>
      <c r="B1011" s="1" t="s">
        <v>6743</v>
      </c>
      <c r="C1011" s="1" t="s">
        <v>6744</v>
      </c>
      <c r="D1011" s="1" t="s">
        <v>6745</v>
      </c>
      <c r="E1011" s="1" t="s">
        <v>6746</v>
      </c>
      <c r="F1011" s="1" t="s">
        <v>6747</v>
      </c>
      <c r="G1011" s="1" t="s">
        <v>6748</v>
      </c>
    </row>
    <row r="1012" spans="1:7" x14ac:dyDescent="0.2">
      <c r="A1012" s="1" t="s">
        <v>6749</v>
      </c>
      <c r="B1012" s="1" t="s">
        <v>6750</v>
      </c>
      <c r="C1012" s="1" t="s">
        <v>6751</v>
      </c>
      <c r="D1012" s="1" t="s">
        <v>6752</v>
      </c>
      <c r="E1012" s="1" t="s">
        <v>6753</v>
      </c>
      <c r="F1012" s="1" t="s">
        <v>6754</v>
      </c>
      <c r="G1012" s="1" t="s">
        <v>6755</v>
      </c>
    </row>
    <row r="1013" spans="1:7" x14ac:dyDescent="0.2">
      <c r="A1013" s="1" t="s">
        <v>6756</v>
      </c>
      <c r="B1013" s="1" t="s">
        <v>6757</v>
      </c>
      <c r="C1013" s="1" t="s">
        <v>6758</v>
      </c>
      <c r="D1013" s="1" t="s">
        <v>6759</v>
      </c>
      <c r="E1013" s="1" t="s">
        <v>6760</v>
      </c>
      <c r="F1013" s="1" t="s">
        <v>6761</v>
      </c>
      <c r="G1013" s="1" t="s">
        <v>6762</v>
      </c>
    </row>
    <row r="1014" spans="1:7" x14ac:dyDescent="0.2">
      <c r="A1014" s="1" t="s">
        <v>6763</v>
      </c>
      <c r="B1014" s="1" t="s">
        <v>6764</v>
      </c>
      <c r="C1014" s="1" t="s">
        <v>6765</v>
      </c>
      <c r="D1014" s="1" t="s">
        <v>6520</v>
      </c>
      <c r="E1014" s="1" t="s">
        <v>6766</v>
      </c>
      <c r="F1014" s="1" t="s">
        <v>6767</v>
      </c>
      <c r="G1014" s="1" t="s">
        <v>6768</v>
      </c>
    </row>
    <row r="1015" spans="1:7" x14ac:dyDescent="0.2">
      <c r="A1015" s="1" t="s">
        <v>6769</v>
      </c>
      <c r="B1015" s="1" t="s">
        <v>6770</v>
      </c>
      <c r="C1015" s="1" t="s">
        <v>6771</v>
      </c>
      <c r="D1015" s="1" t="s">
        <v>6772</v>
      </c>
      <c r="E1015" s="1" t="s">
        <v>6773</v>
      </c>
      <c r="F1015" s="1" t="s">
        <v>6774</v>
      </c>
      <c r="G1015" s="1" t="s">
        <v>6775</v>
      </c>
    </row>
    <row r="1016" spans="1:7" x14ac:dyDescent="0.2">
      <c r="A1016" s="1" t="s">
        <v>6776</v>
      </c>
      <c r="B1016" s="1" t="s">
        <v>6777</v>
      </c>
      <c r="C1016" s="1" t="s">
        <v>6778</v>
      </c>
      <c r="D1016" s="1" t="s">
        <v>6779</v>
      </c>
      <c r="E1016" s="1" t="s">
        <v>6780</v>
      </c>
      <c r="F1016" s="1" t="s">
        <v>6781</v>
      </c>
      <c r="G1016" s="1" t="s">
        <v>6782</v>
      </c>
    </row>
    <row r="1017" spans="1:7" x14ac:dyDescent="0.2">
      <c r="A1017" s="1" t="s">
        <v>6783</v>
      </c>
      <c r="B1017" s="1" t="s">
        <v>6784</v>
      </c>
      <c r="C1017" s="1" t="s">
        <v>6785</v>
      </c>
      <c r="D1017" s="1" t="s">
        <v>6786</v>
      </c>
      <c r="E1017" s="1" t="s">
        <v>6787</v>
      </c>
      <c r="F1017" s="1" t="s">
        <v>6788</v>
      </c>
      <c r="G1017" s="1" t="s">
        <v>6789</v>
      </c>
    </row>
    <row r="1018" spans="1:7" x14ac:dyDescent="0.2">
      <c r="A1018" s="1" t="s">
        <v>6790</v>
      </c>
      <c r="B1018" s="1" t="s">
        <v>6791</v>
      </c>
      <c r="C1018" s="1" t="s">
        <v>6792</v>
      </c>
      <c r="D1018" s="1" t="s">
        <v>6793</v>
      </c>
      <c r="E1018" s="1" t="s">
        <v>6794</v>
      </c>
      <c r="F1018" s="1" t="s">
        <v>6795</v>
      </c>
      <c r="G1018" s="1" t="s">
        <v>6796</v>
      </c>
    </row>
    <row r="1019" spans="1:7" x14ac:dyDescent="0.2">
      <c r="A1019" s="1" t="s">
        <v>6797</v>
      </c>
      <c r="B1019" s="1" t="s">
        <v>6798</v>
      </c>
      <c r="C1019" s="1" t="s">
        <v>6799</v>
      </c>
      <c r="D1019" s="1" t="s">
        <v>6800</v>
      </c>
      <c r="E1019" s="1" t="s">
        <v>6801</v>
      </c>
      <c r="F1019" s="1" t="s">
        <v>6802</v>
      </c>
      <c r="G1019" s="1" t="s">
        <v>6803</v>
      </c>
    </row>
    <row r="1020" spans="1:7" x14ac:dyDescent="0.2">
      <c r="A1020" s="1" t="s">
        <v>6804</v>
      </c>
      <c r="B1020" s="1" t="s">
        <v>6805</v>
      </c>
      <c r="C1020" s="1" t="s">
        <v>6806</v>
      </c>
      <c r="D1020" s="1" t="s">
        <v>6807</v>
      </c>
      <c r="E1020" s="1" t="s">
        <v>6808</v>
      </c>
      <c r="F1020" s="1" t="s">
        <v>6809</v>
      </c>
      <c r="G1020" s="1" t="s">
        <v>6810</v>
      </c>
    </row>
    <row r="1021" spans="1:7" x14ac:dyDescent="0.2">
      <c r="A1021" s="1" t="s">
        <v>6811</v>
      </c>
      <c r="B1021" s="1" t="s">
        <v>6812</v>
      </c>
      <c r="C1021" s="1" t="s">
        <v>6813</v>
      </c>
      <c r="D1021" s="1" t="s">
        <v>6814</v>
      </c>
      <c r="E1021" s="1" t="s">
        <v>6815</v>
      </c>
      <c r="F1021" s="1" t="s">
        <v>6816</v>
      </c>
      <c r="G1021" s="1" t="s">
        <v>6817</v>
      </c>
    </row>
    <row r="1022" spans="1:7" x14ac:dyDescent="0.2">
      <c r="A1022" s="1" t="s">
        <v>6818</v>
      </c>
      <c r="B1022" s="1" t="s">
        <v>6819</v>
      </c>
      <c r="C1022" s="1" t="s">
        <v>6820</v>
      </c>
      <c r="D1022" s="1" t="s">
        <v>6821</v>
      </c>
      <c r="E1022" s="1" t="s">
        <v>6822</v>
      </c>
      <c r="F1022" s="1" t="s">
        <v>6823</v>
      </c>
      <c r="G1022" s="1" t="s">
        <v>6824</v>
      </c>
    </row>
    <row r="1023" spans="1:7" x14ac:dyDescent="0.2">
      <c r="A1023" s="1" t="s">
        <v>6825</v>
      </c>
      <c r="B1023" s="1" t="s">
        <v>6826</v>
      </c>
      <c r="C1023" s="1" t="s">
        <v>6827</v>
      </c>
      <c r="D1023" s="1" t="s">
        <v>6828</v>
      </c>
      <c r="E1023" s="1" t="s">
        <v>6829</v>
      </c>
      <c r="F1023" s="1" t="s">
        <v>6830</v>
      </c>
      <c r="G1023" s="1" t="s">
        <v>6831</v>
      </c>
    </row>
    <row r="1024" spans="1:7" x14ac:dyDescent="0.2">
      <c r="A1024" s="1" t="s">
        <v>6832</v>
      </c>
      <c r="B1024" s="1" t="s">
        <v>6833</v>
      </c>
      <c r="C1024" s="1" t="s">
        <v>6834</v>
      </c>
      <c r="D1024" s="1" t="s">
        <v>6835</v>
      </c>
      <c r="E1024" s="1" t="s">
        <v>6836</v>
      </c>
      <c r="F1024" s="1" t="s">
        <v>6837</v>
      </c>
      <c r="G1024" s="1" t="s">
        <v>6838</v>
      </c>
    </row>
    <row r="1025" spans="1:7" x14ac:dyDescent="0.2">
      <c r="A1025" s="1" t="s">
        <v>6839</v>
      </c>
      <c r="B1025" s="1" t="s">
        <v>6840</v>
      </c>
      <c r="C1025" s="1" t="s">
        <v>6841</v>
      </c>
      <c r="D1025" s="1" t="s">
        <v>6842</v>
      </c>
      <c r="E1025" s="1" t="s">
        <v>6843</v>
      </c>
      <c r="F1025" s="1" t="s">
        <v>6844</v>
      </c>
      <c r="G1025" s="1" t="s">
        <v>6845</v>
      </c>
    </row>
    <row r="1026" spans="1:7" x14ac:dyDescent="0.2">
      <c r="A1026" s="1" t="s">
        <v>6846</v>
      </c>
      <c r="B1026" s="1" t="s">
        <v>6847</v>
      </c>
      <c r="C1026" s="1" t="s">
        <v>6848</v>
      </c>
      <c r="D1026" s="1" t="s">
        <v>6849</v>
      </c>
      <c r="E1026" s="1" t="s">
        <v>6850</v>
      </c>
      <c r="F1026" s="1" t="s">
        <v>6851</v>
      </c>
      <c r="G1026" s="1" t="s">
        <v>6852</v>
      </c>
    </row>
    <row r="1027" spans="1:7" x14ac:dyDescent="0.2">
      <c r="A1027" s="1" t="s">
        <v>6853</v>
      </c>
      <c r="B1027" s="1" t="s">
        <v>6854</v>
      </c>
      <c r="C1027" s="1" t="s">
        <v>6855</v>
      </c>
      <c r="D1027" s="1" t="s">
        <v>6856</v>
      </c>
      <c r="E1027" s="1" t="s">
        <v>6857</v>
      </c>
      <c r="F1027" s="1" t="s">
        <v>6858</v>
      </c>
      <c r="G1027" s="1" t="s">
        <v>6859</v>
      </c>
    </row>
    <row r="1028" spans="1:7" x14ac:dyDescent="0.2">
      <c r="A1028" s="1" t="s">
        <v>6860</v>
      </c>
      <c r="B1028" s="1" t="s">
        <v>6861</v>
      </c>
      <c r="C1028" s="1" t="s">
        <v>6862</v>
      </c>
      <c r="D1028" s="1" t="s">
        <v>6863</v>
      </c>
      <c r="E1028" s="1" t="s">
        <v>6864</v>
      </c>
      <c r="F1028" s="1" t="s">
        <v>6865</v>
      </c>
      <c r="G1028" s="1" t="s">
        <v>6866</v>
      </c>
    </row>
    <row r="1029" spans="1:7" x14ac:dyDescent="0.2">
      <c r="A1029" s="1" t="s">
        <v>6867</v>
      </c>
      <c r="B1029" s="1" t="s">
        <v>6868</v>
      </c>
      <c r="C1029" s="1" t="s">
        <v>6869</v>
      </c>
      <c r="D1029" s="1" t="s">
        <v>6870</v>
      </c>
      <c r="E1029" s="1" t="s">
        <v>6249</v>
      </c>
      <c r="F1029" s="1" t="s">
        <v>6871</v>
      </c>
      <c r="G1029" s="1" t="s">
        <v>6872</v>
      </c>
    </row>
    <row r="1030" spans="1:7" x14ac:dyDescent="0.2">
      <c r="A1030" s="1" t="s">
        <v>6873</v>
      </c>
      <c r="B1030" s="1" t="s">
        <v>6874</v>
      </c>
      <c r="C1030" s="1" t="s">
        <v>6875</v>
      </c>
      <c r="D1030" s="1" t="s">
        <v>6876</v>
      </c>
      <c r="E1030" s="1" t="s">
        <v>6877</v>
      </c>
      <c r="F1030" s="1" t="s">
        <v>6878</v>
      </c>
      <c r="G1030" s="1" t="s">
        <v>6879</v>
      </c>
    </row>
    <row r="1031" spans="1:7" x14ac:dyDescent="0.2">
      <c r="A1031" s="1" t="s">
        <v>6880</v>
      </c>
      <c r="B1031" s="1" t="s">
        <v>6881</v>
      </c>
      <c r="C1031" s="1" t="s">
        <v>6882</v>
      </c>
      <c r="D1031" s="1" t="s">
        <v>6883</v>
      </c>
      <c r="E1031" s="1" t="s">
        <v>6884</v>
      </c>
      <c r="F1031" s="1" t="s">
        <v>6885</v>
      </c>
      <c r="G1031" s="1" t="s">
        <v>6886</v>
      </c>
    </row>
    <row r="1032" spans="1:7" x14ac:dyDescent="0.2">
      <c r="A1032" s="1" t="s">
        <v>6887</v>
      </c>
      <c r="B1032" s="1" t="s">
        <v>6888</v>
      </c>
      <c r="C1032" s="1" t="s">
        <v>6889</v>
      </c>
      <c r="D1032" s="1" t="s">
        <v>6890</v>
      </c>
      <c r="E1032" s="1" t="s">
        <v>6891</v>
      </c>
      <c r="F1032" s="1" t="s">
        <v>6892</v>
      </c>
      <c r="G1032" s="1" t="s">
        <v>6893</v>
      </c>
    </row>
    <row r="1033" spans="1:7" x14ac:dyDescent="0.2">
      <c r="A1033" s="1" t="s">
        <v>6894</v>
      </c>
      <c r="B1033" s="1" t="s">
        <v>6895</v>
      </c>
      <c r="C1033" s="1" t="s">
        <v>6896</v>
      </c>
      <c r="D1033" s="1" t="s">
        <v>6897</v>
      </c>
      <c r="E1033" s="1" t="s">
        <v>6898</v>
      </c>
      <c r="F1033" s="1" t="s">
        <v>6899</v>
      </c>
      <c r="G1033" s="1" t="s">
        <v>6900</v>
      </c>
    </row>
    <row r="1034" spans="1:7" x14ac:dyDescent="0.2">
      <c r="A1034" s="1" t="s">
        <v>6901</v>
      </c>
      <c r="B1034" s="1" t="s">
        <v>6902</v>
      </c>
      <c r="C1034" s="1" t="s">
        <v>6903</v>
      </c>
      <c r="D1034" s="1" t="s">
        <v>6904</v>
      </c>
      <c r="E1034" s="1" t="s">
        <v>6905</v>
      </c>
      <c r="F1034" s="1" t="s">
        <v>6906</v>
      </c>
      <c r="G1034" s="1" t="s">
        <v>6907</v>
      </c>
    </row>
    <row r="1035" spans="1:7" x14ac:dyDescent="0.2">
      <c r="A1035" s="1" t="s">
        <v>6908</v>
      </c>
      <c r="B1035" s="1" t="s">
        <v>6909</v>
      </c>
      <c r="C1035" s="1" t="s">
        <v>6910</v>
      </c>
      <c r="D1035" s="1" t="s">
        <v>6911</v>
      </c>
      <c r="E1035" s="1" t="s">
        <v>6912</v>
      </c>
      <c r="F1035" s="1" t="s">
        <v>6913</v>
      </c>
      <c r="G1035" s="1" t="s">
        <v>6914</v>
      </c>
    </row>
    <row r="1036" spans="1:7" x14ac:dyDescent="0.2">
      <c r="A1036" s="1" t="s">
        <v>6915</v>
      </c>
      <c r="B1036" s="1" t="s">
        <v>6916</v>
      </c>
      <c r="C1036" s="1" t="s">
        <v>6917</v>
      </c>
      <c r="D1036" s="1" t="s">
        <v>6918</v>
      </c>
      <c r="E1036" s="1" t="s">
        <v>6919</v>
      </c>
      <c r="F1036" s="1" t="s">
        <v>6920</v>
      </c>
      <c r="G1036" s="1" t="s">
        <v>6921</v>
      </c>
    </row>
    <row r="1037" spans="1:7" x14ac:dyDescent="0.2">
      <c r="A1037" s="1" t="s">
        <v>6922</v>
      </c>
      <c r="B1037" s="1" t="s">
        <v>6923</v>
      </c>
      <c r="C1037" s="1" t="s">
        <v>6924</v>
      </c>
      <c r="D1037" s="1" t="s">
        <v>6925</v>
      </c>
      <c r="E1037" s="1" t="s">
        <v>6926</v>
      </c>
      <c r="F1037" s="1" t="s">
        <v>6927</v>
      </c>
      <c r="G1037" s="1" t="s">
        <v>6928</v>
      </c>
    </row>
    <row r="1038" spans="1:7" x14ac:dyDescent="0.2">
      <c r="A1038" s="1" t="s">
        <v>6929</v>
      </c>
      <c r="B1038" s="1" t="s">
        <v>6930</v>
      </c>
      <c r="C1038" s="1" t="s">
        <v>6931</v>
      </c>
      <c r="D1038" s="1" t="s">
        <v>6932</v>
      </c>
      <c r="E1038" s="1" t="s">
        <v>6933</v>
      </c>
      <c r="F1038" s="1" t="s">
        <v>6934</v>
      </c>
      <c r="G1038" s="1" t="s">
        <v>6935</v>
      </c>
    </row>
    <row r="1039" spans="1:7" x14ac:dyDescent="0.2">
      <c r="A1039" s="1" t="s">
        <v>6936</v>
      </c>
      <c r="B1039" s="1" t="s">
        <v>6937</v>
      </c>
      <c r="C1039" s="1" t="s">
        <v>6938</v>
      </c>
      <c r="D1039" s="1" t="s">
        <v>6939</v>
      </c>
      <c r="E1039" s="1" t="s">
        <v>6940</v>
      </c>
      <c r="F1039" s="1" t="s">
        <v>6941</v>
      </c>
      <c r="G1039" s="1" t="s">
        <v>6942</v>
      </c>
    </row>
    <row r="1040" spans="1:7" x14ac:dyDescent="0.2">
      <c r="A1040" s="1" t="s">
        <v>6943</v>
      </c>
      <c r="B1040" s="1" t="s">
        <v>6944</v>
      </c>
      <c r="C1040" s="1" t="s">
        <v>6945</v>
      </c>
      <c r="D1040" s="1" t="s">
        <v>6946</v>
      </c>
      <c r="E1040" s="1" t="s">
        <v>6947</v>
      </c>
      <c r="F1040" s="1" t="s">
        <v>6948</v>
      </c>
      <c r="G1040" s="1" t="s">
        <v>6949</v>
      </c>
    </row>
    <row r="1041" spans="1:7" x14ac:dyDescent="0.2">
      <c r="A1041" s="1" t="s">
        <v>6950</v>
      </c>
      <c r="B1041" s="1" t="s">
        <v>6951</v>
      </c>
      <c r="C1041" s="1" t="s">
        <v>6952</v>
      </c>
      <c r="D1041" s="1" t="s">
        <v>6953</v>
      </c>
      <c r="E1041" s="1" t="s">
        <v>6954</v>
      </c>
      <c r="F1041" s="1" t="s">
        <v>6955</v>
      </c>
      <c r="G1041" s="1" t="s">
        <v>6956</v>
      </c>
    </row>
    <row r="1042" spans="1:7" x14ac:dyDescent="0.2">
      <c r="A1042" s="1" t="s">
        <v>6957</v>
      </c>
      <c r="B1042" s="1" t="s">
        <v>6958</v>
      </c>
      <c r="C1042" s="1" t="s">
        <v>6959</v>
      </c>
      <c r="D1042" s="1" t="s">
        <v>6960</v>
      </c>
      <c r="E1042" s="1" t="s">
        <v>6961</v>
      </c>
      <c r="F1042" s="1" t="s">
        <v>6962</v>
      </c>
      <c r="G1042" s="1" t="s">
        <v>6963</v>
      </c>
    </row>
    <row r="1043" spans="1:7" x14ac:dyDescent="0.2">
      <c r="A1043" s="1" t="s">
        <v>6964</v>
      </c>
      <c r="B1043" s="1" t="s">
        <v>6965</v>
      </c>
      <c r="C1043" s="1" t="s">
        <v>6966</v>
      </c>
      <c r="D1043" s="1" t="s">
        <v>6967</v>
      </c>
      <c r="E1043" s="1" t="s">
        <v>6968</v>
      </c>
      <c r="F1043" s="1" t="s">
        <v>6969</v>
      </c>
      <c r="G1043" s="1" t="s">
        <v>6970</v>
      </c>
    </row>
    <row r="1044" spans="1:7" x14ac:dyDescent="0.2">
      <c r="A1044" s="1" t="s">
        <v>6971</v>
      </c>
      <c r="B1044" s="1" t="s">
        <v>6972</v>
      </c>
      <c r="C1044" s="1" t="s">
        <v>6973</v>
      </c>
      <c r="D1044" s="1" t="s">
        <v>6974</v>
      </c>
      <c r="E1044" s="1" t="s">
        <v>6975</v>
      </c>
      <c r="F1044" s="1" t="s">
        <v>6976</v>
      </c>
      <c r="G1044" s="1" t="s">
        <v>6977</v>
      </c>
    </row>
    <row r="1045" spans="1:7" x14ac:dyDescent="0.2">
      <c r="A1045" s="1" t="s">
        <v>6978</v>
      </c>
      <c r="B1045" s="1" t="s">
        <v>6979</v>
      </c>
      <c r="C1045" s="1" t="s">
        <v>6980</v>
      </c>
      <c r="D1045" s="1" t="s">
        <v>6981</v>
      </c>
      <c r="E1045" s="1" t="s">
        <v>6982</v>
      </c>
      <c r="F1045" s="1" t="s">
        <v>6983</v>
      </c>
      <c r="G1045" s="1" t="s">
        <v>6984</v>
      </c>
    </row>
    <row r="1046" spans="1:7" x14ac:dyDescent="0.2">
      <c r="A1046" s="1" t="s">
        <v>6985</v>
      </c>
      <c r="B1046" s="1" t="s">
        <v>6986</v>
      </c>
      <c r="C1046" s="1" t="s">
        <v>6987</v>
      </c>
      <c r="D1046" s="1" t="s">
        <v>6988</v>
      </c>
      <c r="E1046" s="1" t="s">
        <v>6989</v>
      </c>
      <c r="F1046" s="1" t="s">
        <v>6990</v>
      </c>
      <c r="G1046" s="1" t="s">
        <v>6991</v>
      </c>
    </row>
    <row r="1047" spans="1:7" x14ac:dyDescent="0.2">
      <c r="A1047" s="1" t="s">
        <v>6992</v>
      </c>
      <c r="B1047" s="1" t="s">
        <v>6993</v>
      </c>
      <c r="C1047" s="1" t="s">
        <v>6994</v>
      </c>
      <c r="D1047" s="1" t="s">
        <v>6995</v>
      </c>
      <c r="E1047" s="1" t="s">
        <v>6996</v>
      </c>
      <c r="F1047" s="1" t="s">
        <v>6997</v>
      </c>
      <c r="G1047" s="1" t="s">
        <v>6998</v>
      </c>
    </row>
    <row r="1048" spans="1:7" x14ac:dyDescent="0.2">
      <c r="A1048" s="1" t="s">
        <v>6999</v>
      </c>
      <c r="B1048" s="1" t="s">
        <v>7000</v>
      </c>
      <c r="C1048" s="1" t="s">
        <v>7001</v>
      </c>
      <c r="D1048" s="1" t="s">
        <v>7002</v>
      </c>
      <c r="E1048" s="1" t="s">
        <v>7003</v>
      </c>
      <c r="F1048" s="1" t="s">
        <v>7004</v>
      </c>
      <c r="G1048" s="1" t="s">
        <v>7005</v>
      </c>
    </row>
    <row r="1049" spans="1:7" x14ac:dyDescent="0.2">
      <c r="A1049" s="1" t="s">
        <v>7006</v>
      </c>
      <c r="B1049" s="1" t="s">
        <v>7007</v>
      </c>
      <c r="C1049" s="1" t="s">
        <v>7008</v>
      </c>
      <c r="D1049" s="1" t="s">
        <v>7009</v>
      </c>
      <c r="E1049" s="1" t="s">
        <v>7010</v>
      </c>
      <c r="F1049" s="1" t="s">
        <v>7011</v>
      </c>
      <c r="G1049" s="1" t="s">
        <v>7012</v>
      </c>
    </row>
    <row r="1050" spans="1:7" x14ac:dyDescent="0.2">
      <c r="A1050" s="1" t="s">
        <v>7013</v>
      </c>
      <c r="B1050" s="1" t="s">
        <v>7014</v>
      </c>
      <c r="C1050" s="1" t="s">
        <v>7015</v>
      </c>
      <c r="D1050" s="1" t="s">
        <v>7016</v>
      </c>
      <c r="E1050" s="1" t="s">
        <v>7017</v>
      </c>
      <c r="F1050" s="1" t="s">
        <v>7018</v>
      </c>
      <c r="G1050" s="1" t="s">
        <v>7019</v>
      </c>
    </row>
    <row r="1051" spans="1:7" x14ac:dyDescent="0.2">
      <c r="A1051" s="1" t="s">
        <v>7020</v>
      </c>
      <c r="B1051" s="1" t="s">
        <v>7021</v>
      </c>
      <c r="C1051" s="1" t="s">
        <v>7022</v>
      </c>
      <c r="D1051" s="1" t="s">
        <v>7023</v>
      </c>
      <c r="E1051" s="1" t="s">
        <v>7024</v>
      </c>
      <c r="F1051" s="1" t="s">
        <v>7025</v>
      </c>
      <c r="G1051" s="1" t="s">
        <v>7026</v>
      </c>
    </row>
    <row r="1052" spans="1:7" x14ac:dyDescent="0.2">
      <c r="A1052" s="1" t="s">
        <v>7027</v>
      </c>
      <c r="B1052" s="1" t="s">
        <v>7028</v>
      </c>
      <c r="C1052" s="1" t="s">
        <v>7029</v>
      </c>
      <c r="D1052" s="1" t="s">
        <v>7030</v>
      </c>
      <c r="E1052" s="1" t="s">
        <v>7031</v>
      </c>
      <c r="F1052" s="1" t="s">
        <v>7032</v>
      </c>
      <c r="G1052" s="1" t="s">
        <v>7033</v>
      </c>
    </row>
    <row r="1053" spans="1:7" x14ac:dyDescent="0.2">
      <c r="A1053" s="1" t="s">
        <v>7034</v>
      </c>
      <c r="B1053" s="1" t="s">
        <v>7035</v>
      </c>
      <c r="C1053" s="1" t="s">
        <v>7036</v>
      </c>
      <c r="D1053" s="1" t="s">
        <v>7037</v>
      </c>
      <c r="E1053" s="1" t="s">
        <v>7038</v>
      </c>
      <c r="F1053" s="1" t="s">
        <v>7039</v>
      </c>
      <c r="G1053" s="1" t="s">
        <v>7040</v>
      </c>
    </row>
    <row r="1054" spans="1:7" x14ac:dyDescent="0.2">
      <c r="A1054" s="1" t="s">
        <v>7041</v>
      </c>
      <c r="B1054" s="1" t="s">
        <v>7042</v>
      </c>
      <c r="C1054" s="1" t="s">
        <v>7043</v>
      </c>
      <c r="D1054" s="1" t="s">
        <v>7044</v>
      </c>
      <c r="E1054" s="1" t="s">
        <v>7045</v>
      </c>
      <c r="F1054" s="1" t="s">
        <v>7046</v>
      </c>
      <c r="G1054" s="1" t="s">
        <v>7047</v>
      </c>
    </row>
    <row r="1055" spans="1:7" x14ac:dyDescent="0.2">
      <c r="A1055" s="1" t="s">
        <v>7048</v>
      </c>
      <c r="B1055" s="1" t="s">
        <v>7049</v>
      </c>
      <c r="C1055" s="1" t="s">
        <v>7050</v>
      </c>
      <c r="D1055" s="1" t="s">
        <v>7051</v>
      </c>
      <c r="E1055" s="1" t="s">
        <v>6273</v>
      </c>
      <c r="F1055" s="1" t="s">
        <v>7052</v>
      </c>
      <c r="G1055" s="1" t="s">
        <v>7053</v>
      </c>
    </row>
    <row r="1056" spans="1:7" x14ac:dyDescent="0.2">
      <c r="A1056" s="1" t="s">
        <v>7054</v>
      </c>
      <c r="B1056" s="1" t="s">
        <v>7055</v>
      </c>
      <c r="C1056" s="1" t="s">
        <v>7056</v>
      </c>
      <c r="D1056" s="1" t="s">
        <v>7057</v>
      </c>
      <c r="E1056" s="1" t="s">
        <v>7058</v>
      </c>
      <c r="F1056" s="1" t="s">
        <v>7059</v>
      </c>
      <c r="G1056" s="1" t="s">
        <v>7060</v>
      </c>
    </row>
    <row r="1057" spans="1:7" x14ac:dyDescent="0.2">
      <c r="A1057" s="1" t="s">
        <v>7061</v>
      </c>
      <c r="B1057" s="1" t="s">
        <v>7062</v>
      </c>
      <c r="C1057" s="1" t="s">
        <v>7063</v>
      </c>
      <c r="D1057" s="1" t="s">
        <v>7064</v>
      </c>
      <c r="E1057" s="1" t="s">
        <v>7065</v>
      </c>
      <c r="F1057" s="1" t="s">
        <v>7066</v>
      </c>
      <c r="G1057" s="1" t="s">
        <v>7067</v>
      </c>
    </row>
    <row r="1058" spans="1:7" x14ac:dyDescent="0.2">
      <c r="A1058" s="1" t="s">
        <v>7068</v>
      </c>
      <c r="B1058" s="1" t="s">
        <v>7069</v>
      </c>
      <c r="C1058" s="1" t="s">
        <v>7070</v>
      </c>
      <c r="D1058" s="1" t="s">
        <v>7071</v>
      </c>
      <c r="E1058" s="1" t="s">
        <v>7072</v>
      </c>
      <c r="F1058" s="1" t="s">
        <v>7001</v>
      </c>
      <c r="G1058" s="1" t="s">
        <v>7073</v>
      </c>
    </row>
    <row r="1059" spans="1:7" x14ac:dyDescent="0.2">
      <c r="A1059" s="1" t="s">
        <v>7074</v>
      </c>
      <c r="B1059" s="1" t="s">
        <v>7075</v>
      </c>
      <c r="C1059" s="1" t="s">
        <v>7076</v>
      </c>
      <c r="D1059" s="1" t="s">
        <v>7077</v>
      </c>
      <c r="E1059" s="1" t="s">
        <v>7078</v>
      </c>
      <c r="F1059" s="1" t="s">
        <v>7079</v>
      </c>
      <c r="G1059" s="1" t="s">
        <v>7080</v>
      </c>
    </row>
    <row r="1060" spans="1:7" x14ac:dyDescent="0.2">
      <c r="A1060" s="1" t="s">
        <v>7081</v>
      </c>
      <c r="B1060" s="1" t="s">
        <v>7082</v>
      </c>
      <c r="C1060" s="1" t="s">
        <v>7083</v>
      </c>
      <c r="D1060" s="1" t="s">
        <v>7084</v>
      </c>
      <c r="E1060" s="1" t="s">
        <v>7085</v>
      </c>
      <c r="F1060" s="1" t="s">
        <v>7086</v>
      </c>
      <c r="G1060" s="1" t="s">
        <v>7087</v>
      </c>
    </row>
    <row r="1061" spans="1:7" x14ac:dyDescent="0.2">
      <c r="A1061" s="1" t="s">
        <v>7088</v>
      </c>
      <c r="B1061" s="1" t="s">
        <v>7089</v>
      </c>
      <c r="C1061" s="1" t="s">
        <v>7058</v>
      </c>
      <c r="D1061" s="1" t="s">
        <v>7090</v>
      </c>
      <c r="E1061" s="1" t="s">
        <v>7091</v>
      </c>
      <c r="F1061" s="1" t="s">
        <v>7092</v>
      </c>
      <c r="G1061" s="1" t="s">
        <v>7093</v>
      </c>
    </row>
    <row r="1062" spans="1:7" x14ac:dyDescent="0.2">
      <c r="A1062" s="1" t="s">
        <v>7094</v>
      </c>
      <c r="B1062" s="1" t="s">
        <v>7095</v>
      </c>
      <c r="C1062" s="1" t="s">
        <v>6429</v>
      </c>
      <c r="D1062" s="1" t="s">
        <v>7096</v>
      </c>
      <c r="E1062" s="1" t="s">
        <v>6343</v>
      </c>
      <c r="F1062" s="1" t="s">
        <v>7097</v>
      </c>
      <c r="G1062" s="1" t="s">
        <v>7098</v>
      </c>
    </row>
    <row r="1063" spans="1:7" x14ac:dyDescent="0.2">
      <c r="A1063" s="1" t="s">
        <v>7099</v>
      </c>
      <c r="B1063" s="1" t="s">
        <v>7100</v>
      </c>
      <c r="C1063" s="1" t="s">
        <v>7101</v>
      </c>
      <c r="D1063" s="1" t="s">
        <v>7102</v>
      </c>
      <c r="E1063" s="1" t="s">
        <v>7103</v>
      </c>
      <c r="F1063" s="1" t="s">
        <v>7104</v>
      </c>
      <c r="G1063" s="1" t="s">
        <v>7105</v>
      </c>
    </row>
    <row r="1064" spans="1:7" x14ac:dyDescent="0.2">
      <c r="A1064" s="1" t="s">
        <v>7106</v>
      </c>
      <c r="B1064" s="1" t="s">
        <v>7107</v>
      </c>
      <c r="C1064" s="1" t="s">
        <v>7108</v>
      </c>
      <c r="D1064" s="1" t="s">
        <v>7109</v>
      </c>
      <c r="E1064" s="1" t="s">
        <v>7110</v>
      </c>
      <c r="F1064" s="1" t="s">
        <v>7111</v>
      </c>
      <c r="G1064" s="1" t="s">
        <v>7112</v>
      </c>
    </row>
    <row r="1065" spans="1:7" x14ac:dyDescent="0.2">
      <c r="A1065" s="1" t="s">
        <v>7113</v>
      </c>
      <c r="B1065" s="1" t="s">
        <v>7114</v>
      </c>
      <c r="C1065" s="1" t="s">
        <v>7115</v>
      </c>
      <c r="D1065" s="1" t="s">
        <v>7116</v>
      </c>
      <c r="E1065" s="1" t="s">
        <v>7117</v>
      </c>
      <c r="F1065" s="1" t="s">
        <v>7118</v>
      </c>
      <c r="G1065" s="1" t="s">
        <v>7119</v>
      </c>
    </row>
    <row r="1066" spans="1:7" x14ac:dyDescent="0.2">
      <c r="A1066" s="1" t="s">
        <v>7120</v>
      </c>
      <c r="B1066" s="1" t="s">
        <v>7121</v>
      </c>
      <c r="C1066" s="1" t="s">
        <v>7122</v>
      </c>
      <c r="D1066" s="1" t="s">
        <v>7123</v>
      </c>
      <c r="E1066" s="1" t="s">
        <v>7124</v>
      </c>
      <c r="F1066" s="1" t="s">
        <v>7125</v>
      </c>
      <c r="G1066" s="1" t="s">
        <v>7126</v>
      </c>
    </row>
    <row r="1067" spans="1:7" x14ac:dyDescent="0.2">
      <c r="A1067" s="1" t="s">
        <v>7127</v>
      </c>
      <c r="B1067" s="1" t="s">
        <v>7128</v>
      </c>
      <c r="C1067" s="1" t="s">
        <v>7129</v>
      </c>
      <c r="D1067" s="1" t="s">
        <v>7130</v>
      </c>
      <c r="E1067" s="1" t="s">
        <v>7131</v>
      </c>
      <c r="F1067" s="1" t="s">
        <v>7132</v>
      </c>
      <c r="G1067" s="1" t="s">
        <v>7133</v>
      </c>
    </row>
    <row r="1068" spans="1:7" x14ac:dyDescent="0.2">
      <c r="A1068" s="1" t="s">
        <v>7134</v>
      </c>
      <c r="B1068" s="1" t="s">
        <v>7135</v>
      </c>
      <c r="C1068" s="1" t="s">
        <v>7136</v>
      </c>
      <c r="D1068" s="1" t="s">
        <v>7137</v>
      </c>
      <c r="E1068" s="1" t="s">
        <v>7138</v>
      </c>
      <c r="F1068" s="1" t="s">
        <v>7139</v>
      </c>
      <c r="G1068" s="1" t="s">
        <v>7140</v>
      </c>
    </row>
    <row r="1069" spans="1:7" x14ac:dyDescent="0.2">
      <c r="A1069" s="1" t="s">
        <v>7141</v>
      </c>
      <c r="B1069" s="1" t="s">
        <v>7142</v>
      </c>
      <c r="C1069" s="1" t="s">
        <v>7143</v>
      </c>
      <c r="D1069" s="1" t="s">
        <v>7144</v>
      </c>
      <c r="E1069" s="1" t="s">
        <v>7145</v>
      </c>
      <c r="F1069" s="1" t="s">
        <v>7146</v>
      </c>
      <c r="G1069" s="1" t="s">
        <v>7147</v>
      </c>
    </row>
    <row r="1070" spans="1:7" x14ac:dyDescent="0.2">
      <c r="A1070" s="1" t="s">
        <v>7148</v>
      </c>
      <c r="B1070" s="1" t="s">
        <v>7149</v>
      </c>
      <c r="C1070" s="1" t="s">
        <v>7150</v>
      </c>
      <c r="D1070" s="1" t="s">
        <v>7151</v>
      </c>
      <c r="E1070" s="1" t="s">
        <v>7152</v>
      </c>
      <c r="F1070" s="1" t="s">
        <v>7153</v>
      </c>
      <c r="G1070" s="1" t="s">
        <v>7154</v>
      </c>
    </row>
    <row r="1071" spans="1:7" x14ac:dyDescent="0.2">
      <c r="A1071" s="1" t="s">
        <v>7155</v>
      </c>
      <c r="B1071" s="1" t="s">
        <v>7156</v>
      </c>
      <c r="C1071" s="1" t="s">
        <v>7157</v>
      </c>
      <c r="D1071" s="1" t="s">
        <v>7158</v>
      </c>
      <c r="E1071" s="1" t="s">
        <v>7159</v>
      </c>
      <c r="F1071" s="1" t="s">
        <v>7160</v>
      </c>
      <c r="G1071" s="1" t="s">
        <v>7161</v>
      </c>
    </row>
    <row r="1072" spans="1:7" x14ac:dyDescent="0.2">
      <c r="A1072" s="1" t="s">
        <v>7162</v>
      </c>
      <c r="B1072" s="1" t="s">
        <v>7163</v>
      </c>
      <c r="C1072" s="1" t="s">
        <v>7164</v>
      </c>
      <c r="D1072" s="1" t="s">
        <v>7165</v>
      </c>
      <c r="E1072" s="1" t="s">
        <v>7166</v>
      </c>
      <c r="F1072" s="1" t="s">
        <v>7167</v>
      </c>
      <c r="G1072" s="1" t="s">
        <v>7168</v>
      </c>
    </row>
    <row r="1073" spans="1:7" x14ac:dyDescent="0.2">
      <c r="A1073" s="1" t="s">
        <v>7169</v>
      </c>
      <c r="B1073" s="1" t="s">
        <v>7170</v>
      </c>
      <c r="C1073" s="1" t="s">
        <v>7171</v>
      </c>
      <c r="D1073" s="1" t="s">
        <v>7172</v>
      </c>
      <c r="E1073" s="1" t="s">
        <v>7173</v>
      </c>
      <c r="F1073" s="1" t="s">
        <v>7174</v>
      </c>
      <c r="G1073" s="1" t="s">
        <v>7175</v>
      </c>
    </row>
    <row r="1074" spans="1:7" x14ac:dyDescent="0.2">
      <c r="A1074" s="1" t="s">
        <v>7176</v>
      </c>
      <c r="B1074" s="1" t="s">
        <v>7177</v>
      </c>
      <c r="C1074" s="1" t="s">
        <v>7178</v>
      </c>
      <c r="D1074" s="1" t="s">
        <v>7179</v>
      </c>
      <c r="E1074" s="1" t="s">
        <v>7180</v>
      </c>
      <c r="F1074" s="1" t="s">
        <v>7181</v>
      </c>
      <c r="G1074" s="1" t="s">
        <v>7182</v>
      </c>
    </row>
    <row r="1075" spans="1:7" x14ac:dyDescent="0.2">
      <c r="A1075" s="1" t="s">
        <v>7183</v>
      </c>
      <c r="B1075" s="1" t="s">
        <v>7184</v>
      </c>
      <c r="C1075" s="1" t="s">
        <v>7185</v>
      </c>
      <c r="D1075" s="1" t="s">
        <v>7186</v>
      </c>
      <c r="E1075" s="1" t="s">
        <v>7187</v>
      </c>
      <c r="F1075" s="1" t="s">
        <v>7188</v>
      </c>
      <c r="G1075" s="1" t="s">
        <v>7189</v>
      </c>
    </row>
    <row r="1076" spans="1:7" x14ac:dyDescent="0.2">
      <c r="A1076" s="1" t="s">
        <v>7190</v>
      </c>
      <c r="B1076" s="1" t="s">
        <v>7191</v>
      </c>
      <c r="C1076" s="1" t="s">
        <v>7192</v>
      </c>
      <c r="D1076" s="1" t="s">
        <v>7193</v>
      </c>
      <c r="E1076" s="1" t="s">
        <v>7194</v>
      </c>
      <c r="F1076" s="1" t="s">
        <v>7195</v>
      </c>
      <c r="G1076" s="1" t="s">
        <v>7196</v>
      </c>
    </row>
    <row r="1077" spans="1:7" x14ac:dyDescent="0.2">
      <c r="A1077" s="1" t="s">
        <v>7197</v>
      </c>
      <c r="B1077" s="1" t="s">
        <v>7198</v>
      </c>
      <c r="C1077" s="1" t="s">
        <v>7199</v>
      </c>
      <c r="D1077" s="1" t="s">
        <v>7200</v>
      </c>
      <c r="E1077" s="1" t="s">
        <v>7201</v>
      </c>
      <c r="F1077" s="1" t="s">
        <v>7202</v>
      </c>
      <c r="G1077" s="1" t="s">
        <v>7203</v>
      </c>
    </row>
    <row r="1078" spans="1:7" x14ac:dyDescent="0.2">
      <c r="A1078" s="1" t="s">
        <v>7204</v>
      </c>
      <c r="B1078" s="1" t="s">
        <v>7205</v>
      </c>
      <c r="C1078" s="1" t="s">
        <v>7206</v>
      </c>
      <c r="D1078" s="1" t="s">
        <v>7207</v>
      </c>
      <c r="E1078" s="1" t="s">
        <v>7208</v>
      </c>
      <c r="F1078" s="1" t="s">
        <v>7209</v>
      </c>
      <c r="G1078" s="1" t="s">
        <v>7210</v>
      </c>
    </row>
    <row r="1079" spans="1:7" x14ac:dyDescent="0.2">
      <c r="A1079" s="1" t="s">
        <v>7211</v>
      </c>
      <c r="B1079" s="1" t="s">
        <v>7212</v>
      </c>
      <c r="C1079" s="1" t="s">
        <v>7213</v>
      </c>
      <c r="D1079" s="1" t="s">
        <v>7214</v>
      </c>
      <c r="E1079" s="1" t="s">
        <v>7215</v>
      </c>
      <c r="F1079" s="1" t="s">
        <v>7216</v>
      </c>
      <c r="G1079" s="1" t="s">
        <v>7217</v>
      </c>
    </row>
    <row r="1080" spans="1:7" x14ac:dyDescent="0.2">
      <c r="A1080" s="1" t="s">
        <v>7218</v>
      </c>
      <c r="B1080" s="1" t="s">
        <v>7219</v>
      </c>
      <c r="C1080" s="1" t="s">
        <v>7220</v>
      </c>
      <c r="D1080" s="1" t="s">
        <v>7221</v>
      </c>
      <c r="E1080" s="1" t="s">
        <v>7222</v>
      </c>
      <c r="F1080" s="1" t="s">
        <v>7223</v>
      </c>
      <c r="G1080" s="1" t="s">
        <v>7224</v>
      </c>
    </row>
    <row r="1081" spans="1:7" x14ac:dyDescent="0.2">
      <c r="A1081" s="1" t="s">
        <v>7225</v>
      </c>
      <c r="B1081" s="1" t="s">
        <v>7226</v>
      </c>
      <c r="C1081" s="1" t="s">
        <v>7227</v>
      </c>
      <c r="D1081" s="1" t="s">
        <v>7228</v>
      </c>
      <c r="E1081" s="1" t="s">
        <v>6287</v>
      </c>
      <c r="F1081" s="1" t="s">
        <v>7229</v>
      </c>
      <c r="G1081" s="1" t="s">
        <v>7230</v>
      </c>
    </row>
    <row r="1082" spans="1:7" x14ac:dyDescent="0.2">
      <c r="A1082" s="1" t="s">
        <v>7231</v>
      </c>
      <c r="B1082" s="1" t="s">
        <v>7232</v>
      </c>
      <c r="C1082" s="1" t="s">
        <v>7233</v>
      </c>
      <c r="D1082" s="1" t="s">
        <v>7234</v>
      </c>
      <c r="E1082" s="1" t="s">
        <v>7235</v>
      </c>
      <c r="F1082" s="1" t="s">
        <v>7236</v>
      </c>
      <c r="G1082" s="1" t="s">
        <v>7237</v>
      </c>
    </row>
    <row r="1083" spans="1:7" x14ac:dyDescent="0.2">
      <c r="A1083" s="1" t="s">
        <v>7238</v>
      </c>
      <c r="B1083" s="1" t="s">
        <v>7239</v>
      </c>
      <c r="C1083" s="1" t="s">
        <v>7240</v>
      </c>
      <c r="D1083" s="1" t="s">
        <v>7241</v>
      </c>
      <c r="E1083" s="1" t="s">
        <v>7242</v>
      </c>
      <c r="F1083" s="1" t="s">
        <v>7243</v>
      </c>
      <c r="G1083" s="1" t="s">
        <v>7244</v>
      </c>
    </row>
    <row r="1084" spans="1:7" x14ac:dyDescent="0.2">
      <c r="A1084" s="1" t="s">
        <v>7245</v>
      </c>
      <c r="B1084" s="1" t="s">
        <v>7246</v>
      </c>
      <c r="C1084" s="1" t="s">
        <v>7247</v>
      </c>
      <c r="D1084" s="1" t="s">
        <v>7248</v>
      </c>
      <c r="E1084" s="1" t="s">
        <v>7249</v>
      </c>
      <c r="F1084" s="1" t="s">
        <v>7250</v>
      </c>
      <c r="G1084" s="1" t="s">
        <v>7251</v>
      </c>
    </row>
    <row r="1085" spans="1:7" x14ac:dyDescent="0.2">
      <c r="A1085" s="1" t="s">
        <v>7252</v>
      </c>
      <c r="B1085" s="1" t="s">
        <v>7253</v>
      </c>
      <c r="C1085" s="1" t="s">
        <v>7254</v>
      </c>
      <c r="D1085" s="1" t="s">
        <v>7255</v>
      </c>
      <c r="E1085" s="1" t="s">
        <v>7256</v>
      </c>
      <c r="F1085" s="1" t="s">
        <v>7257</v>
      </c>
      <c r="G1085" s="1" t="s">
        <v>7258</v>
      </c>
    </row>
    <row r="1086" spans="1:7" x14ac:dyDescent="0.2">
      <c r="A1086" s="1" t="s">
        <v>7259</v>
      </c>
      <c r="B1086" s="1" t="s">
        <v>7260</v>
      </c>
      <c r="C1086" s="1" t="s">
        <v>7261</v>
      </c>
      <c r="D1086" s="1" t="s">
        <v>7064</v>
      </c>
      <c r="E1086" s="1" t="s">
        <v>7262</v>
      </c>
      <c r="F1086" s="1" t="s">
        <v>7263</v>
      </c>
      <c r="G1086" s="1" t="s">
        <v>7264</v>
      </c>
    </row>
    <row r="1087" spans="1:7" x14ac:dyDescent="0.2">
      <c r="A1087" s="1" t="s">
        <v>7265</v>
      </c>
      <c r="B1087" s="1" t="s">
        <v>7266</v>
      </c>
      <c r="C1087" s="1" t="s">
        <v>7267</v>
      </c>
      <c r="D1087" s="1" t="s">
        <v>7268</v>
      </c>
      <c r="E1087" s="1" t="s">
        <v>7257</v>
      </c>
      <c r="F1087" s="1" t="s">
        <v>7269</v>
      </c>
      <c r="G1087" s="1" t="s">
        <v>7270</v>
      </c>
    </row>
    <row r="1088" spans="1:7" x14ac:dyDescent="0.2">
      <c r="A1088" s="1" t="s">
        <v>7271</v>
      </c>
      <c r="B1088" s="1" t="s">
        <v>7272</v>
      </c>
      <c r="C1088" s="1" t="s">
        <v>7273</v>
      </c>
      <c r="D1088" s="1" t="s">
        <v>7274</v>
      </c>
      <c r="E1088" s="1" t="s">
        <v>7275</v>
      </c>
      <c r="F1088" s="1" t="s">
        <v>7276</v>
      </c>
      <c r="G1088" s="1" t="s">
        <v>7277</v>
      </c>
    </row>
    <row r="1089" spans="1:7" x14ac:dyDescent="0.2">
      <c r="A1089" s="1" t="s">
        <v>7278</v>
      </c>
      <c r="B1089" s="1" t="s">
        <v>7279</v>
      </c>
      <c r="C1089" s="1" t="s">
        <v>7280</v>
      </c>
      <c r="D1089" s="1" t="s">
        <v>7281</v>
      </c>
      <c r="E1089" s="1" t="s">
        <v>6106</v>
      </c>
      <c r="F1089" s="1" t="s">
        <v>7282</v>
      </c>
      <c r="G1089" s="1" t="s">
        <v>7283</v>
      </c>
    </row>
    <row r="1090" spans="1:7" x14ac:dyDescent="0.2">
      <c r="A1090" s="1" t="s">
        <v>7284</v>
      </c>
      <c r="B1090" s="1" t="s">
        <v>7285</v>
      </c>
      <c r="C1090" s="1" t="s">
        <v>7286</v>
      </c>
      <c r="D1090" s="1" t="s">
        <v>7287</v>
      </c>
      <c r="E1090" s="1" t="s">
        <v>7288</v>
      </c>
      <c r="F1090" s="1" t="s">
        <v>7289</v>
      </c>
      <c r="G1090" s="1" t="s">
        <v>7290</v>
      </c>
    </row>
    <row r="1091" spans="1:7" x14ac:dyDescent="0.2">
      <c r="A1091" s="1" t="s">
        <v>7291</v>
      </c>
      <c r="B1091" s="1" t="s">
        <v>7292</v>
      </c>
      <c r="C1091" s="1" t="s">
        <v>7293</v>
      </c>
      <c r="D1091" s="1" t="s">
        <v>7294</v>
      </c>
      <c r="E1091" s="1" t="s">
        <v>7295</v>
      </c>
      <c r="F1091" s="1" t="s">
        <v>7296</v>
      </c>
      <c r="G1091" s="1" t="s">
        <v>7297</v>
      </c>
    </row>
    <row r="1092" spans="1:7" x14ac:dyDescent="0.2">
      <c r="A1092" s="1" t="s">
        <v>7298</v>
      </c>
      <c r="B1092" s="1" t="s">
        <v>7299</v>
      </c>
      <c r="C1092" s="1" t="s">
        <v>7300</v>
      </c>
      <c r="D1092" s="1" t="s">
        <v>7301</v>
      </c>
      <c r="E1092" s="1" t="s">
        <v>7302</v>
      </c>
      <c r="F1092" s="1" t="s">
        <v>7303</v>
      </c>
      <c r="G1092" s="1" t="s">
        <v>7304</v>
      </c>
    </row>
    <row r="1093" spans="1:7" x14ac:dyDescent="0.2">
      <c r="A1093" s="1" t="s">
        <v>7305</v>
      </c>
      <c r="B1093" s="1" t="s">
        <v>7306</v>
      </c>
      <c r="C1093" s="1" t="s">
        <v>7307</v>
      </c>
      <c r="D1093" s="1" t="s">
        <v>7308</v>
      </c>
      <c r="E1093" s="1" t="s">
        <v>7309</v>
      </c>
      <c r="F1093" s="1" t="s">
        <v>7310</v>
      </c>
      <c r="G1093" s="1" t="s">
        <v>7311</v>
      </c>
    </row>
    <row r="1094" spans="1:7" x14ac:dyDescent="0.2">
      <c r="A1094" s="1" t="s">
        <v>7312</v>
      </c>
      <c r="B1094" s="1" t="s">
        <v>7313</v>
      </c>
      <c r="C1094" s="1" t="s">
        <v>7314</v>
      </c>
      <c r="D1094" s="1" t="s">
        <v>7315</v>
      </c>
      <c r="E1094" s="1" t="s">
        <v>7316</v>
      </c>
      <c r="F1094" s="1" t="s">
        <v>7317</v>
      </c>
      <c r="G1094" s="1" t="s">
        <v>7318</v>
      </c>
    </row>
    <row r="1095" spans="1:7" x14ac:dyDescent="0.2">
      <c r="A1095" s="1" t="s">
        <v>7319</v>
      </c>
      <c r="B1095" s="1" t="s">
        <v>7320</v>
      </c>
      <c r="C1095" s="1" t="s">
        <v>7321</v>
      </c>
      <c r="D1095" s="1" t="s">
        <v>7322</v>
      </c>
      <c r="E1095" s="1" t="s">
        <v>7323</v>
      </c>
      <c r="F1095" s="1" t="s">
        <v>7324</v>
      </c>
      <c r="G1095" s="1" t="s">
        <v>7325</v>
      </c>
    </row>
    <row r="1096" spans="1:7" x14ac:dyDescent="0.2">
      <c r="A1096" s="1" t="s">
        <v>7326</v>
      </c>
      <c r="B1096" s="1" t="s">
        <v>7327</v>
      </c>
      <c r="C1096" s="1" t="s">
        <v>7328</v>
      </c>
      <c r="D1096" s="1" t="s">
        <v>7329</v>
      </c>
      <c r="E1096" s="1" t="s">
        <v>7330</v>
      </c>
      <c r="F1096" s="1" t="s">
        <v>7331</v>
      </c>
      <c r="G1096" s="1" t="s">
        <v>7332</v>
      </c>
    </row>
    <row r="1097" spans="1:7" x14ac:dyDescent="0.2">
      <c r="A1097" s="1" t="s">
        <v>7333</v>
      </c>
      <c r="B1097" s="1" t="s">
        <v>7334</v>
      </c>
      <c r="C1097" s="1" t="s">
        <v>7335</v>
      </c>
      <c r="D1097" s="1" t="s">
        <v>7336</v>
      </c>
      <c r="E1097" s="1" t="s">
        <v>7337</v>
      </c>
      <c r="F1097" s="1" t="s">
        <v>7338</v>
      </c>
      <c r="G1097" s="1" t="s">
        <v>7339</v>
      </c>
    </row>
    <row r="1098" spans="1:7" x14ac:dyDescent="0.2">
      <c r="A1098" s="1" t="s">
        <v>7340</v>
      </c>
      <c r="B1098" s="1" t="s">
        <v>7341</v>
      </c>
      <c r="C1098" s="1" t="s">
        <v>7342</v>
      </c>
      <c r="D1098" s="1" t="s">
        <v>7343</v>
      </c>
      <c r="E1098" s="1" t="s">
        <v>7344</v>
      </c>
      <c r="F1098" s="1" t="s">
        <v>7345</v>
      </c>
      <c r="G1098" s="1" t="s">
        <v>7346</v>
      </c>
    </row>
    <row r="1099" spans="1:7" x14ac:dyDescent="0.2">
      <c r="A1099" s="1" t="s">
        <v>7347</v>
      </c>
      <c r="B1099" s="1" t="s">
        <v>7348</v>
      </c>
      <c r="C1099" s="1" t="s">
        <v>7349</v>
      </c>
      <c r="D1099" s="1" t="s">
        <v>7350</v>
      </c>
      <c r="E1099" s="1" t="s">
        <v>7351</v>
      </c>
      <c r="F1099" s="1" t="s">
        <v>7352</v>
      </c>
      <c r="G1099" s="1" t="s">
        <v>7353</v>
      </c>
    </row>
    <row r="1100" spans="1:7" x14ac:dyDescent="0.2">
      <c r="A1100" s="1" t="s">
        <v>7354</v>
      </c>
      <c r="B1100" s="1" t="s">
        <v>7355</v>
      </c>
      <c r="C1100" s="1" t="s">
        <v>7356</v>
      </c>
      <c r="D1100" s="1" t="s">
        <v>7357</v>
      </c>
      <c r="E1100" s="1" t="s">
        <v>7358</v>
      </c>
      <c r="F1100" s="1" t="s">
        <v>7359</v>
      </c>
      <c r="G1100" s="1" t="s">
        <v>7360</v>
      </c>
    </row>
    <row r="1101" spans="1:7" x14ac:dyDescent="0.2">
      <c r="A1101" s="1" t="s">
        <v>7361</v>
      </c>
      <c r="B1101" s="1" t="s">
        <v>7362</v>
      </c>
      <c r="C1101" s="1" t="s">
        <v>7363</v>
      </c>
      <c r="D1101" s="1" t="s">
        <v>7364</v>
      </c>
      <c r="E1101" s="1" t="s">
        <v>7365</v>
      </c>
      <c r="F1101" s="1" t="s">
        <v>7366</v>
      </c>
      <c r="G1101" s="1" t="s">
        <v>7367</v>
      </c>
    </row>
    <row r="1102" spans="1:7" x14ac:dyDescent="0.2">
      <c r="A1102" s="1" t="s">
        <v>7368</v>
      </c>
      <c r="B1102" s="1" t="s">
        <v>7369</v>
      </c>
      <c r="C1102" s="1" t="s">
        <v>7370</v>
      </c>
      <c r="D1102" s="1" t="s">
        <v>7371</v>
      </c>
      <c r="E1102" s="1" t="s">
        <v>7372</v>
      </c>
      <c r="F1102" s="1" t="s">
        <v>7373</v>
      </c>
      <c r="G1102" s="1" t="s">
        <v>7374</v>
      </c>
    </row>
    <row r="1103" spans="1:7" x14ac:dyDescent="0.2">
      <c r="A1103" s="1" t="s">
        <v>7375</v>
      </c>
      <c r="B1103" s="1" t="s">
        <v>7376</v>
      </c>
      <c r="C1103" s="1" t="s">
        <v>7377</v>
      </c>
      <c r="D1103" s="1" t="s">
        <v>7378</v>
      </c>
      <c r="E1103" s="1" t="s">
        <v>7379</v>
      </c>
      <c r="F1103" s="1" t="s">
        <v>7380</v>
      </c>
      <c r="G1103" s="1" t="s">
        <v>7381</v>
      </c>
    </row>
    <row r="1104" spans="1:7" x14ac:dyDescent="0.2">
      <c r="A1104" s="1" t="s">
        <v>7382</v>
      </c>
      <c r="B1104" s="1" t="s">
        <v>7383</v>
      </c>
      <c r="C1104" s="1" t="s">
        <v>7384</v>
      </c>
      <c r="D1104" s="1" t="s">
        <v>7385</v>
      </c>
      <c r="E1104" s="1" t="s">
        <v>7386</v>
      </c>
      <c r="F1104" s="1" t="s">
        <v>7378</v>
      </c>
      <c r="G1104" s="1" t="s">
        <v>7387</v>
      </c>
    </row>
    <row r="1105" spans="1:7" x14ac:dyDescent="0.2">
      <c r="A1105" s="1" t="s">
        <v>7388</v>
      </c>
      <c r="B1105" s="1" t="s">
        <v>7389</v>
      </c>
      <c r="C1105" s="1" t="s">
        <v>7390</v>
      </c>
      <c r="D1105" s="1" t="s">
        <v>7391</v>
      </c>
      <c r="E1105" s="1" t="s">
        <v>7392</v>
      </c>
      <c r="F1105" s="1" t="s">
        <v>7393</v>
      </c>
      <c r="G1105" s="1" t="s">
        <v>7394</v>
      </c>
    </row>
    <row r="1106" spans="1:7" x14ac:dyDescent="0.2">
      <c r="A1106" s="1" t="s">
        <v>7395</v>
      </c>
      <c r="B1106" s="1" t="s">
        <v>7396</v>
      </c>
      <c r="C1106" s="1" t="s">
        <v>7397</v>
      </c>
      <c r="D1106" s="1" t="s">
        <v>7398</v>
      </c>
      <c r="E1106" s="1" t="s">
        <v>7399</v>
      </c>
      <c r="F1106" s="1" t="s">
        <v>7400</v>
      </c>
      <c r="G1106" s="1" t="s">
        <v>7401</v>
      </c>
    </row>
    <row r="1107" spans="1:7" x14ac:dyDescent="0.2">
      <c r="A1107" s="1" t="s">
        <v>7402</v>
      </c>
      <c r="B1107" s="1" t="s">
        <v>7403</v>
      </c>
      <c r="C1107" s="1" t="s">
        <v>7404</v>
      </c>
      <c r="D1107" s="1" t="s">
        <v>7405</v>
      </c>
      <c r="E1107" s="1" t="s">
        <v>7406</v>
      </c>
      <c r="F1107" s="1" t="s">
        <v>7407</v>
      </c>
      <c r="G1107" s="1" t="s">
        <v>7408</v>
      </c>
    </row>
    <row r="1108" spans="1:7" x14ac:dyDescent="0.2">
      <c r="A1108" s="1" t="s">
        <v>7409</v>
      </c>
      <c r="B1108" s="1" t="s">
        <v>7410</v>
      </c>
      <c r="C1108" s="1" t="s">
        <v>7411</v>
      </c>
      <c r="D1108" s="1" t="s">
        <v>7412</v>
      </c>
      <c r="E1108" s="1" t="s">
        <v>7413</v>
      </c>
      <c r="F1108" s="1" t="s">
        <v>7414</v>
      </c>
      <c r="G1108" s="1" t="s">
        <v>7415</v>
      </c>
    </row>
    <row r="1109" spans="1:7" x14ac:dyDescent="0.2">
      <c r="A1109" s="1" t="s">
        <v>7416</v>
      </c>
      <c r="B1109" s="1" t="s">
        <v>7417</v>
      </c>
      <c r="C1109" s="1" t="s">
        <v>7418</v>
      </c>
      <c r="D1109" s="1" t="s">
        <v>7419</v>
      </c>
      <c r="E1109" s="1" t="s">
        <v>7420</v>
      </c>
      <c r="F1109" s="1" t="s">
        <v>7421</v>
      </c>
      <c r="G1109" s="1" t="s">
        <v>7422</v>
      </c>
    </row>
    <row r="1110" spans="1:7" x14ac:dyDescent="0.2">
      <c r="A1110" s="1" t="s">
        <v>7423</v>
      </c>
      <c r="B1110" s="1" t="s">
        <v>7424</v>
      </c>
      <c r="C1110" s="1" t="s">
        <v>7425</v>
      </c>
      <c r="D1110" s="1" t="s">
        <v>7426</v>
      </c>
      <c r="E1110" s="1" t="s">
        <v>7427</v>
      </c>
      <c r="F1110" s="1" t="s">
        <v>7428</v>
      </c>
      <c r="G1110" s="1" t="s">
        <v>7429</v>
      </c>
    </row>
    <row r="1111" spans="1:7" x14ac:dyDescent="0.2">
      <c r="A1111" s="1" t="s">
        <v>7430</v>
      </c>
      <c r="B1111" s="1" t="s">
        <v>7431</v>
      </c>
      <c r="C1111" s="1" t="s">
        <v>7432</v>
      </c>
      <c r="D1111" s="1" t="s">
        <v>7433</v>
      </c>
      <c r="E1111" s="1" t="s">
        <v>7434</v>
      </c>
      <c r="F1111" s="1" t="s">
        <v>7435</v>
      </c>
      <c r="G1111" s="1" t="s">
        <v>7436</v>
      </c>
    </row>
    <row r="1112" spans="1:7" x14ac:dyDescent="0.2">
      <c r="A1112" s="1" t="s">
        <v>7437</v>
      </c>
      <c r="B1112" s="1" t="s">
        <v>7438</v>
      </c>
      <c r="C1112" s="1" t="s">
        <v>7439</v>
      </c>
      <c r="D1112" s="1" t="s">
        <v>7440</v>
      </c>
      <c r="E1112" s="1" t="s">
        <v>7441</v>
      </c>
      <c r="F1112" s="1" t="s">
        <v>7442</v>
      </c>
      <c r="G1112" s="1" t="s">
        <v>7443</v>
      </c>
    </row>
    <row r="1113" spans="1:7" x14ac:dyDescent="0.2">
      <c r="A1113" s="1" t="s">
        <v>7444</v>
      </c>
      <c r="B1113" s="1" t="s">
        <v>7445</v>
      </c>
      <c r="C1113" s="1" t="s">
        <v>7446</v>
      </c>
      <c r="D1113" s="1" t="s">
        <v>7447</v>
      </c>
      <c r="E1113" s="1" t="s">
        <v>7448</v>
      </c>
      <c r="F1113" s="1" t="s">
        <v>7449</v>
      </c>
      <c r="G1113" s="1" t="s">
        <v>7450</v>
      </c>
    </row>
    <row r="1114" spans="1:7" x14ac:dyDescent="0.2">
      <c r="A1114" s="1" t="s">
        <v>7451</v>
      </c>
      <c r="B1114" s="1" t="s">
        <v>7452</v>
      </c>
      <c r="C1114" s="1" t="s">
        <v>7453</v>
      </c>
      <c r="D1114" s="1" t="s">
        <v>7454</v>
      </c>
      <c r="E1114" s="1" t="s">
        <v>7455</v>
      </c>
      <c r="F1114" s="1" t="s">
        <v>7456</v>
      </c>
      <c r="G1114" s="1" t="s">
        <v>7457</v>
      </c>
    </row>
    <row r="1115" spans="1:7" x14ac:dyDescent="0.2">
      <c r="A1115" s="1" t="s">
        <v>7458</v>
      </c>
      <c r="B1115" s="1" t="s">
        <v>7459</v>
      </c>
      <c r="C1115" s="1" t="s">
        <v>7460</v>
      </c>
      <c r="D1115" s="1" t="s">
        <v>7461</v>
      </c>
      <c r="E1115" s="1" t="s">
        <v>7462</v>
      </c>
      <c r="F1115" s="1" t="s">
        <v>7463</v>
      </c>
      <c r="G1115" s="1" t="s">
        <v>7464</v>
      </c>
    </row>
    <row r="1116" spans="1:7" x14ac:dyDescent="0.2">
      <c r="A1116" s="1" t="s">
        <v>7465</v>
      </c>
      <c r="B1116" s="1" t="s">
        <v>7466</v>
      </c>
      <c r="C1116" s="1" t="s">
        <v>7467</v>
      </c>
      <c r="D1116" s="1" t="s">
        <v>7468</v>
      </c>
      <c r="E1116" s="1" t="s">
        <v>7469</v>
      </c>
      <c r="F1116" s="1" t="s">
        <v>7470</v>
      </c>
      <c r="G1116" s="1" t="s">
        <v>7471</v>
      </c>
    </row>
    <row r="1117" spans="1:7" x14ac:dyDescent="0.2">
      <c r="A1117" s="1" t="s">
        <v>7472</v>
      </c>
      <c r="B1117" s="1" t="s">
        <v>7473</v>
      </c>
      <c r="C1117" s="1" t="s">
        <v>7474</v>
      </c>
      <c r="D1117" s="1" t="s">
        <v>7475</v>
      </c>
      <c r="E1117" s="1" t="s">
        <v>7364</v>
      </c>
      <c r="F1117" s="1" t="s">
        <v>7476</v>
      </c>
      <c r="G1117" s="1" t="s">
        <v>7477</v>
      </c>
    </row>
    <row r="1118" spans="1:7" x14ac:dyDescent="0.2">
      <c r="A1118" s="1" t="s">
        <v>7478</v>
      </c>
      <c r="B1118" s="1" t="s">
        <v>7479</v>
      </c>
      <c r="C1118" s="1" t="s">
        <v>7480</v>
      </c>
      <c r="D1118" s="1" t="s">
        <v>7481</v>
      </c>
      <c r="E1118" s="1" t="s">
        <v>7482</v>
      </c>
      <c r="F1118" s="1" t="s">
        <v>7483</v>
      </c>
      <c r="G1118" s="1" t="s">
        <v>7484</v>
      </c>
    </row>
    <row r="1119" spans="1:7" x14ac:dyDescent="0.2">
      <c r="A1119" s="1" t="s">
        <v>7485</v>
      </c>
      <c r="B1119" s="1" t="s">
        <v>7486</v>
      </c>
      <c r="C1119" s="1" t="s">
        <v>7487</v>
      </c>
      <c r="D1119" s="1" t="s">
        <v>7488</v>
      </c>
      <c r="E1119" s="1" t="s">
        <v>7489</v>
      </c>
      <c r="F1119" s="1" t="s">
        <v>7490</v>
      </c>
      <c r="G1119" s="1" t="s">
        <v>7491</v>
      </c>
    </row>
    <row r="1120" spans="1:7" x14ac:dyDescent="0.2">
      <c r="A1120" s="1" t="s">
        <v>7492</v>
      </c>
      <c r="B1120" s="1" t="s">
        <v>7493</v>
      </c>
      <c r="C1120" s="1" t="s">
        <v>7494</v>
      </c>
      <c r="D1120" s="1" t="s">
        <v>6105</v>
      </c>
      <c r="E1120" s="1" t="s">
        <v>7495</v>
      </c>
      <c r="F1120" s="1" t="s">
        <v>7496</v>
      </c>
      <c r="G1120" s="1" t="s">
        <v>7497</v>
      </c>
    </row>
    <row r="1121" spans="1:7" x14ac:dyDescent="0.2">
      <c r="A1121" s="1" t="s">
        <v>7498</v>
      </c>
      <c r="B1121" s="1" t="s">
        <v>7499</v>
      </c>
      <c r="C1121" s="1" t="s">
        <v>7500</v>
      </c>
      <c r="D1121" s="1" t="s">
        <v>7501</v>
      </c>
      <c r="E1121" s="1" t="s">
        <v>7502</v>
      </c>
      <c r="F1121" s="1" t="s">
        <v>7503</v>
      </c>
      <c r="G1121" s="1" t="s">
        <v>7504</v>
      </c>
    </row>
    <row r="1122" spans="1:7" x14ac:dyDescent="0.2">
      <c r="A1122" s="1" t="s">
        <v>7505</v>
      </c>
      <c r="B1122" s="1" t="s">
        <v>7506</v>
      </c>
      <c r="C1122" s="1" t="s">
        <v>7507</v>
      </c>
      <c r="D1122" s="1" t="s">
        <v>7508</v>
      </c>
      <c r="E1122" s="1" t="s">
        <v>7509</v>
      </c>
      <c r="F1122" s="1" t="s">
        <v>7510</v>
      </c>
      <c r="G1122" s="1" t="s">
        <v>7511</v>
      </c>
    </row>
    <row r="1123" spans="1:7" x14ac:dyDescent="0.2">
      <c r="A1123" s="1" t="s">
        <v>7512</v>
      </c>
      <c r="B1123" s="1" t="s">
        <v>7513</v>
      </c>
      <c r="C1123" s="1" t="s">
        <v>7514</v>
      </c>
      <c r="D1123" s="1" t="s">
        <v>7515</v>
      </c>
      <c r="E1123" s="1" t="s">
        <v>7516</v>
      </c>
      <c r="F1123" s="1" t="s">
        <v>7517</v>
      </c>
      <c r="G1123" s="1" t="s">
        <v>7518</v>
      </c>
    </row>
    <row r="1124" spans="1:7" x14ac:dyDescent="0.2">
      <c r="A1124" s="1" t="s">
        <v>7519</v>
      </c>
      <c r="B1124" s="1" t="s">
        <v>7520</v>
      </c>
      <c r="C1124" s="1" t="s">
        <v>7521</v>
      </c>
      <c r="D1124" s="1" t="s">
        <v>7522</v>
      </c>
      <c r="E1124" s="1" t="s">
        <v>7523</v>
      </c>
      <c r="F1124" s="1" t="s">
        <v>7441</v>
      </c>
      <c r="G1124" s="1" t="s">
        <v>7524</v>
      </c>
    </row>
    <row r="1125" spans="1:7" x14ac:dyDescent="0.2">
      <c r="A1125" s="1" t="s">
        <v>7525</v>
      </c>
      <c r="B1125" s="1" t="s">
        <v>7526</v>
      </c>
      <c r="C1125" s="1" t="s">
        <v>7527</v>
      </c>
      <c r="D1125" s="1" t="s">
        <v>7528</v>
      </c>
      <c r="E1125" s="1" t="s">
        <v>7529</v>
      </c>
      <c r="F1125" s="1" t="s">
        <v>7530</v>
      </c>
      <c r="G1125" s="1" t="s">
        <v>7531</v>
      </c>
    </row>
    <row r="1126" spans="1:7" x14ac:dyDescent="0.2">
      <c r="A1126" s="1" t="s">
        <v>7532</v>
      </c>
      <c r="B1126" s="1" t="s">
        <v>7533</v>
      </c>
      <c r="C1126" s="1" t="s">
        <v>7534</v>
      </c>
      <c r="D1126" s="1" t="s">
        <v>7535</v>
      </c>
      <c r="E1126" s="1" t="s">
        <v>7536</v>
      </c>
      <c r="F1126" s="1" t="s">
        <v>7537</v>
      </c>
      <c r="G1126" s="1" t="s">
        <v>7538</v>
      </c>
    </row>
    <row r="1127" spans="1:7" x14ac:dyDescent="0.2">
      <c r="A1127" s="1" t="s">
        <v>7539</v>
      </c>
      <c r="B1127" s="1" t="s">
        <v>7540</v>
      </c>
      <c r="C1127" s="1" t="s">
        <v>7541</v>
      </c>
      <c r="D1127" s="1" t="s">
        <v>7542</v>
      </c>
      <c r="E1127" s="1" t="s">
        <v>7543</v>
      </c>
      <c r="F1127" s="1" t="s">
        <v>7544</v>
      </c>
      <c r="G1127" s="1" t="s">
        <v>7545</v>
      </c>
    </row>
    <row r="1128" spans="1:7" x14ac:dyDescent="0.2">
      <c r="A1128" s="1" t="s">
        <v>7546</v>
      </c>
      <c r="B1128" s="1" t="s">
        <v>7547</v>
      </c>
      <c r="C1128" s="1" t="s">
        <v>7548</v>
      </c>
      <c r="D1128" s="1" t="s">
        <v>7549</v>
      </c>
      <c r="E1128" s="1" t="s">
        <v>7550</v>
      </c>
      <c r="F1128" s="1" t="s">
        <v>7551</v>
      </c>
      <c r="G1128" s="1" t="s">
        <v>7552</v>
      </c>
    </row>
    <row r="1129" spans="1:7" x14ac:dyDescent="0.2">
      <c r="A1129" s="1" t="s">
        <v>7553</v>
      </c>
      <c r="B1129" s="1" t="s">
        <v>7554</v>
      </c>
      <c r="C1129" s="1" t="s">
        <v>7555</v>
      </c>
      <c r="D1129" s="1" t="s">
        <v>7556</v>
      </c>
      <c r="E1129" s="1" t="s">
        <v>7557</v>
      </c>
      <c r="F1129" s="1" t="s">
        <v>7558</v>
      </c>
      <c r="G1129" s="1" t="s">
        <v>7559</v>
      </c>
    </row>
    <row r="1130" spans="1:7" x14ac:dyDescent="0.2">
      <c r="A1130" s="1" t="s">
        <v>7560</v>
      </c>
      <c r="B1130" s="1" t="s">
        <v>7561</v>
      </c>
      <c r="C1130" s="1" t="s">
        <v>7562</v>
      </c>
      <c r="D1130" s="1" t="s">
        <v>7563</v>
      </c>
      <c r="E1130" s="1" t="s">
        <v>7564</v>
      </c>
      <c r="F1130" s="1" t="s">
        <v>7565</v>
      </c>
      <c r="G1130" s="1" t="s">
        <v>7566</v>
      </c>
    </row>
    <row r="1131" spans="1:7" x14ac:dyDescent="0.2">
      <c r="A1131" s="1" t="s">
        <v>7567</v>
      </c>
      <c r="B1131" s="1" t="s">
        <v>7568</v>
      </c>
      <c r="C1131" s="1" t="s">
        <v>7569</v>
      </c>
      <c r="D1131" s="1" t="s">
        <v>7570</v>
      </c>
      <c r="E1131" s="1" t="s">
        <v>7571</v>
      </c>
      <c r="F1131" s="1" t="s">
        <v>7572</v>
      </c>
      <c r="G1131" s="1" t="s">
        <v>7573</v>
      </c>
    </row>
    <row r="1132" spans="1:7" x14ac:dyDescent="0.2">
      <c r="A1132" s="1" t="s">
        <v>7574</v>
      </c>
      <c r="B1132" s="1" t="s">
        <v>7575</v>
      </c>
      <c r="C1132" s="1" t="s">
        <v>7576</v>
      </c>
      <c r="D1132" s="1" t="s">
        <v>7577</v>
      </c>
      <c r="E1132" s="1" t="s">
        <v>7578</v>
      </c>
      <c r="F1132" s="1" t="s">
        <v>7579</v>
      </c>
      <c r="G1132" s="1" t="s">
        <v>7580</v>
      </c>
    </row>
    <row r="1133" spans="1:7" x14ac:dyDescent="0.2">
      <c r="A1133" s="1" t="s">
        <v>7581</v>
      </c>
      <c r="B1133" s="1" t="s">
        <v>7582</v>
      </c>
      <c r="C1133" s="1" t="s">
        <v>7516</v>
      </c>
      <c r="D1133" s="1" t="s">
        <v>7583</v>
      </c>
      <c r="E1133" s="1" t="s">
        <v>7584</v>
      </c>
      <c r="F1133" s="1" t="s">
        <v>7585</v>
      </c>
      <c r="G1133" s="1" t="s">
        <v>7586</v>
      </c>
    </row>
    <row r="1134" spans="1:7" x14ac:dyDescent="0.2">
      <c r="A1134" s="1" t="s">
        <v>7587</v>
      </c>
      <c r="B1134" s="1" t="s">
        <v>7588</v>
      </c>
      <c r="C1134" s="1" t="s">
        <v>7589</v>
      </c>
      <c r="D1134" s="1" t="s">
        <v>7590</v>
      </c>
      <c r="E1134" s="1" t="s">
        <v>7591</v>
      </c>
      <c r="F1134" s="1" t="s">
        <v>7592</v>
      </c>
      <c r="G1134" s="1" t="s">
        <v>7593</v>
      </c>
    </row>
    <row r="1135" spans="1:7" x14ac:dyDescent="0.2">
      <c r="A1135" s="1" t="s">
        <v>7594</v>
      </c>
      <c r="B1135" s="1" t="s">
        <v>7595</v>
      </c>
      <c r="C1135" s="1" t="s">
        <v>7596</v>
      </c>
      <c r="D1135" s="1" t="s">
        <v>7597</v>
      </c>
      <c r="E1135" s="1" t="s">
        <v>7598</v>
      </c>
      <c r="F1135" s="1" t="s">
        <v>7599</v>
      </c>
      <c r="G1135" s="1" t="s">
        <v>7600</v>
      </c>
    </row>
    <row r="1136" spans="1:7" x14ac:dyDescent="0.2">
      <c r="A1136" s="1" t="s">
        <v>7601</v>
      </c>
      <c r="B1136" s="1" t="s">
        <v>7602</v>
      </c>
      <c r="C1136" s="1" t="s">
        <v>7603</v>
      </c>
      <c r="D1136" s="1" t="s">
        <v>7379</v>
      </c>
      <c r="E1136" s="1" t="s">
        <v>7604</v>
      </c>
      <c r="F1136" s="1" t="s">
        <v>7605</v>
      </c>
      <c r="G1136" s="1" t="s">
        <v>7606</v>
      </c>
    </row>
    <row r="1137" spans="1:7" x14ac:dyDescent="0.2">
      <c r="A1137" s="1" t="s">
        <v>7607</v>
      </c>
      <c r="B1137" s="1" t="s">
        <v>7608</v>
      </c>
      <c r="C1137" s="1" t="s">
        <v>5604</v>
      </c>
      <c r="D1137" s="1" t="s">
        <v>7609</v>
      </c>
      <c r="E1137" s="1" t="s">
        <v>7610</v>
      </c>
      <c r="F1137" s="1" t="s">
        <v>7611</v>
      </c>
      <c r="G1137" s="1" t="s">
        <v>7612</v>
      </c>
    </row>
    <row r="1138" spans="1:7" x14ac:dyDescent="0.2">
      <c r="A1138" s="1" t="s">
        <v>7613</v>
      </c>
      <c r="B1138" s="1" t="s">
        <v>7614</v>
      </c>
      <c r="C1138" s="1" t="s">
        <v>7615</v>
      </c>
      <c r="D1138" s="1" t="s">
        <v>7616</v>
      </c>
      <c r="E1138" s="1" t="s">
        <v>7617</v>
      </c>
      <c r="F1138" s="1" t="s">
        <v>5474</v>
      </c>
      <c r="G1138" s="1" t="s">
        <v>7618</v>
      </c>
    </row>
    <row r="1139" spans="1:7" x14ac:dyDescent="0.2">
      <c r="A1139" s="1" t="s">
        <v>7619</v>
      </c>
      <c r="B1139" s="1" t="s">
        <v>7620</v>
      </c>
      <c r="C1139" s="1" t="s">
        <v>7621</v>
      </c>
      <c r="D1139" s="1" t="s">
        <v>7622</v>
      </c>
      <c r="E1139" s="1" t="s">
        <v>7623</v>
      </c>
      <c r="F1139" s="1" t="s">
        <v>7624</v>
      </c>
      <c r="G1139" s="1" t="s">
        <v>7625</v>
      </c>
    </row>
    <row r="1140" spans="1:7" x14ac:dyDescent="0.2">
      <c r="A1140" s="1" t="s">
        <v>7626</v>
      </c>
      <c r="B1140" s="1" t="s">
        <v>7627</v>
      </c>
      <c r="C1140" s="1" t="s">
        <v>7628</v>
      </c>
      <c r="D1140" s="1" t="s">
        <v>7591</v>
      </c>
      <c r="E1140" s="1" t="s">
        <v>7629</v>
      </c>
      <c r="F1140" s="1" t="s">
        <v>7630</v>
      </c>
      <c r="G1140" s="1" t="s">
        <v>7631</v>
      </c>
    </row>
    <row r="1141" spans="1:7" x14ac:dyDescent="0.2">
      <c r="A1141" s="1" t="s">
        <v>7632</v>
      </c>
      <c r="B1141" s="1" t="s">
        <v>7633</v>
      </c>
      <c r="C1141" s="1" t="s">
        <v>7634</v>
      </c>
      <c r="D1141" s="1" t="s">
        <v>7635</v>
      </c>
      <c r="E1141" s="1" t="s">
        <v>7629</v>
      </c>
      <c r="F1141" s="1" t="s">
        <v>7636</v>
      </c>
      <c r="G1141" s="1" t="s">
        <v>7637</v>
      </c>
    </row>
    <row r="1142" spans="1:7" x14ac:dyDescent="0.2">
      <c r="A1142" s="1" t="s">
        <v>7638</v>
      </c>
      <c r="B1142" s="1" t="s">
        <v>7639</v>
      </c>
      <c r="C1142" s="1" t="s">
        <v>7640</v>
      </c>
      <c r="D1142" s="1" t="s">
        <v>7641</v>
      </c>
      <c r="E1142" s="1" t="s">
        <v>7642</v>
      </c>
      <c r="F1142" s="1" t="s">
        <v>7643</v>
      </c>
      <c r="G1142" s="1" t="s">
        <v>7644</v>
      </c>
    </row>
    <row r="1143" spans="1:7" x14ac:dyDescent="0.2">
      <c r="A1143" s="1" t="s">
        <v>7645</v>
      </c>
      <c r="B1143" s="1" t="s">
        <v>7646</v>
      </c>
      <c r="C1143" s="1" t="s">
        <v>7647</v>
      </c>
      <c r="D1143" s="1" t="s">
        <v>7648</v>
      </c>
      <c r="E1143" s="1" t="s">
        <v>7649</v>
      </c>
      <c r="F1143" s="1" t="s">
        <v>7650</v>
      </c>
      <c r="G1143" s="1" t="s">
        <v>7651</v>
      </c>
    </row>
    <row r="1144" spans="1:7" x14ac:dyDescent="0.2">
      <c r="A1144" s="1" t="s">
        <v>7652</v>
      </c>
      <c r="B1144" s="1" t="s">
        <v>7653</v>
      </c>
      <c r="C1144" s="1" t="s">
        <v>7654</v>
      </c>
      <c r="D1144" s="1" t="s">
        <v>5538</v>
      </c>
      <c r="E1144" s="1" t="s">
        <v>7655</v>
      </c>
      <c r="F1144" s="1" t="s">
        <v>7656</v>
      </c>
      <c r="G1144" s="1" t="s">
        <v>7657</v>
      </c>
    </row>
    <row r="1145" spans="1:7" x14ac:dyDescent="0.2">
      <c r="A1145" s="1" t="s">
        <v>7658</v>
      </c>
      <c r="B1145" s="1" t="s">
        <v>7659</v>
      </c>
      <c r="C1145" s="1" t="s">
        <v>7660</v>
      </c>
      <c r="D1145" s="1" t="s">
        <v>7661</v>
      </c>
      <c r="E1145" s="1" t="s">
        <v>7662</v>
      </c>
      <c r="F1145" s="1" t="s">
        <v>7663</v>
      </c>
      <c r="G1145" s="1" t="s">
        <v>7664</v>
      </c>
    </row>
    <row r="1146" spans="1:7" x14ac:dyDescent="0.2">
      <c r="A1146" s="1" t="s">
        <v>7665</v>
      </c>
      <c r="B1146" s="1" t="s">
        <v>7666</v>
      </c>
      <c r="C1146" s="1" t="s">
        <v>7667</v>
      </c>
      <c r="D1146" s="1" t="s">
        <v>7668</v>
      </c>
      <c r="E1146" s="1" t="s">
        <v>7669</v>
      </c>
      <c r="F1146" s="1" t="s">
        <v>7670</v>
      </c>
      <c r="G1146" s="1" t="s">
        <v>7671</v>
      </c>
    </row>
    <row r="1147" spans="1:7" x14ac:dyDescent="0.2">
      <c r="A1147" s="1" t="s">
        <v>7672</v>
      </c>
      <c r="B1147" s="1" t="s">
        <v>7673</v>
      </c>
      <c r="C1147" s="1" t="s">
        <v>7674</v>
      </c>
      <c r="D1147" s="1" t="s">
        <v>7675</v>
      </c>
      <c r="E1147" s="1" t="s">
        <v>7676</v>
      </c>
      <c r="F1147" s="1" t="s">
        <v>7677</v>
      </c>
      <c r="G1147" s="1" t="s">
        <v>7678</v>
      </c>
    </row>
    <row r="1148" spans="1:7" x14ac:dyDescent="0.2">
      <c r="A1148" s="1" t="s">
        <v>7679</v>
      </c>
      <c r="B1148" s="1" t="s">
        <v>7680</v>
      </c>
      <c r="C1148" s="1" t="s">
        <v>7681</v>
      </c>
      <c r="D1148" s="1" t="s">
        <v>7682</v>
      </c>
      <c r="E1148" s="1" t="s">
        <v>7683</v>
      </c>
      <c r="F1148" s="1" t="s">
        <v>7684</v>
      </c>
      <c r="G1148" s="1" t="s">
        <v>7685</v>
      </c>
    </row>
    <row r="1149" spans="1:7" x14ac:dyDescent="0.2">
      <c r="A1149" s="1" t="s">
        <v>7686</v>
      </c>
      <c r="B1149" s="1" t="s">
        <v>7687</v>
      </c>
      <c r="C1149" s="1" t="s">
        <v>7688</v>
      </c>
      <c r="D1149" s="1" t="s">
        <v>7689</v>
      </c>
      <c r="E1149" s="1" t="s">
        <v>7690</v>
      </c>
      <c r="F1149" s="1" t="s">
        <v>7691</v>
      </c>
      <c r="G1149" s="1" t="s">
        <v>7692</v>
      </c>
    </row>
    <row r="1150" spans="1:7" x14ac:dyDescent="0.2">
      <c r="A1150" s="1" t="s">
        <v>7693</v>
      </c>
      <c r="B1150" s="1" t="s">
        <v>7694</v>
      </c>
      <c r="C1150" s="1" t="s">
        <v>7695</v>
      </c>
      <c r="D1150" s="1" t="s">
        <v>7696</v>
      </c>
      <c r="E1150" s="1" t="s">
        <v>7697</v>
      </c>
      <c r="F1150" s="1" t="s">
        <v>7698</v>
      </c>
      <c r="G1150" s="1" t="s">
        <v>7699</v>
      </c>
    </row>
    <row r="1151" spans="1:7" x14ac:dyDescent="0.2">
      <c r="A1151" s="1" t="s">
        <v>7700</v>
      </c>
      <c r="B1151" s="1" t="s">
        <v>7701</v>
      </c>
      <c r="C1151" s="1" t="s">
        <v>7702</v>
      </c>
      <c r="D1151" s="1" t="s">
        <v>7703</v>
      </c>
      <c r="E1151" s="1" t="s">
        <v>7704</v>
      </c>
      <c r="F1151" s="1" t="s">
        <v>7705</v>
      </c>
      <c r="G1151" s="1" t="s">
        <v>7706</v>
      </c>
    </row>
    <row r="1152" spans="1:7" x14ac:dyDescent="0.2">
      <c r="A1152" s="1" t="s">
        <v>7707</v>
      </c>
      <c r="B1152" s="1" t="s">
        <v>7708</v>
      </c>
      <c r="C1152" s="1" t="s">
        <v>7709</v>
      </c>
      <c r="D1152" s="1" t="s">
        <v>7411</v>
      </c>
      <c r="E1152" s="1" t="s">
        <v>7710</v>
      </c>
      <c r="F1152" s="1" t="s">
        <v>7711</v>
      </c>
      <c r="G1152" s="1" t="s">
        <v>7712</v>
      </c>
    </row>
    <row r="1153" spans="1:7" x14ac:dyDescent="0.2">
      <c r="A1153" s="1" t="s">
        <v>7713</v>
      </c>
      <c r="B1153" s="1" t="s">
        <v>7714</v>
      </c>
      <c r="C1153" s="1" t="s">
        <v>7715</v>
      </c>
      <c r="D1153" s="1" t="s">
        <v>7716</v>
      </c>
      <c r="E1153" s="1" t="s">
        <v>7717</v>
      </c>
      <c r="F1153" s="1" t="s">
        <v>7718</v>
      </c>
      <c r="G1153" s="1" t="s">
        <v>7719</v>
      </c>
    </row>
    <row r="1154" spans="1:7" x14ac:dyDescent="0.2">
      <c r="A1154" s="1" t="s">
        <v>7720</v>
      </c>
      <c r="B1154" s="1" t="s">
        <v>7721</v>
      </c>
      <c r="C1154" s="1" t="s">
        <v>7722</v>
      </c>
      <c r="D1154" s="1" t="s">
        <v>7723</v>
      </c>
      <c r="E1154" s="1" t="s">
        <v>7724</v>
      </c>
      <c r="F1154" s="1" t="s">
        <v>7725</v>
      </c>
      <c r="G1154" s="1" t="s">
        <v>7726</v>
      </c>
    </row>
    <row r="1155" spans="1:7" x14ac:dyDescent="0.2">
      <c r="A1155" s="1" t="s">
        <v>7727</v>
      </c>
      <c r="B1155" s="1" t="s">
        <v>7728</v>
      </c>
      <c r="C1155" s="1" t="s">
        <v>7729</v>
      </c>
      <c r="D1155" s="1" t="s">
        <v>7730</v>
      </c>
      <c r="E1155" s="1" t="s">
        <v>7731</v>
      </c>
      <c r="F1155" s="1" t="s">
        <v>7732</v>
      </c>
      <c r="G1155" s="1" t="s">
        <v>7733</v>
      </c>
    </row>
    <row r="1156" spans="1:7" x14ac:dyDescent="0.2">
      <c r="A1156" s="1" t="s">
        <v>7734</v>
      </c>
      <c r="B1156" s="1" t="s">
        <v>7735</v>
      </c>
      <c r="C1156" s="1" t="s">
        <v>7736</v>
      </c>
      <c r="D1156" s="1" t="s">
        <v>7737</v>
      </c>
      <c r="E1156" s="1" t="s">
        <v>7738</v>
      </c>
      <c r="F1156" s="1" t="s">
        <v>7739</v>
      </c>
      <c r="G1156" s="1" t="s">
        <v>7740</v>
      </c>
    </row>
    <row r="1157" spans="1:7" x14ac:dyDescent="0.2">
      <c r="A1157" s="1" t="s">
        <v>7741</v>
      </c>
      <c r="B1157" s="1" t="s">
        <v>7742</v>
      </c>
      <c r="C1157" s="1" t="s">
        <v>7743</v>
      </c>
      <c r="D1157" s="1" t="s">
        <v>7744</v>
      </c>
      <c r="E1157" s="1" t="s">
        <v>7351</v>
      </c>
      <c r="F1157" s="1" t="s">
        <v>7745</v>
      </c>
      <c r="G1157" s="1" t="s">
        <v>7746</v>
      </c>
    </row>
    <row r="1158" spans="1:7" x14ac:dyDescent="0.2">
      <c r="A1158" s="1" t="s">
        <v>7747</v>
      </c>
      <c r="B1158" s="1" t="s">
        <v>7748</v>
      </c>
      <c r="C1158" s="1" t="s">
        <v>7749</v>
      </c>
      <c r="D1158" s="1" t="s">
        <v>7750</v>
      </c>
      <c r="E1158" s="1" t="s">
        <v>7447</v>
      </c>
      <c r="F1158" s="1" t="s">
        <v>7469</v>
      </c>
      <c r="G1158" s="1" t="s">
        <v>7751</v>
      </c>
    </row>
    <row r="1159" spans="1:7" x14ac:dyDescent="0.2">
      <c r="A1159" s="1" t="s">
        <v>7752</v>
      </c>
      <c r="B1159" s="1" t="s">
        <v>7753</v>
      </c>
      <c r="C1159" s="1" t="s">
        <v>7754</v>
      </c>
      <c r="D1159" s="1" t="s">
        <v>7755</v>
      </c>
      <c r="E1159" s="1" t="s">
        <v>7756</v>
      </c>
      <c r="F1159" s="1" t="s">
        <v>7757</v>
      </c>
      <c r="G1159" s="1" t="s">
        <v>7758</v>
      </c>
    </row>
    <row r="1160" spans="1:7" x14ac:dyDescent="0.2">
      <c r="A1160" s="1" t="s">
        <v>7759</v>
      </c>
      <c r="B1160" s="1" t="s">
        <v>7760</v>
      </c>
      <c r="C1160" s="1" t="s">
        <v>7761</v>
      </c>
      <c r="D1160" s="1" t="s">
        <v>7762</v>
      </c>
      <c r="E1160" s="1" t="s">
        <v>7292</v>
      </c>
      <c r="F1160" s="1" t="s">
        <v>7763</v>
      </c>
      <c r="G1160" s="1" t="s">
        <v>7764</v>
      </c>
    </row>
    <row r="1161" spans="1:7" x14ac:dyDescent="0.2">
      <c r="A1161" s="1" t="s">
        <v>7765</v>
      </c>
      <c r="B1161" s="1" t="s">
        <v>7766</v>
      </c>
      <c r="C1161" s="1" t="s">
        <v>7767</v>
      </c>
      <c r="D1161" s="1" t="s">
        <v>7768</v>
      </c>
      <c r="E1161" s="1" t="s">
        <v>7769</v>
      </c>
      <c r="F1161" s="1" t="s">
        <v>7770</v>
      </c>
      <c r="G1161" s="1" t="s">
        <v>7771</v>
      </c>
    </row>
    <row r="1162" spans="1:7" x14ac:dyDescent="0.2">
      <c r="A1162" s="1" t="s">
        <v>7772</v>
      </c>
      <c r="B1162" s="1" t="s">
        <v>7773</v>
      </c>
      <c r="C1162" s="1" t="s">
        <v>7774</v>
      </c>
      <c r="D1162" s="1" t="s">
        <v>7775</v>
      </c>
      <c r="E1162" s="1" t="s">
        <v>7776</v>
      </c>
      <c r="F1162" s="1" t="s">
        <v>7777</v>
      </c>
      <c r="G1162" s="1" t="s">
        <v>7778</v>
      </c>
    </row>
    <row r="1163" spans="1:7" x14ac:dyDescent="0.2">
      <c r="A1163" s="1" t="s">
        <v>7779</v>
      </c>
      <c r="B1163" s="1" t="s">
        <v>7780</v>
      </c>
      <c r="C1163" s="1" t="s">
        <v>7781</v>
      </c>
      <c r="D1163" s="1" t="s">
        <v>7782</v>
      </c>
      <c r="E1163" s="1" t="s">
        <v>7783</v>
      </c>
      <c r="F1163" s="1" t="s">
        <v>7784</v>
      </c>
      <c r="G1163" s="1" t="s">
        <v>7785</v>
      </c>
    </row>
    <row r="1164" spans="1:7" x14ac:dyDescent="0.2">
      <c r="A1164" s="1" t="s">
        <v>7786</v>
      </c>
      <c r="B1164" s="1" t="s">
        <v>7787</v>
      </c>
      <c r="C1164" s="1" t="s">
        <v>7788</v>
      </c>
      <c r="D1164" s="1" t="s">
        <v>7405</v>
      </c>
      <c r="E1164" s="1" t="s">
        <v>7789</v>
      </c>
      <c r="F1164" s="1" t="s">
        <v>7790</v>
      </c>
      <c r="G1164" s="1" t="s">
        <v>7791</v>
      </c>
    </row>
    <row r="1165" spans="1:7" x14ac:dyDescent="0.2">
      <c r="A1165" s="1" t="s">
        <v>7792</v>
      </c>
      <c r="B1165" s="1" t="s">
        <v>7793</v>
      </c>
      <c r="C1165" s="1" t="s">
        <v>7794</v>
      </c>
      <c r="D1165" s="1" t="s">
        <v>7795</v>
      </c>
      <c r="E1165" s="1" t="s">
        <v>7796</v>
      </c>
      <c r="F1165" s="1" t="s">
        <v>7797</v>
      </c>
      <c r="G1165" s="1" t="s">
        <v>7798</v>
      </c>
    </row>
    <row r="1166" spans="1:7" x14ac:dyDescent="0.2">
      <c r="A1166" s="1" t="s">
        <v>7799</v>
      </c>
      <c r="B1166" s="1" t="s">
        <v>7800</v>
      </c>
      <c r="C1166" s="1" t="s">
        <v>7801</v>
      </c>
      <c r="D1166" s="1" t="s">
        <v>7802</v>
      </c>
      <c r="E1166" s="1" t="s">
        <v>7803</v>
      </c>
      <c r="F1166" s="1" t="s">
        <v>7804</v>
      </c>
      <c r="G1166" s="1" t="s">
        <v>7805</v>
      </c>
    </row>
    <row r="1167" spans="1:7" x14ac:dyDescent="0.2">
      <c r="A1167" s="1" t="s">
        <v>7806</v>
      </c>
      <c r="B1167" s="1" t="s">
        <v>7807</v>
      </c>
      <c r="C1167" s="1" t="s">
        <v>7808</v>
      </c>
      <c r="D1167" s="1" t="s">
        <v>7809</v>
      </c>
      <c r="E1167" s="1" t="s">
        <v>7810</v>
      </c>
      <c r="F1167" s="1" t="s">
        <v>7811</v>
      </c>
      <c r="G1167" s="1" t="s">
        <v>7812</v>
      </c>
    </row>
    <row r="1168" spans="1:7" x14ac:dyDescent="0.2">
      <c r="A1168" s="1" t="s">
        <v>7813</v>
      </c>
      <c r="B1168" s="1" t="s">
        <v>7814</v>
      </c>
      <c r="C1168" s="1" t="s">
        <v>7815</v>
      </c>
      <c r="D1168" s="1" t="s">
        <v>7816</v>
      </c>
      <c r="E1168" s="1" t="s">
        <v>7817</v>
      </c>
      <c r="F1168" s="1" t="s">
        <v>7818</v>
      </c>
      <c r="G1168" s="1" t="s">
        <v>7819</v>
      </c>
    </row>
    <row r="1169" spans="1:7" x14ac:dyDescent="0.2">
      <c r="A1169" s="1" t="s">
        <v>7820</v>
      </c>
      <c r="B1169" s="1" t="s">
        <v>7821</v>
      </c>
      <c r="C1169" s="1" t="s">
        <v>7822</v>
      </c>
      <c r="D1169" s="1" t="s">
        <v>7823</v>
      </c>
      <c r="E1169" s="1" t="s">
        <v>7824</v>
      </c>
      <c r="F1169" s="1" t="s">
        <v>7825</v>
      </c>
      <c r="G1169" s="1" t="s">
        <v>7826</v>
      </c>
    </row>
    <row r="1170" spans="1:7" x14ac:dyDescent="0.2">
      <c r="A1170" s="1" t="s">
        <v>7827</v>
      </c>
      <c r="B1170" s="1" t="s">
        <v>7828</v>
      </c>
      <c r="C1170" s="1" t="s">
        <v>7829</v>
      </c>
      <c r="D1170" s="1" t="s">
        <v>7830</v>
      </c>
      <c r="E1170" s="1" t="s">
        <v>7831</v>
      </c>
      <c r="F1170" s="1" t="s">
        <v>7832</v>
      </c>
      <c r="G1170" s="1" t="s">
        <v>7833</v>
      </c>
    </row>
    <row r="1171" spans="1:7" x14ac:dyDescent="0.2">
      <c r="A1171" s="1" t="s">
        <v>7834</v>
      </c>
      <c r="B1171" s="1" t="s">
        <v>7835</v>
      </c>
      <c r="C1171" s="1" t="s">
        <v>7836</v>
      </c>
      <c r="D1171" s="1" t="s">
        <v>7837</v>
      </c>
      <c r="E1171" s="1" t="s">
        <v>7838</v>
      </c>
      <c r="F1171" s="1" t="s">
        <v>7839</v>
      </c>
      <c r="G1171" s="1" t="s">
        <v>7840</v>
      </c>
    </row>
    <row r="1172" spans="1:7" x14ac:dyDescent="0.2">
      <c r="A1172" s="1" t="s">
        <v>7841</v>
      </c>
      <c r="B1172" s="1" t="s">
        <v>7842</v>
      </c>
      <c r="C1172" s="1" t="s">
        <v>7843</v>
      </c>
      <c r="D1172" s="1" t="s">
        <v>7844</v>
      </c>
      <c r="E1172" s="1" t="s">
        <v>7845</v>
      </c>
      <c r="F1172" s="1" t="s">
        <v>7846</v>
      </c>
      <c r="G1172" s="1" t="s">
        <v>7847</v>
      </c>
    </row>
    <row r="1173" spans="1:7" x14ac:dyDescent="0.2">
      <c r="A1173" s="1" t="s">
        <v>7848</v>
      </c>
      <c r="B1173" s="1" t="s">
        <v>7849</v>
      </c>
      <c r="C1173" s="1" t="s">
        <v>7850</v>
      </c>
      <c r="D1173" s="1" t="s">
        <v>7851</v>
      </c>
      <c r="E1173" s="1" t="s">
        <v>7852</v>
      </c>
      <c r="F1173" s="1" t="s">
        <v>7853</v>
      </c>
      <c r="G1173" s="1" t="s">
        <v>7854</v>
      </c>
    </row>
    <row r="1174" spans="1:7" x14ac:dyDescent="0.2">
      <c r="A1174" s="1" t="s">
        <v>7855</v>
      </c>
      <c r="B1174" s="1" t="s">
        <v>7856</v>
      </c>
      <c r="C1174" s="1" t="s">
        <v>7857</v>
      </c>
      <c r="D1174" s="1" t="s">
        <v>7858</v>
      </c>
      <c r="E1174" s="1" t="s">
        <v>7859</v>
      </c>
      <c r="F1174" s="1" t="s">
        <v>7860</v>
      </c>
      <c r="G1174" s="1" t="s">
        <v>7861</v>
      </c>
    </row>
    <row r="1175" spans="1:7" x14ac:dyDescent="0.2">
      <c r="A1175" s="1" t="s">
        <v>7862</v>
      </c>
      <c r="B1175" s="1" t="s">
        <v>7863</v>
      </c>
      <c r="C1175" s="1" t="s">
        <v>7864</v>
      </c>
      <c r="D1175" s="1" t="s">
        <v>7865</v>
      </c>
      <c r="E1175" s="1" t="s">
        <v>7866</v>
      </c>
      <c r="F1175" s="1" t="s">
        <v>7867</v>
      </c>
      <c r="G1175" s="1" t="s">
        <v>7868</v>
      </c>
    </row>
    <row r="1176" spans="1:7" x14ac:dyDescent="0.2">
      <c r="A1176" s="1" t="s">
        <v>7869</v>
      </c>
      <c r="B1176" s="1" t="s">
        <v>7870</v>
      </c>
      <c r="C1176" s="1" t="s">
        <v>7871</v>
      </c>
      <c r="D1176" s="1" t="s">
        <v>7872</v>
      </c>
      <c r="E1176" s="1" t="s">
        <v>7873</v>
      </c>
      <c r="F1176" s="1" t="s">
        <v>7874</v>
      </c>
      <c r="G1176" s="1" t="s">
        <v>7875</v>
      </c>
    </row>
    <row r="1177" spans="1:7" x14ac:dyDescent="0.2">
      <c r="A1177" s="1" t="s">
        <v>7876</v>
      </c>
      <c r="B1177" s="1" t="s">
        <v>7877</v>
      </c>
      <c r="C1177" s="1" t="s">
        <v>7878</v>
      </c>
      <c r="D1177" s="1" t="s">
        <v>7879</v>
      </c>
      <c r="E1177" s="1" t="s">
        <v>7880</v>
      </c>
      <c r="F1177" s="1" t="s">
        <v>7442</v>
      </c>
      <c r="G1177" s="1" t="s">
        <v>7881</v>
      </c>
    </row>
    <row r="1178" spans="1:7" x14ac:dyDescent="0.2">
      <c r="A1178" s="1" t="s">
        <v>7882</v>
      </c>
      <c r="B1178" s="1" t="s">
        <v>7883</v>
      </c>
      <c r="C1178" s="1" t="s">
        <v>7884</v>
      </c>
      <c r="D1178" s="1" t="s">
        <v>7885</v>
      </c>
      <c r="E1178" s="1" t="s">
        <v>7886</v>
      </c>
      <c r="F1178" s="1" t="s">
        <v>7887</v>
      </c>
      <c r="G1178" s="1" t="s">
        <v>7888</v>
      </c>
    </row>
    <row r="1179" spans="1:7" x14ac:dyDescent="0.2">
      <c r="A1179" s="1" t="s">
        <v>7889</v>
      </c>
      <c r="B1179" s="1" t="s">
        <v>7890</v>
      </c>
      <c r="C1179" s="1" t="s">
        <v>7891</v>
      </c>
      <c r="D1179" s="1" t="s">
        <v>7892</v>
      </c>
      <c r="E1179" s="1" t="s">
        <v>7893</v>
      </c>
      <c r="F1179" s="1" t="s">
        <v>7894</v>
      </c>
      <c r="G1179" s="1" t="s">
        <v>7895</v>
      </c>
    </row>
    <row r="1180" spans="1:7" x14ac:dyDescent="0.2">
      <c r="A1180" s="1" t="s">
        <v>7896</v>
      </c>
      <c r="B1180" s="1" t="s">
        <v>7897</v>
      </c>
      <c r="C1180" s="1" t="s">
        <v>7898</v>
      </c>
      <c r="D1180" s="1" t="s">
        <v>7899</v>
      </c>
      <c r="E1180" s="1" t="s">
        <v>7900</v>
      </c>
      <c r="F1180" s="1" t="s">
        <v>7901</v>
      </c>
      <c r="G1180" s="1" t="s">
        <v>7902</v>
      </c>
    </row>
    <row r="1181" spans="1:7" x14ac:dyDescent="0.2">
      <c r="A1181" s="1" t="s">
        <v>7903</v>
      </c>
      <c r="B1181" s="1" t="s">
        <v>7904</v>
      </c>
      <c r="C1181" s="1" t="s">
        <v>7905</v>
      </c>
      <c r="D1181" s="1" t="s">
        <v>7906</v>
      </c>
      <c r="E1181" s="1" t="s">
        <v>5190</v>
      </c>
      <c r="F1181" s="1" t="s">
        <v>7907</v>
      </c>
      <c r="G1181" s="1" t="s">
        <v>7908</v>
      </c>
    </row>
    <row r="1182" spans="1:7" x14ac:dyDescent="0.2">
      <c r="A1182" s="1" t="s">
        <v>7909</v>
      </c>
      <c r="B1182" s="1" t="s">
        <v>7910</v>
      </c>
      <c r="C1182" s="1" t="s">
        <v>7911</v>
      </c>
      <c r="D1182" s="1" t="s">
        <v>7912</v>
      </c>
      <c r="E1182" s="1" t="s">
        <v>7913</v>
      </c>
      <c r="F1182" s="1" t="s">
        <v>7914</v>
      </c>
      <c r="G1182" s="1" t="s">
        <v>7915</v>
      </c>
    </row>
    <row r="1183" spans="1:7" x14ac:dyDescent="0.2">
      <c r="A1183" s="1" t="s">
        <v>7916</v>
      </c>
      <c r="B1183" s="1" t="s">
        <v>7917</v>
      </c>
      <c r="C1183" s="1" t="s">
        <v>7918</v>
      </c>
      <c r="D1183" s="1" t="s">
        <v>7919</v>
      </c>
      <c r="E1183" s="1" t="s">
        <v>7920</v>
      </c>
      <c r="F1183" s="1" t="s">
        <v>7921</v>
      </c>
      <c r="G1183" s="1" t="s">
        <v>7922</v>
      </c>
    </row>
    <row r="1184" spans="1:7" x14ac:dyDescent="0.2">
      <c r="A1184" s="1" t="s">
        <v>7923</v>
      </c>
      <c r="B1184" s="1" t="s">
        <v>7924</v>
      </c>
      <c r="C1184" s="1" t="s">
        <v>7925</v>
      </c>
      <c r="D1184" s="1" t="s">
        <v>7926</v>
      </c>
      <c r="E1184" s="1" t="s">
        <v>7927</v>
      </c>
      <c r="F1184" s="1" t="s">
        <v>5641</v>
      </c>
      <c r="G1184" s="1" t="s">
        <v>7928</v>
      </c>
    </row>
    <row r="1185" spans="1:7" x14ac:dyDescent="0.2">
      <c r="A1185" s="1" t="s">
        <v>7929</v>
      </c>
      <c r="B1185" s="1" t="s">
        <v>7930</v>
      </c>
      <c r="C1185" s="1" t="s">
        <v>7931</v>
      </c>
      <c r="D1185" s="1" t="s">
        <v>7932</v>
      </c>
      <c r="E1185" s="1" t="s">
        <v>7933</v>
      </c>
      <c r="F1185" s="1" t="s">
        <v>5656</v>
      </c>
      <c r="G1185" s="1" t="s">
        <v>7934</v>
      </c>
    </row>
    <row r="1186" spans="1:7" x14ac:dyDescent="0.2">
      <c r="A1186" s="1" t="s">
        <v>7935</v>
      </c>
      <c r="B1186" s="1" t="s">
        <v>7936</v>
      </c>
      <c r="C1186" s="1" t="s">
        <v>7937</v>
      </c>
      <c r="D1186" s="1" t="s">
        <v>7938</v>
      </c>
      <c r="E1186" s="1" t="s">
        <v>7939</v>
      </c>
      <c r="F1186" s="1" t="s">
        <v>7940</v>
      </c>
      <c r="G1186" s="1" t="s">
        <v>7941</v>
      </c>
    </row>
    <row r="1187" spans="1:7" x14ac:dyDescent="0.2">
      <c r="A1187" s="1" t="s">
        <v>7942</v>
      </c>
      <c r="B1187" s="1" t="s">
        <v>7943</v>
      </c>
      <c r="C1187" s="1" t="s">
        <v>7944</v>
      </c>
      <c r="D1187" s="1" t="s">
        <v>7945</v>
      </c>
      <c r="E1187" s="1" t="s">
        <v>7946</v>
      </c>
      <c r="F1187" s="1" t="s">
        <v>7947</v>
      </c>
      <c r="G1187" s="1" t="s">
        <v>7948</v>
      </c>
    </row>
    <row r="1188" spans="1:7" x14ac:dyDescent="0.2">
      <c r="A1188" s="1" t="s">
        <v>7949</v>
      </c>
      <c r="B1188" s="1" t="s">
        <v>7950</v>
      </c>
      <c r="C1188" s="1" t="s">
        <v>7951</v>
      </c>
      <c r="D1188" s="1" t="s">
        <v>7952</v>
      </c>
      <c r="E1188" s="1" t="s">
        <v>7953</v>
      </c>
      <c r="F1188" s="1" t="s">
        <v>7954</v>
      </c>
      <c r="G1188" s="1" t="s">
        <v>7955</v>
      </c>
    </row>
    <row r="1189" spans="1:7" x14ac:dyDescent="0.2">
      <c r="A1189" s="1" t="s">
        <v>7956</v>
      </c>
      <c r="B1189" s="1" t="s">
        <v>7957</v>
      </c>
      <c r="C1189" s="1" t="s">
        <v>7958</v>
      </c>
      <c r="D1189" s="1" t="s">
        <v>7959</v>
      </c>
      <c r="E1189" s="1" t="s">
        <v>7960</v>
      </c>
      <c r="F1189" s="1" t="s">
        <v>7961</v>
      </c>
      <c r="G1189" s="1" t="s">
        <v>7962</v>
      </c>
    </row>
    <row r="1190" spans="1:7" x14ac:dyDescent="0.2">
      <c r="A1190" s="1" t="s">
        <v>7963</v>
      </c>
      <c r="B1190" s="1" t="s">
        <v>7964</v>
      </c>
      <c r="C1190" s="1" t="s">
        <v>4734</v>
      </c>
      <c r="D1190" s="1" t="s">
        <v>7965</v>
      </c>
      <c r="E1190" s="1" t="s">
        <v>7966</v>
      </c>
      <c r="F1190" s="1" t="s">
        <v>7967</v>
      </c>
      <c r="G1190" s="1" t="s">
        <v>7968</v>
      </c>
    </row>
    <row r="1191" spans="1:7" x14ac:dyDescent="0.2">
      <c r="A1191" s="1" t="s">
        <v>7969</v>
      </c>
      <c r="B1191" s="1" t="s">
        <v>7970</v>
      </c>
      <c r="C1191" s="1" t="s">
        <v>7971</v>
      </c>
      <c r="D1191" s="1" t="s">
        <v>7972</v>
      </c>
      <c r="E1191" s="1" t="s">
        <v>7973</v>
      </c>
      <c r="F1191" s="1" t="s">
        <v>7974</v>
      </c>
      <c r="G1191" s="1" t="s">
        <v>7975</v>
      </c>
    </row>
    <row r="1192" spans="1:7" x14ac:dyDescent="0.2">
      <c r="A1192" s="1" t="s">
        <v>7976</v>
      </c>
      <c r="B1192" s="1" t="s">
        <v>7977</v>
      </c>
      <c r="C1192" s="1" t="s">
        <v>7978</v>
      </c>
      <c r="D1192" s="1" t="s">
        <v>7979</v>
      </c>
      <c r="E1192" s="1" t="s">
        <v>7980</v>
      </c>
      <c r="F1192" s="1" t="s">
        <v>7981</v>
      </c>
      <c r="G1192" s="1" t="s">
        <v>7982</v>
      </c>
    </row>
    <row r="1193" spans="1:7" x14ac:dyDescent="0.2">
      <c r="A1193" s="1" t="s">
        <v>7983</v>
      </c>
      <c r="B1193" s="1" t="s">
        <v>7984</v>
      </c>
      <c r="C1193" s="1" t="s">
        <v>7985</v>
      </c>
      <c r="D1193" s="1" t="s">
        <v>7986</v>
      </c>
      <c r="E1193" s="1" t="s">
        <v>7987</v>
      </c>
      <c r="F1193" s="1" t="s">
        <v>7988</v>
      </c>
      <c r="G1193" s="1" t="s">
        <v>7989</v>
      </c>
    </row>
    <row r="1194" spans="1:7" x14ac:dyDescent="0.2">
      <c r="A1194" s="1" t="s">
        <v>7990</v>
      </c>
      <c r="B1194" s="1" t="s">
        <v>7991</v>
      </c>
      <c r="C1194" s="1" t="s">
        <v>7992</v>
      </c>
      <c r="D1194" s="1" t="s">
        <v>7993</v>
      </c>
      <c r="E1194" s="1" t="s">
        <v>7994</v>
      </c>
      <c r="F1194" s="1" t="s">
        <v>7995</v>
      </c>
      <c r="G1194" s="1" t="s">
        <v>7996</v>
      </c>
    </row>
    <row r="1195" spans="1:7" x14ac:dyDescent="0.2">
      <c r="A1195" s="1" t="s">
        <v>7997</v>
      </c>
      <c r="B1195" s="1" t="s">
        <v>7998</v>
      </c>
      <c r="C1195" s="1" t="s">
        <v>7999</v>
      </c>
      <c r="D1195" s="1" t="s">
        <v>8000</v>
      </c>
      <c r="E1195" s="1" t="s">
        <v>8001</v>
      </c>
      <c r="F1195" s="1" t="s">
        <v>8002</v>
      </c>
      <c r="G1195" s="1" t="s">
        <v>8003</v>
      </c>
    </row>
    <row r="1196" spans="1:7" x14ac:dyDescent="0.2">
      <c r="A1196" s="1" t="s">
        <v>8004</v>
      </c>
      <c r="B1196" s="1" t="s">
        <v>8005</v>
      </c>
      <c r="C1196" s="1" t="s">
        <v>8006</v>
      </c>
      <c r="D1196" s="1" t="s">
        <v>8007</v>
      </c>
      <c r="E1196" s="1" t="s">
        <v>8008</v>
      </c>
      <c r="F1196" s="1" t="s">
        <v>8009</v>
      </c>
      <c r="G1196" s="1" t="s">
        <v>8010</v>
      </c>
    </row>
    <row r="1197" spans="1:7" x14ac:dyDescent="0.2">
      <c r="A1197" s="1" t="s">
        <v>8011</v>
      </c>
      <c r="B1197" s="1" t="s">
        <v>8012</v>
      </c>
      <c r="C1197" s="1" t="s">
        <v>8013</v>
      </c>
      <c r="D1197" s="1" t="s">
        <v>8014</v>
      </c>
      <c r="E1197" s="1" t="s">
        <v>8015</v>
      </c>
      <c r="F1197" s="1" t="s">
        <v>8016</v>
      </c>
      <c r="G1197" s="1" t="s">
        <v>8017</v>
      </c>
    </row>
    <row r="1198" spans="1:7" x14ac:dyDescent="0.2">
      <c r="A1198" s="1" t="s">
        <v>8018</v>
      </c>
      <c r="B1198" s="1" t="s">
        <v>8019</v>
      </c>
      <c r="C1198" s="1" t="s">
        <v>8014</v>
      </c>
      <c r="D1198" s="1" t="s">
        <v>4943</v>
      </c>
      <c r="E1198" s="1" t="s">
        <v>8020</v>
      </c>
      <c r="F1198" s="1" t="s">
        <v>8021</v>
      </c>
      <c r="G1198" s="1" t="s">
        <v>8022</v>
      </c>
    </row>
    <row r="1199" spans="1:7" x14ac:dyDescent="0.2">
      <c r="A1199" s="1" t="s">
        <v>8023</v>
      </c>
      <c r="B1199" s="1" t="s">
        <v>8024</v>
      </c>
      <c r="C1199" s="1" t="s">
        <v>8025</v>
      </c>
      <c r="D1199" s="1" t="s">
        <v>8026</v>
      </c>
      <c r="E1199" s="1" t="s">
        <v>8027</v>
      </c>
      <c r="F1199" s="1" t="s">
        <v>8028</v>
      </c>
      <c r="G1199" s="1" t="s">
        <v>8029</v>
      </c>
    </row>
    <row r="1200" spans="1:7" x14ac:dyDescent="0.2">
      <c r="A1200" s="1" t="s">
        <v>8030</v>
      </c>
      <c r="B1200" s="1" t="s">
        <v>8031</v>
      </c>
      <c r="C1200" s="1" t="s">
        <v>8032</v>
      </c>
      <c r="D1200" s="1" t="s">
        <v>8033</v>
      </c>
      <c r="E1200" s="1" t="s">
        <v>8034</v>
      </c>
      <c r="F1200" s="1" t="s">
        <v>8035</v>
      </c>
      <c r="G1200" s="1" t="s">
        <v>8036</v>
      </c>
    </row>
    <row r="1201" spans="1:7" x14ac:dyDescent="0.2">
      <c r="A1201" s="1" t="s">
        <v>8037</v>
      </c>
      <c r="B1201" s="1" t="s">
        <v>8038</v>
      </c>
      <c r="C1201" s="1" t="s">
        <v>8039</v>
      </c>
      <c r="D1201" s="1" t="s">
        <v>8040</v>
      </c>
      <c r="E1201" s="1" t="s">
        <v>8041</v>
      </c>
      <c r="F1201" s="1" t="s">
        <v>8042</v>
      </c>
      <c r="G1201" s="1" t="s">
        <v>8043</v>
      </c>
    </row>
    <row r="1202" spans="1:7" x14ac:dyDescent="0.2">
      <c r="A1202" s="1" t="s">
        <v>8044</v>
      </c>
      <c r="B1202" s="1" t="s">
        <v>8045</v>
      </c>
      <c r="C1202" s="1" t="s">
        <v>8046</v>
      </c>
      <c r="D1202" s="1" t="s">
        <v>8047</v>
      </c>
      <c r="E1202" s="1" t="s">
        <v>8048</v>
      </c>
      <c r="F1202" s="1" t="s">
        <v>8048</v>
      </c>
      <c r="G1202" s="1" t="s">
        <v>8049</v>
      </c>
    </row>
    <row r="1203" spans="1:7" x14ac:dyDescent="0.2">
      <c r="A1203" s="1" t="s">
        <v>8050</v>
      </c>
      <c r="B1203" s="1" t="s">
        <v>8051</v>
      </c>
      <c r="C1203" s="1" t="s">
        <v>8052</v>
      </c>
      <c r="D1203" s="1" t="s">
        <v>8053</v>
      </c>
      <c r="E1203" s="1" t="s">
        <v>8054</v>
      </c>
      <c r="F1203" s="1" t="s">
        <v>8055</v>
      </c>
      <c r="G1203" s="1" t="s">
        <v>8056</v>
      </c>
    </row>
    <row r="1204" spans="1:7" x14ac:dyDescent="0.2">
      <c r="A1204" s="1" t="s">
        <v>8057</v>
      </c>
      <c r="B1204" s="1" t="s">
        <v>8058</v>
      </c>
      <c r="C1204" s="1" t="s">
        <v>8059</v>
      </c>
      <c r="D1204" s="1" t="s">
        <v>8060</v>
      </c>
      <c r="E1204" s="1" t="s">
        <v>8061</v>
      </c>
      <c r="F1204" s="1" t="s">
        <v>8047</v>
      </c>
      <c r="G1204" s="1" t="s">
        <v>8062</v>
      </c>
    </row>
    <row r="1205" spans="1:7" x14ac:dyDescent="0.2">
      <c r="A1205" s="1" t="s">
        <v>8063</v>
      </c>
      <c r="B1205" s="1" t="s">
        <v>8064</v>
      </c>
      <c r="C1205" s="1" t="s">
        <v>8065</v>
      </c>
      <c r="D1205" s="1" t="s">
        <v>8066</v>
      </c>
      <c r="E1205" s="1" t="s">
        <v>8067</v>
      </c>
      <c r="F1205" s="1" t="s">
        <v>8068</v>
      </c>
      <c r="G1205" s="1" t="s">
        <v>8069</v>
      </c>
    </row>
    <row r="1206" spans="1:7" x14ac:dyDescent="0.2">
      <c r="A1206" s="1" t="s">
        <v>8070</v>
      </c>
      <c r="B1206" s="1" t="s">
        <v>8071</v>
      </c>
      <c r="C1206" s="1" t="s">
        <v>8072</v>
      </c>
      <c r="D1206" s="1" t="s">
        <v>8073</v>
      </c>
      <c r="E1206" s="1" t="s">
        <v>8074</v>
      </c>
      <c r="F1206" s="1" t="s">
        <v>8075</v>
      </c>
      <c r="G1206" s="1" t="s">
        <v>8076</v>
      </c>
    </row>
    <row r="1207" spans="1:7" x14ac:dyDescent="0.2">
      <c r="A1207" s="1" t="s">
        <v>8077</v>
      </c>
      <c r="B1207" s="1" t="s">
        <v>8078</v>
      </c>
      <c r="C1207" s="1" t="s">
        <v>8079</v>
      </c>
      <c r="D1207" s="1" t="s">
        <v>8080</v>
      </c>
      <c r="E1207" s="1" t="s">
        <v>8081</v>
      </c>
      <c r="F1207" s="1" t="s">
        <v>8082</v>
      </c>
      <c r="G1207" s="1" t="s">
        <v>8083</v>
      </c>
    </row>
    <row r="1208" spans="1:7" x14ac:dyDescent="0.2">
      <c r="A1208" s="1" t="s">
        <v>8084</v>
      </c>
      <c r="B1208" s="1" t="s">
        <v>8085</v>
      </c>
      <c r="C1208" s="1" t="s">
        <v>8086</v>
      </c>
      <c r="D1208" s="1" t="s">
        <v>8087</v>
      </c>
      <c r="E1208" s="1" t="s">
        <v>8088</v>
      </c>
      <c r="F1208" s="1" t="s">
        <v>8089</v>
      </c>
      <c r="G1208" s="1" t="s">
        <v>8090</v>
      </c>
    </row>
    <row r="1209" spans="1:7" x14ac:dyDescent="0.2">
      <c r="A1209" s="1" t="s">
        <v>8091</v>
      </c>
      <c r="B1209" s="1" t="s">
        <v>8092</v>
      </c>
      <c r="C1209" s="1" t="s">
        <v>8093</v>
      </c>
      <c r="D1209" s="1" t="s">
        <v>8094</v>
      </c>
      <c r="E1209" s="1" t="s">
        <v>8095</v>
      </c>
      <c r="F1209" s="1" t="s">
        <v>8096</v>
      </c>
      <c r="G1209" s="1" t="s">
        <v>8097</v>
      </c>
    </row>
    <row r="1210" spans="1:7" x14ac:dyDescent="0.2">
      <c r="A1210" s="1" t="s">
        <v>8098</v>
      </c>
      <c r="B1210" s="1" t="s">
        <v>8099</v>
      </c>
      <c r="C1210" s="1" t="s">
        <v>8100</v>
      </c>
      <c r="D1210" s="1" t="s">
        <v>8101</v>
      </c>
      <c r="E1210" s="1" t="s">
        <v>8102</v>
      </c>
      <c r="F1210" s="1" t="s">
        <v>8103</v>
      </c>
      <c r="G1210" s="1" t="s">
        <v>8104</v>
      </c>
    </row>
    <row r="1211" spans="1:7" x14ac:dyDescent="0.2">
      <c r="A1211" s="1" t="s">
        <v>8105</v>
      </c>
      <c r="B1211" s="1" t="s">
        <v>8106</v>
      </c>
      <c r="C1211" s="1" t="s">
        <v>8107</v>
      </c>
      <c r="D1211" s="1" t="s">
        <v>8108</v>
      </c>
      <c r="E1211" s="1" t="s">
        <v>8109</v>
      </c>
      <c r="F1211" s="1" t="s">
        <v>8110</v>
      </c>
      <c r="G1211" s="1" t="s">
        <v>8111</v>
      </c>
    </row>
    <row r="1212" spans="1:7" x14ac:dyDescent="0.2">
      <c r="A1212" s="1" t="s">
        <v>8112</v>
      </c>
      <c r="B1212" s="1" t="s">
        <v>8113</v>
      </c>
      <c r="C1212" s="1" t="s">
        <v>8114</v>
      </c>
      <c r="D1212" s="1" t="s">
        <v>8115</v>
      </c>
      <c r="E1212" s="1" t="s">
        <v>8116</v>
      </c>
      <c r="F1212" s="1" t="s">
        <v>8117</v>
      </c>
      <c r="G1212" s="1" t="s">
        <v>8118</v>
      </c>
    </row>
    <row r="1213" spans="1:7" x14ac:dyDescent="0.2">
      <c r="A1213" s="1" t="s">
        <v>8119</v>
      </c>
      <c r="B1213" s="1" t="s">
        <v>8120</v>
      </c>
      <c r="C1213" s="1" t="s">
        <v>8121</v>
      </c>
      <c r="D1213" s="1" t="s">
        <v>8122</v>
      </c>
      <c r="E1213" s="1" t="s">
        <v>8123</v>
      </c>
      <c r="F1213" s="1" t="s">
        <v>8124</v>
      </c>
      <c r="G1213" s="1" t="s">
        <v>8125</v>
      </c>
    </row>
    <row r="1214" spans="1:7" x14ac:dyDescent="0.2">
      <c r="A1214" s="1" t="s">
        <v>8126</v>
      </c>
      <c r="B1214" s="1" t="s">
        <v>8127</v>
      </c>
      <c r="C1214" s="1" t="s">
        <v>8128</v>
      </c>
      <c r="D1214" s="1" t="s">
        <v>8129</v>
      </c>
      <c r="E1214" s="1" t="s">
        <v>8041</v>
      </c>
      <c r="F1214" s="1" t="s">
        <v>8130</v>
      </c>
      <c r="G1214" s="1" t="s">
        <v>8131</v>
      </c>
    </row>
    <row r="1215" spans="1:7" x14ac:dyDescent="0.2">
      <c r="A1215" s="1" t="s">
        <v>8132</v>
      </c>
      <c r="B1215" s="1" t="s">
        <v>8133</v>
      </c>
      <c r="C1215" s="1" t="s">
        <v>8134</v>
      </c>
      <c r="D1215" s="1" t="s">
        <v>8135</v>
      </c>
      <c r="E1215" s="1" t="s">
        <v>8136</v>
      </c>
      <c r="F1215" s="1" t="s">
        <v>4394</v>
      </c>
      <c r="G1215" s="1" t="s">
        <v>8137</v>
      </c>
    </row>
    <row r="1216" spans="1:7" x14ac:dyDescent="0.2">
      <c r="A1216" s="1" t="s">
        <v>8138</v>
      </c>
      <c r="B1216" s="1" t="s">
        <v>8139</v>
      </c>
      <c r="C1216" s="1" t="s">
        <v>8140</v>
      </c>
      <c r="D1216" s="1" t="s">
        <v>8141</v>
      </c>
      <c r="E1216" s="1" t="s">
        <v>8142</v>
      </c>
      <c r="F1216" s="1" t="s">
        <v>8143</v>
      </c>
      <c r="G1216" s="1" t="s">
        <v>8144</v>
      </c>
    </row>
    <row r="1217" spans="1:7" x14ac:dyDescent="0.2">
      <c r="A1217" s="1" t="s">
        <v>8145</v>
      </c>
      <c r="B1217" s="1" t="s">
        <v>7984</v>
      </c>
      <c r="C1217" s="1" t="s">
        <v>7985</v>
      </c>
      <c r="D1217" s="1" t="s">
        <v>8146</v>
      </c>
      <c r="E1217" s="1" t="s">
        <v>8147</v>
      </c>
      <c r="F1217" s="1" t="s">
        <v>8148</v>
      </c>
      <c r="G1217" s="1" t="s">
        <v>8149</v>
      </c>
    </row>
    <row r="1218" spans="1:7" x14ac:dyDescent="0.2">
      <c r="A1218" s="1" t="s">
        <v>8150</v>
      </c>
      <c r="B1218" s="1" t="s">
        <v>8151</v>
      </c>
      <c r="C1218" s="1" t="s">
        <v>8152</v>
      </c>
      <c r="D1218" s="1" t="s">
        <v>8153</v>
      </c>
      <c r="E1218" s="1" t="s">
        <v>8154</v>
      </c>
      <c r="F1218" s="1" t="s">
        <v>4938</v>
      </c>
      <c r="G1218" s="1" t="s">
        <v>8155</v>
      </c>
    </row>
    <row r="1219" spans="1:7" x14ac:dyDescent="0.2">
      <c r="A1219" s="1" t="s">
        <v>8156</v>
      </c>
      <c r="B1219" s="1" t="s">
        <v>7977</v>
      </c>
      <c r="C1219" s="1" t="s">
        <v>7978</v>
      </c>
      <c r="D1219" s="1" t="s">
        <v>7919</v>
      </c>
      <c r="E1219" s="1" t="s">
        <v>8157</v>
      </c>
      <c r="F1219" s="1" t="s">
        <v>8158</v>
      </c>
      <c r="G1219" s="1" t="s">
        <v>8159</v>
      </c>
    </row>
    <row r="1220" spans="1:7" x14ac:dyDescent="0.2">
      <c r="A1220" s="1" t="s">
        <v>8160</v>
      </c>
      <c r="B1220" s="1" t="s">
        <v>8161</v>
      </c>
      <c r="C1220" s="1" t="s">
        <v>8162</v>
      </c>
      <c r="D1220" s="1" t="s">
        <v>8163</v>
      </c>
      <c r="E1220" s="1" t="s">
        <v>8164</v>
      </c>
      <c r="F1220" s="1" t="s">
        <v>8165</v>
      </c>
      <c r="G1220" s="1" t="s">
        <v>8166</v>
      </c>
    </row>
    <row r="1221" spans="1:7" x14ac:dyDescent="0.2">
      <c r="A1221" s="1" t="s">
        <v>8167</v>
      </c>
      <c r="B1221" s="1" t="s">
        <v>8168</v>
      </c>
      <c r="C1221" s="1" t="s">
        <v>8169</v>
      </c>
      <c r="D1221" s="1" t="s">
        <v>7919</v>
      </c>
      <c r="E1221" s="1" t="s">
        <v>4811</v>
      </c>
      <c r="F1221" s="1" t="s">
        <v>8170</v>
      </c>
      <c r="G1221" s="1" t="s">
        <v>8171</v>
      </c>
    </row>
    <row r="1222" spans="1:7" x14ac:dyDescent="0.2">
      <c r="A1222" s="1" t="s">
        <v>8172</v>
      </c>
      <c r="B1222" s="1" t="s">
        <v>8173</v>
      </c>
      <c r="C1222" s="1" t="s">
        <v>8174</v>
      </c>
      <c r="D1222" s="1" t="s">
        <v>5291</v>
      </c>
      <c r="E1222" s="1" t="s">
        <v>8175</v>
      </c>
      <c r="F1222" s="1" t="s">
        <v>8176</v>
      </c>
      <c r="G1222" s="1" t="s">
        <v>8177</v>
      </c>
    </row>
    <row r="1223" spans="1:7" x14ac:dyDescent="0.2">
      <c r="A1223" s="1" t="s">
        <v>8178</v>
      </c>
      <c r="B1223" s="1" t="s">
        <v>8179</v>
      </c>
      <c r="C1223" s="1" t="s">
        <v>8180</v>
      </c>
      <c r="D1223" s="1" t="s">
        <v>8181</v>
      </c>
      <c r="E1223" s="1" t="s">
        <v>8182</v>
      </c>
      <c r="F1223" s="1" t="s">
        <v>8163</v>
      </c>
      <c r="G1223" s="1" t="s">
        <v>8183</v>
      </c>
    </row>
    <row r="1224" spans="1:7" x14ac:dyDescent="0.2">
      <c r="A1224" s="1" t="s">
        <v>8184</v>
      </c>
      <c r="B1224" s="1" t="s">
        <v>8185</v>
      </c>
      <c r="C1224" s="1" t="s">
        <v>5065</v>
      </c>
      <c r="D1224" s="1" t="s">
        <v>8186</v>
      </c>
      <c r="E1224" s="1" t="s">
        <v>8187</v>
      </c>
      <c r="F1224" s="1" t="s">
        <v>8188</v>
      </c>
      <c r="G1224" s="1" t="s">
        <v>8189</v>
      </c>
    </row>
    <row r="1225" spans="1:7" x14ac:dyDescent="0.2">
      <c r="A1225" s="1" t="s">
        <v>8190</v>
      </c>
      <c r="B1225" s="1" t="s">
        <v>8191</v>
      </c>
      <c r="C1225" s="1" t="s">
        <v>8192</v>
      </c>
      <c r="D1225" s="1" t="s">
        <v>8193</v>
      </c>
      <c r="E1225" s="1" t="s">
        <v>8194</v>
      </c>
      <c r="F1225" s="1" t="s">
        <v>8195</v>
      </c>
      <c r="G1225" s="1" t="s">
        <v>8196</v>
      </c>
    </row>
    <row r="1226" spans="1:7" x14ac:dyDescent="0.2">
      <c r="A1226" s="1" t="s">
        <v>8197</v>
      </c>
      <c r="B1226" s="1" t="s">
        <v>8198</v>
      </c>
      <c r="C1226" s="1" t="s">
        <v>8199</v>
      </c>
      <c r="D1226" s="1" t="s">
        <v>8200</v>
      </c>
      <c r="E1226" s="1" t="s">
        <v>8201</v>
      </c>
      <c r="F1226" s="1" t="s">
        <v>8202</v>
      </c>
      <c r="G1226" s="1" t="s">
        <v>8203</v>
      </c>
    </row>
    <row r="1227" spans="1:7" x14ac:dyDescent="0.2">
      <c r="A1227" s="1" t="s">
        <v>8204</v>
      </c>
      <c r="B1227" s="1" t="s">
        <v>8205</v>
      </c>
      <c r="C1227" s="1" t="s">
        <v>8206</v>
      </c>
      <c r="D1227" s="1" t="s">
        <v>8207</v>
      </c>
      <c r="E1227" s="1" t="s">
        <v>8208</v>
      </c>
      <c r="F1227" s="1" t="s">
        <v>8209</v>
      </c>
      <c r="G1227" s="1" t="s">
        <v>8210</v>
      </c>
    </row>
    <row r="1228" spans="1:7" x14ac:dyDescent="0.2">
      <c r="A1228" s="1" t="s">
        <v>8211</v>
      </c>
      <c r="B1228" s="1" t="s">
        <v>8212</v>
      </c>
      <c r="C1228" s="1" t="s">
        <v>8213</v>
      </c>
      <c r="D1228" s="1" t="s">
        <v>8214</v>
      </c>
      <c r="E1228" s="1" t="s">
        <v>8215</v>
      </c>
      <c r="F1228" s="1" t="s">
        <v>8216</v>
      </c>
      <c r="G1228" s="1" t="s">
        <v>8217</v>
      </c>
    </row>
    <row r="1229" spans="1:7" x14ac:dyDescent="0.2">
      <c r="A1229" s="1" t="s">
        <v>8218</v>
      </c>
      <c r="B1229" s="1" t="s">
        <v>8219</v>
      </c>
      <c r="C1229" s="1" t="s">
        <v>5709</v>
      </c>
      <c r="D1229" s="1" t="s">
        <v>8220</v>
      </c>
      <c r="E1229" s="1" t="s">
        <v>7938</v>
      </c>
      <c r="F1229" s="1" t="s">
        <v>8221</v>
      </c>
      <c r="G1229" s="1" t="s">
        <v>8222</v>
      </c>
    </row>
    <row r="1230" spans="1:7" x14ac:dyDescent="0.2">
      <c r="A1230" s="1" t="s">
        <v>8223</v>
      </c>
      <c r="B1230" s="1" t="s">
        <v>8224</v>
      </c>
      <c r="C1230" s="1" t="s">
        <v>8225</v>
      </c>
      <c r="D1230" s="1" t="s">
        <v>8226</v>
      </c>
      <c r="E1230" s="1" t="s">
        <v>8227</v>
      </c>
      <c r="F1230" s="1" t="s">
        <v>8228</v>
      </c>
      <c r="G1230" s="1" t="s">
        <v>8229</v>
      </c>
    </row>
    <row r="1231" spans="1:7" x14ac:dyDescent="0.2">
      <c r="A1231" s="1" t="s">
        <v>8230</v>
      </c>
      <c r="B1231" s="1" t="s">
        <v>8231</v>
      </c>
      <c r="C1231" s="1" t="s">
        <v>8232</v>
      </c>
      <c r="D1231" s="1" t="s">
        <v>8233</v>
      </c>
      <c r="E1231" s="1" t="s">
        <v>8234</v>
      </c>
      <c r="F1231" s="1" t="s">
        <v>8235</v>
      </c>
      <c r="G1231" s="1" t="s">
        <v>8236</v>
      </c>
    </row>
    <row r="1232" spans="1:7" x14ac:dyDescent="0.2">
      <c r="A1232" s="1" t="s">
        <v>8237</v>
      </c>
      <c r="B1232" s="1" t="s">
        <v>8238</v>
      </c>
      <c r="C1232" s="1" t="s">
        <v>8239</v>
      </c>
      <c r="D1232" s="1" t="s">
        <v>8240</v>
      </c>
      <c r="E1232" s="1" t="s">
        <v>8241</v>
      </c>
      <c r="F1232" s="1" t="s">
        <v>8242</v>
      </c>
      <c r="G1232" s="1" t="s">
        <v>8243</v>
      </c>
    </row>
    <row r="1233" spans="1:7" x14ac:dyDescent="0.2">
      <c r="A1233" s="1" t="s">
        <v>8244</v>
      </c>
      <c r="B1233" s="1" t="s">
        <v>8245</v>
      </c>
      <c r="C1233" s="1" t="s">
        <v>8246</v>
      </c>
      <c r="D1233" s="1" t="s">
        <v>8247</v>
      </c>
      <c r="E1233" s="1" t="s">
        <v>8248</v>
      </c>
      <c r="F1233" s="1" t="s">
        <v>8249</v>
      </c>
      <c r="G1233" s="1" t="s">
        <v>8250</v>
      </c>
    </row>
    <row r="1234" spans="1:7" x14ac:dyDescent="0.2">
      <c r="A1234" s="1" t="s">
        <v>8251</v>
      </c>
      <c r="B1234" s="1" t="s">
        <v>8252</v>
      </c>
      <c r="C1234" s="1" t="s">
        <v>8253</v>
      </c>
      <c r="D1234" s="1" t="s">
        <v>8254</v>
      </c>
      <c r="E1234" s="1" t="s">
        <v>8255</v>
      </c>
      <c r="F1234" s="1" t="s">
        <v>8256</v>
      </c>
      <c r="G1234" s="1" t="s">
        <v>8257</v>
      </c>
    </row>
    <row r="1235" spans="1:7" x14ac:dyDescent="0.2">
      <c r="A1235" s="1" t="s">
        <v>8258</v>
      </c>
      <c r="B1235" s="1" t="s">
        <v>8259</v>
      </c>
      <c r="C1235" s="1" t="s">
        <v>8260</v>
      </c>
      <c r="D1235" s="1" t="s">
        <v>7676</v>
      </c>
      <c r="E1235" s="1" t="s">
        <v>8261</v>
      </c>
      <c r="F1235" s="1" t="s">
        <v>8262</v>
      </c>
      <c r="G1235" s="1" t="s">
        <v>8263</v>
      </c>
    </row>
    <row r="1236" spans="1:7" x14ac:dyDescent="0.2">
      <c r="A1236" s="1" t="s">
        <v>8264</v>
      </c>
      <c r="B1236" s="1" t="s">
        <v>8265</v>
      </c>
      <c r="C1236" s="1" t="s">
        <v>8266</v>
      </c>
      <c r="D1236" s="1" t="s">
        <v>8267</v>
      </c>
      <c r="E1236" s="1" t="s">
        <v>8268</v>
      </c>
      <c r="F1236" s="1" t="s">
        <v>8269</v>
      </c>
      <c r="G1236" s="1" t="s">
        <v>8270</v>
      </c>
    </row>
    <row r="1237" spans="1:7" x14ac:dyDescent="0.2">
      <c r="A1237" s="1" t="s">
        <v>8271</v>
      </c>
      <c r="B1237" s="1" t="s">
        <v>8272</v>
      </c>
      <c r="C1237" s="1" t="s">
        <v>8273</v>
      </c>
      <c r="D1237" s="1" t="s">
        <v>8274</v>
      </c>
      <c r="E1237" s="1" t="s">
        <v>8275</v>
      </c>
      <c r="F1237" s="1" t="s">
        <v>7550</v>
      </c>
      <c r="G1237" s="1" t="s">
        <v>8276</v>
      </c>
    </row>
    <row r="1238" spans="1:7" x14ac:dyDescent="0.2">
      <c r="A1238" s="1" t="s">
        <v>8277</v>
      </c>
      <c r="B1238" s="1" t="s">
        <v>8278</v>
      </c>
      <c r="C1238" s="1" t="s">
        <v>7572</v>
      </c>
      <c r="D1238" s="1" t="s">
        <v>7534</v>
      </c>
      <c r="E1238" s="1" t="s">
        <v>8279</v>
      </c>
      <c r="F1238" s="1" t="s">
        <v>8280</v>
      </c>
      <c r="G1238" s="1" t="s">
        <v>8281</v>
      </c>
    </row>
    <row r="1239" spans="1:7" x14ac:dyDescent="0.2">
      <c r="A1239" s="1" t="s">
        <v>8282</v>
      </c>
      <c r="B1239" s="1" t="s">
        <v>8283</v>
      </c>
      <c r="C1239" s="1" t="s">
        <v>5724</v>
      </c>
      <c r="D1239" s="1" t="s">
        <v>8284</v>
      </c>
      <c r="E1239" s="1" t="s">
        <v>7683</v>
      </c>
      <c r="F1239" s="1" t="s">
        <v>8285</v>
      </c>
      <c r="G1239" s="1" t="s">
        <v>8286</v>
      </c>
    </row>
    <row r="1240" spans="1:7" x14ac:dyDescent="0.2">
      <c r="A1240" s="1" t="s">
        <v>8287</v>
      </c>
      <c r="B1240" s="1" t="s">
        <v>8288</v>
      </c>
      <c r="C1240" s="1" t="s">
        <v>8289</v>
      </c>
      <c r="D1240" s="1" t="s">
        <v>8290</v>
      </c>
      <c r="E1240" s="1" t="s">
        <v>8291</v>
      </c>
      <c r="F1240" s="1" t="s">
        <v>8292</v>
      </c>
      <c r="G1240" s="1" t="s">
        <v>8293</v>
      </c>
    </row>
    <row r="1241" spans="1:7" x14ac:dyDescent="0.2">
      <c r="A1241" s="1" t="s">
        <v>8294</v>
      </c>
      <c r="B1241" s="1" t="s">
        <v>8295</v>
      </c>
      <c r="C1241" s="1" t="s">
        <v>8296</v>
      </c>
      <c r="D1241" s="1" t="s">
        <v>8297</v>
      </c>
      <c r="E1241" s="1" t="s">
        <v>8298</v>
      </c>
      <c r="F1241" s="1" t="s">
        <v>8289</v>
      </c>
      <c r="G1241" s="1" t="s">
        <v>8299</v>
      </c>
    </row>
    <row r="1242" spans="1:7" x14ac:dyDescent="0.2">
      <c r="A1242" s="1" t="s">
        <v>8300</v>
      </c>
      <c r="B1242" s="1" t="s">
        <v>8301</v>
      </c>
      <c r="C1242" s="1" t="s">
        <v>8302</v>
      </c>
      <c r="D1242" s="1" t="s">
        <v>8303</v>
      </c>
      <c r="E1242" s="1" t="s">
        <v>8304</v>
      </c>
      <c r="F1242" s="1" t="s">
        <v>8305</v>
      </c>
      <c r="G1242" s="1" t="s">
        <v>8306</v>
      </c>
    </row>
    <row r="1243" spans="1:7" x14ac:dyDescent="0.2">
      <c r="A1243" s="1" t="s">
        <v>8307</v>
      </c>
      <c r="B1243" s="1" t="s">
        <v>8308</v>
      </c>
      <c r="C1243" s="1" t="s">
        <v>8309</v>
      </c>
      <c r="D1243" s="1" t="s">
        <v>8310</v>
      </c>
      <c r="E1243" s="1" t="s">
        <v>8311</v>
      </c>
      <c r="F1243" s="1" t="s">
        <v>8312</v>
      </c>
      <c r="G1243" s="1" t="s">
        <v>8313</v>
      </c>
    </row>
    <row r="1244" spans="1:7" x14ac:dyDescent="0.2">
      <c r="A1244" s="1" t="s">
        <v>8314</v>
      </c>
      <c r="B1244" s="1" t="s">
        <v>8315</v>
      </c>
      <c r="C1244" s="1" t="s">
        <v>8316</v>
      </c>
      <c r="D1244" s="1" t="s">
        <v>8317</v>
      </c>
      <c r="E1244" s="1" t="s">
        <v>8318</v>
      </c>
      <c r="F1244" s="1" t="s">
        <v>8319</v>
      </c>
      <c r="G1244" s="1" t="s">
        <v>8320</v>
      </c>
    </row>
    <row r="1245" spans="1:7" x14ac:dyDescent="0.2">
      <c r="A1245" s="1" t="s">
        <v>8321</v>
      </c>
      <c r="B1245" s="1" t="s">
        <v>8322</v>
      </c>
      <c r="C1245" s="1" t="s">
        <v>8323</v>
      </c>
      <c r="D1245" s="1" t="s">
        <v>8324</v>
      </c>
      <c r="E1245" s="1" t="s">
        <v>8325</v>
      </c>
      <c r="F1245" s="1" t="s">
        <v>8326</v>
      </c>
      <c r="G1245" s="1" t="s">
        <v>8327</v>
      </c>
    </row>
    <row r="1246" spans="1:7" x14ac:dyDescent="0.2">
      <c r="A1246" s="1" t="s">
        <v>8328</v>
      </c>
      <c r="B1246" s="1" t="s">
        <v>8329</v>
      </c>
      <c r="C1246" s="1" t="s">
        <v>8330</v>
      </c>
      <c r="D1246" s="1" t="s">
        <v>8331</v>
      </c>
      <c r="E1246" s="1" t="s">
        <v>8332</v>
      </c>
      <c r="F1246" s="1" t="s">
        <v>8333</v>
      </c>
      <c r="G1246" s="1" t="s">
        <v>8334</v>
      </c>
    </row>
    <row r="1247" spans="1:7" x14ac:dyDescent="0.2">
      <c r="A1247" s="1" t="s">
        <v>8335</v>
      </c>
      <c r="B1247" s="1" t="s">
        <v>8336</v>
      </c>
      <c r="C1247" s="1" t="s">
        <v>8337</v>
      </c>
      <c r="D1247" s="1" t="s">
        <v>8338</v>
      </c>
      <c r="E1247" s="1" t="s">
        <v>8339</v>
      </c>
      <c r="F1247" s="1" t="s">
        <v>8340</v>
      </c>
      <c r="G1247" s="1" t="s">
        <v>8341</v>
      </c>
    </row>
    <row r="1248" spans="1:7" x14ac:dyDescent="0.2">
      <c r="A1248" s="1" t="s">
        <v>8342</v>
      </c>
      <c r="B1248" s="1" t="s">
        <v>8343</v>
      </c>
      <c r="C1248" s="1" t="s">
        <v>8344</v>
      </c>
      <c r="D1248" s="1" t="s">
        <v>8345</v>
      </c>
      <c r="E1248" s="1" t="s">
        <v>8346</v>
      </c>
      <c r="F1248" s="1" t="s">
        <v>8347</v>
      </c>
      <c r="G1248" s="1" t="s">
        <v>8348</v>
      </c>
    </row>
    <row r="1249" spans="1:7" x14ac:dyDescent="0.2">
      <c r="A1249" s="1" t="s">
        <v>8349</v>
      </c>
      <c r="B1249" s="1" t="s">
        <v>8350</v>
      </c>
      <c r="C1249" s="1" t="s">
        <v>8351</v>
      </c>
      <c r="D1249" s="1" t="s">
        <v>8352</v>
      </c>
      <c r="E1249" s="1" t="s">
        <v>7439</v>
      </c>
      <c r="F1249" s="1" t="s">
        <v>8353</v>
      </c>
      <c r="G1249" s="1" t="s">
        <v>8354</v>
      </c>
    </row>
    <row r="1250" spans="1:7" x14ac:dyDescent="0.2">
      <c r="A1250" s="1" t="s">
        <v>8355</v>
      </c>
      <c r="B1250" s="1" t="s">
        <v>8356</v>
      </c>
      <c r="C1250" s="1" t="s">
        <v>8357</v>
      </c>
      <c r="D1250" s="1" t="s">
        <v>8358</v>
      </c>
      <c r="E1250" s="1" t="s">
        <v>8359</v>
      </c>
      <c r="F1250" s="1" t="s">
        <v>8360</v>
      </c>
      <c r="G1250" s="1" t="s">
        <v>8361</v>
      </c>
    </row>
    <row r="1251" spans="1:7" x14ac:dyDescent="0.2">
      <c r="A1251" s="1" t="s">
        <v>8362</v>
      </c>
      <c r="B1251" s="1" t="s">
        <v>8363</v>
      </c>
      <c r="C1251" s="1" t="s">
        <v>8364</v>
      </c>
      <c r="D1251" s="1" t="s">
        <v>8365</v>
      </c>
      <c r="E1251" s="1" t="s">
        <v>8366</v>
      </c>
      <c r="F1251" s="1" t="s">
        <v>8367</v>
      </c>
      <c r="G1251" s="1" t="s">
        <v>8368</v>
      </c>
    </row>
    <row r="1252" spans="1:7" x14ac:dyDescent="0.2">
      <c r="A1252" s="1" t="s">
        <v>8369</v>
      </c>
      <c r="B1252" s="1" t="s">
        <v>8370</v>
      </c>
      <c r="C1252" s="1" t="s">
        <v>8371</v>
      </c>
      <c r="D1252" s="1" t="s">
        <v>8372</v>
      </c>
      <c r="E1252" s="1" t="s">
        <v>8373</v>
      </c>
      <c r="F1252" s="1" t="s">
        <v>8374</v>
      </c>
      <c r="G1252" s="1" t="s">
        <v>8375</v>
      </c>
    </row>
    <row r="1253" spans="1:7" x14ac:dyDescent="0.2">
      <c r="A1253" s="1" t="s">
        <v>8376</v>
      </c>
      <c r="B1253" s="1" t="s">
        <v>8377</v>
      </c>
      <c r="C1253" s="1" t="s">
        <v>8378</v>
      </c>
      <c r="D1253" s="1" t="s">
        <v>8379</v>
      </c>
      <c r="E1253" s="1" t="s">
        <v>8380</v>
      </c>
      <c r="F1253" s="1" t="s">
        <v>8381</v>
      </c>
      <c r="G1253" s="1" t="s">
        <v>8382</v>
      </c>
    </row>
    <row r="1254" spans="1:7" x14ac:dyDescent="0.2">
      <c r="A1254" s="1" t="s">
        <v>8383</v>
      </c>
      <c r="B1254" s="1" t="s">
        <v>8384</v>
      </c>
      <c r="C1254" s="1" t="s">
        <v>8385</v>
      </c>
      <c r="D1254" s="1" t="s">
        <v>8386</v>
      </c>
      <c r="E1254" s="1" t="s">
        <v>8387</v>
      </c>
      <c r="F1254" s="1" t="s">
        <v>7406</v>
      </c>
      <c r="G1254" s="1" t="s">
        <v>8388</v>
      </c>
    </row>
    <row r="1255" spans="1:7" x14ac:dyDescent="0.2">
      <c r="A1255" s="1" t="s">
        <v>8389</v>
      </c>
      <c r="B1255" s="1" t="s">
        <v>8390</v>
      </c>
      <c r="C1255" s="1" t="s">
        <v>8391</v>
      </c>
      <c r="D1255" s="1" t="s">
        <v>8392</v>
      </c>
      <c r="E1255" s="1" t="s">
        <v>8393</v>
      </c>
      <c r="F1255" s="1" t="s">
        <v>8394</v>
      </c>
      <c r="G1255" s="1" t="s">
        <v>8395</v>
      </c>
    </row>
    <row r="1256" spans="1:7" x14ac:dyDescent="0.2">
      <c r="A1256" s="1" t="s">
        <v>8396</v>
      </c>
      <c r="B1256" s="1" t="s">
        <v>8397</v>
      </c>
      <c r="C1256" s="1" t="s">
        <v>8398</v>
      </c>
      <c r="D1256" s="1" t="s">
        <v>7578</v>
      </c>
      <c r="E1256" s="1" t="s">
        <v>8399</v>
      </c>
      <c r="F1256" s="1" t="s">
        <v>8400</v>
      </c>
      <c r="G1256" s="1" t="s">
        <v>8401</v>
      </c>
    </row>
    <row r="1257" spans="1:7" x14ac:dyDescent="0.2">
      <c r="A1257" s="1" t="s">
        <v>8402</v>
      </c>
      <c r="B1257" s="1" t="s">
        <v>8403</v>
      </c>
      <c r="C1257" s="1" t="s">
        <v>8404</v>
      </c>
      <c r="D1257" s="1" t="s">
        <v>8405</v>
      </c>
      <c r="E1257" s="1" t="s">
        <v>8406</v>
      </c>
      <c r="F1257" s="1" t="s">
        <v>8407</v>
      </c>
      <c r="G1257" s="1" t="s">
        <v>8408</v>
      </c>
    </row>
    <row r="1258" spans="1:7" x14ac:dyDescent="0.2">
      <c r="A1258" s="1" t="s">
        <v>8409</v>
      </c>
      <c r="B1258" s="1" t="s">
        <v>8410</v>
      </c>
      <c r="C1258" s="1" t="s">
        <v>8411</v>
      </c>
      <c r="D1258" s="1" t="s">
        <v>8412</v>
      </c>
      <c r="E1258" s="1" t="s">
        <v>8413</v>
      </c>
      <c r="F1258" s="1" t="s">
        <v>8414</v>
      </c>
      <c r="G1258" s="1" t="s">
        <v>8415</v>
      </c>
    </row>
    <row r="1259" spans="1:7" x14ac:dyDescent="0.2">
      <c r="A1259" s="1" t="s">
        <v>8416</v>
      </c>
      <c r="B1259" s="1" t="s">
        <v>8417</v>
      </c>
      <c r="C1259" s="1" t="s">
        <v>8418</v>
      </c>
      <c r="D1259" s="1" t="s">
        <v>8411</v>
      </c>
      <c r="E1259" s="1" t="s">
        <v>8419</v>
      </c>
      <c r="F1259" s="1" t="s">
        <v>8420</v>
      </c>
      <c r="G1259" s="1" t="s">
        <v>8421</v>
      </c>
    </row>
    <row r="1260" spans="1:7" x14ac:dyDescent="0.2">
      <c r="A1260" s="1" t="s">
        <v>8422</v>
      </c>
      <c r="B1260" s="1" t="s">
        <v>8423</v>
      </c>
      <c r="C1260" s="1" t="s">
        <v>8424</v>
      </c>
      <c r="D1260" s="1" t="s">
        <v>8425</v>
      </c>
      <c r="E1260" s="1" t="s">
        <v>8426</v>
      </c>
      <c r="F1260" s="1" t="s">
        <v>8427</v>
      </c>
      <c r="G1260" s="1" t="s">
        <v>8428</v>
      </c>
    </row>
    <row r="1261" spans="1:7" x14ac:dyDescent="0.2">
      <c r="A1261" s="1" t="s">
        <v>8429</v>
      </c>
      <c r="B1261" s="1" t="s">
        <v>8430</v>
      </c>
      <c r="C1261" s="1" t="s">
        <v>8431</v>
      </c>
      <c r="D1261" s="1" t="s">
        <v>8432</v>
      </c>
      <c r="E1261" s="1" t="s">
        <v>8433</v>
      </c>
      <c r="F1261" s="1" t="s">
        <v>8434</v>
      </c>
      <c r="G1261" s="1" t="s">
        <v>8435</v>
      </c>
    </row>
    <row r="1262" spans="1:7" x14ac:dyDescent="0.2">
      <c r="A1262" s="1" t="s">
        <v>8436</v>
      </c>
      <c r="B1262" s="1" t="s">
        <v>8437</v>
      </c>
      <c r="C1262" s="1" t="s">
        <v>8438</v>
      </c>
      <c r="D1262" s="1" t="s">
        <v>8439</v>
      </c>
      <c r="E1262" s="1" t="s">
        <v>8440</v>
      </c>
      <c r="F1262" s="1" t="s">
        <v>8441</v>
      </c>
      <c r="G1262" s="1" t="s">
        <v>8442</v>
      </c>
    </row>
    <row r="1263" spans="1:7" x14ac:dyDescent="0.2">
      <c r="A1263" s="1" t="s">
        <v>8443</v>
      </c>
      <c r="B1263" s="1" t="s">
        <v>8444</v>
      </c>
      <c r="C1263" s="1" t="s">
        <v>8445</v>
      </c>
      <c r="D1263" s="1" t="s">
        <v>8446</v>
      </c>
      <c r="E1263" s="1" t="s">
        <v>8447</v>
      </c>
      <c r="F1263" s="1" t="s">
        <v>8448</v>
      </c>
      <c r="G1263" s="1" t="s">
        <v>8449</v>
      </c>
    </row>
    <row r="1264" spans="1:7" x14ac:dyDescent="0.2">
      <c r="A1264" s="1" t="s">
        <v>8450</v>
      </c>
      <c r="B1264" s="1" t="s">
        <v>8451</v>
      </c>
      <c r="C1264" s="1" t="s">
        <v>8452</v>
      </c>
      <c r="D1264" s="1" t="s">
        <v>8453</v>
      </c>
      <c r="E1264" s="1" t="s">
        <v>8454</v>
      </c>
      <c r="F1264" s="1" t="s">
        <v>8455</v>
      </c>
      <c r="G1264" s="1" t="s">
        <v>8456</v>
      </c>
    </row>
    <row r="1265" spans="1:7" x14ac:dyDescent="0.2">
      <c r="A1265" s="1" t="s">
        <v>8457</v>
      </c>
      <c r="B1265" s="1" t="s">
        <v>8458</v>
      </c>
      <c r="C1265" s="1" t="s">
        <v>8459</v>
      </c>
      <c r="D1265" s="1" t="s">
        <v>8460</v>
      </c>
      <c r="E1265" s="1" t="s">
        <v>8461</v>
      </c>
      <c r="F1265" s="1" t="s">
        <v>8462</v>
      </c>
      <c r="G1265" s="1" t="s">
        <v>8463</v>
      </c>
    </row>
    <row r="1266" spans="1:7" x14ac:dyDescent="0.2">
      <c r="A1266" s="1" t="s">
        <v>8464</v>
      </c>
      <c r="B1266" s="1" t="s">
        <v>8465</v>
      </c>
      <c r="C1266" s="1" t="s">
        <v>8466</v>
      </c>
      <c r="D1266" s="1" t="s">
        <v>8467</v>
      </c>
      <c r="E1266" s="1" t="s">
        <v>8468</v>
      </c>
      <c r="F1266" s="1" t="s">
        <v>8469</v>
      </c>
      <c r="G1266" s="1" t="s">
        <v>8470</v>
      </c>
    </row>
    <row r="1267" spans="1:7" x14ac:dyDescent="0.2">
      <c r="A1267" s="1" t="s">
        <v>8471</v>
      </c>
      <c r="B1267" s="1" t="s">
        <v>8472</v>
      </c>
      <c r="C1267" s="1" t="s">
        <v>8473</v>
      </c>
      <c r="D1267" s="1" t="s">
        <v>7624</v>
      </c>
      <c r="E1267" s="1" t="s">
        <v>8474</v>
      </c>
      <c r="F1267" s="1" t="s">
        <v>7932</v>
      </c>
      <c r="G1267" s="1" t="s">
        <v>8475</v>
      </c>
    </row>
    <row r="1268" spans="1:7" x14ac:dyDescent="0.2">
      <c r="A1268" s="1" t="s">
        <v>8476</v>
      </c>
      <c r="B1268" s="1" t="s">
        <v>8477</v>
      </c>
      <c r="C1268" s="1" t="s">
        <v>8478</v>
      </c>
      <c r="D1268" s="1" t="s">
        <v>8479</v>
      </c>
      <c r="E1268" s="1" t="s">
        <v>8480</v>
      </c>
      <c r="F1268" s="1" t="s">
        <v>8481</v>
      </c>
      <c r="G1268" s="1" t="s">
        <v>8482</v>
      </c>
    </row>
    <row r="1269" spans="1:7" x14ac:dyDescent="0.2">
      <c r="A1269" s="1" t="s">
        <v>8483</v>
      </c>
      <c r="B1269" s="1" t="s">
        <v>8484</v>
      </c>
      <c r="C1269" s="1" t="s">
        <v>8485</v>
      </c>
      <c r="D1269" s="1" t="s">
        <v>8486</v>
      </c>
      <c r="E1269" s="1" t="s">
        <v>8487</v>
      </c>
      <c r="F1269" s="1" t="s">
        <v>8488</v>
      </c>
      <c r="G1269" s="1" t="s">
        <v>8489</v>
      </c>
    </row>
    <row r="1270" spans="1:7" x14ac:dyDescent="0.2">
      <c r="A1270" s="1" t="s">
        <v>8490</v>
      </c>
      <c r="B1270" s="1" t="s">
        <v>8491</v>
      </c>
      <c r="C1270" s="1" t="s">
        <v>8492</v>
      </c>
      <c r="D1270" s="1" t="s">
        <v>8493</v>
      </c>
      <c r="E1270" s="1" t="s">
        <v>8494</v>
      </c>
      <c r="F1270" s="1" t="s">
        <v>8495</v>
      </c>
      <c r="G1270" s="1" t="s">
        <v>8496</v>
      </c>
    </row>
    <row r="1271" spans="1:7" x14ac:dyDescent="0.2">
      <c r="A1271" s="1" t="s">
        <v>8497</v>
      </c>
      <c r="B1271" s="1" t="s">
        <v>8498</v>
      </c>
      <c r="C1271" s="1" t="s">
        <v>8499</v>
      </c>
      <c r="D1271" s="1" t="s">
        <v>8500</v>
      </c>
      <c r="E1271" s="1" t="s">
        <v>8501</v>
      </c>
      <c r="F1271" s="1" t="s">
        <v>8502</v>
      </c>
      <c r="G1271" s="1" t="s">
        <v>8503</v>
      </c>
    </row>
    <row r="1272" spans="1:7" x14ac:dyDescent="0.2">
      <c r="A1272" s="1" t="s">
        <v>8504</v>
      </c>
      <c r="B1272" s="1" t="s">
        <v>8505</v>
      </c>
      <c r="C1272" s="1" t="s">
        <v>8506</v>
      </c>
      <c r="D1272" s="1" t="s">
        <v>8507</v>
      </c>
      <c r="E1272" s="1" t="s">
        <v>8508</v>
      </c>
      <c r="F1272" s="1" t="s">
        <v>8509</v>
      </c>
      <c r="G1272" s="1" t="s">
        <v>8510</v>
      </c>
    </row>
    <row r="1273" spans="1:7" x14ac:dyDescent="0.2">
      <c r="A1273" s="1" t="s">
        <v>8511</v>
      </c>
      <c r="B1273" s="1" t="s">
        <v>8512</v>
      </c>
      <c r="C1273" s="1" t="s">
        <v>8513</v>
      </c>
      <c r="D1273" s="1" t="s">
        <v>5793</v>
      </c>
      <c r="E1273" s="1" t="s">
        <v>8506</v>
      </c>
      <c r="F1273" s="1" t="s">
        <v>8506</v>
      </c>
      <c r="G1273" s="1" t="s">
        <v>8514</v>
      </c>
    </row>
    <row r="1274" spans="1:7" x14ac:dyDescent="0.2">
      <c r="A1274" s="1" t="s">
        <v>8515</v>
      </c>
      <c r="B1274" s="1" t="s">
        <v>8516</v>
      </c>
      <c r="C1274" s="1" t="s">
        <v>8517</v>
      </c>
      <c r="D1274" s="1" t="s">
        <v>8518</v>
      </c>
      <c r="E1274" s="1" t="s">
        <v>8519</v>
      </c>
      <c r="F1274" s="1" t="s">
        <v>8520</v>
      </c>
      <c r="G1274" s="1" t="s">
        <v>8521</v>
      </c>
    </row>
    <row r="1275" spans="1:7" x14ac:dyDescent="0.2">
      <c r="A1275" s="1" t="s">
        <v>8522</v>
      </c>
      <c r="B1275" s="1" t="s">
        <v>8523</v>
      </c>
      <c r="C1275" s="1" t="s">
        <v>8524</v>
      </c>
      <c r="D1275" s="1" t="s">
        <v>8525</v>
      </c>
      <c r="E1275" s="1" t="s">
        <v>8526</v>
      </c>
      <c r="F1275" s="1" t="s">
        <v>8527</v>
      </c>
      <c r="G1275" s="1" t="s">
        <v>8528</v>
      </c>
    </row>
    <row r="1276" spans="1:7" x14ac:dyDescent="0.2">
      <c r="A1276" s="1" t="s">
        <v>8529</v>
      </c>
      <c r="B1276" s="1" t="s">
        <v>8530</v>
      </c>
      <c r="C1276" s="1" t="s">
        <v>8531</v>
      </c>
      <c r="D1276" s="1" t="s">
        <v>8532</v>
      </c>
      <c r="E1276" s="1" t="s">
        <v>8533</v>
      </c>
      <c r="F1276" s="1" t="s">
        <v>8534</v>
      </c>
      <c r="G1276" s="1" t="s">
        <v>8535</v>
      </c>
    </row>
    <row r="1277" spans="1:7" x14ac:dyDescent="0.2">
      <c r="A1277" s="1" t="s">
        <v>8536</v>
      </c>
      <c r="B1277" s="1" t="s">
        <v>8537</v>
      </c>
      <c r="C1277" s="1" t="s">
        <v>8538</v>
      </c>
      <c r="D1277" s="1" t="s">
        <v>8539</v>
      </c>
      <c r="E1277" s="1" t="s">
        <v>8540</v>
      </c>
      <c r="F1277" s="1" t="s">
        <v>8541</v>
      </c>
      <c r="G1277" s="1" t="s">
        <v>8542</v>
      </c>
    </row>
    <row r="1278" spans="1:7" x14ac:dyDescent="0.2">
      <c r="A1278" s="1" t="s">
        <v>8543</v>
      </c>
      <c r="B1278" s="1" t="s">
        <v>8544</v>
      </c>
      <c r="C1278" s="1" t="s">
        <v>5997</v>
      </c>
      <c r="D1278" s="1" t="s">
        <v>8545</v>
      </c>
      <c r="E1278" s="1" t="s">
        <v>8546</v>
      </c>
      <c r="F1278" s="1" t="s">
        <v>8547</v>
      </c>
      <c r="G1278" s="1" t="s">
        <v>8548</v>
      </c>
    </row>
    <row r="1279" spans="1:7" x14ac:dyDescent="0.2">
      <c r="A1279" s="1" t="s">
        <v>8549</v>
      </c>
      <c r="B1279" s="1" t="s">
        <v>8550</v>
      </c>
      <c r="C1279" s="1" t="s">
        <v>8551</v>
      </c>
      <c r="D1279" s="1" t="s">
        <v>8552</v>
      </c>
      <c r="E1279" s="1" t="s">
        <v>8553</v>
      </c>
      <c r="F1279" s="1" t="s">
        <v>8554</v>
      </c>
      <c r="G1279" s="1" t="s">
        <v>8555</v>
      </c>
    </row>
    <row r="1280" spans="1:7" x14ac:dyDescent="0.2">
      <c r="A1280" s="1" t="s">
        <v>8556</v>
      </c>
      <c r="B1280" s="1" t="s">
        <v>8557</v>
      </c>
      <c r="C1280" s="1" t="s">
        <v>8558</v>
      </c>
      <c r="D1280" s="1" t="s">
        <v>8559</v>
      </c>
      <c r="E1280" s="1" t="s">
        <v>8560</v>
      </c>
      <c r="F1280" s="1" t="s">
        <v>8561</v>
      </c>
      <c r="G1280" s="1" t="s">
        <v>8562</v>
      </c>
    </row>
    <row r="1281" spans="1:7" x14ac:dyDescent="0.2">
      <c r="A1281" s="1" t="s">
        <v>8563</v>
      </c>
      <c r="B1281" s="1" t="s">
        <v>8564</v>
      </c>
      <c r="C1281" s="1" t="s">
        <v>8565</v>
      </c>
      <c r="D1281" s="1" t="s">
        <v>8566</v>
      </c>
      <c r="E1281" s="1" t="s">
        <v>8567</v>
      </c>
      <c r="F1281" s="1" t="s">
        <v>8568</v>
      </c>
      <c r="G1281" s="1" t="s">
        <v>8569</v>
      </c>
    </row>
    <row r="1282" spans="1:7" x14ac:dyDescent="0.2">
      <c r="A1282" s="1" t="s">
        <v>8570</v>
      </c>
      <c r="B1282" s="1" t="s">
        <v>8571</v>
      </c>
      <c r="C1282" s="1" t="s">
        <v>8572</v>
      </c>
      <c r="D1282" s="1" t="s">
        <v>8573</v>
      </c>
      <c r="E1282" s="1" t="s">
        <v>8574</v>
      </c>
      <c r="F1282" s="1" t="s">
        <v>6089</v>
      </c>
      <c r="G1282" s="1" t="s">
        <v>8575</v>
      </c>
    </row>
    <row r="1283" spans="1:7" x14ac:dyDescent="0.2">
      <c r="A1283" s="1" t="s">
        <v>8576</v>
      </c>
      <c r="B1283" s="1" t="s">
        <v>8577</v>
      </c>
      <c r="C1283" s="1" t="s">
        <v>8578</v>
      </c>
      <c r="D1283" s="1" t="s">
        <v>8579</v>
      </c>
      <c r="E1283" s="1" t="s">
        <v>8580</v>
      </c>
      <c r="F1283" s="1" t="s">
        <v>8581</v>
      </c>
      <c r="G1283" s="1" t="s">
        <v>8582</v>
      </c>
    </row>
    <row r="1284" spans="1:7" x14ac:dyDescent="0.2">
      <c r="A1284" s="1" t="s">
        <v>8583</v>
      </c>
      <c r="B1284" s="1" t="s">
        <v>8584</v>
      </c>
      <c r="C1284" s="1" t="s">
        <v>8585</v>
      </c>
      <c r="D1284" s="1" t="s">
        <v>8586</v>
      </c>
      <c r="E1284" s="1" t="s">
        <v>8587</v>
      </c>
      <c r="F1284" s="1" t="s">
        <v>8588</v>
      </c>
      <c r="G1284" s="1" t="s">
        <v>8589</v>
      </c>
    </row>
    <row r="1285" spans="1:7" x14ac:dyDescent="0.2">
      <c r="A1285" s="1" t="s">
        <v>8590</v>
      </c>
      <c r="B1285" s="1" t="s">
        <v>8591</v>
      </c>
      <c r="C1285" s="1" t="s">
        <v>7276</v>
      </c>
      <c r="D1285" s="1" t="s">
        <v>8592</v>
      </c>
      <c r="E1285" s="1" t="s">
        <v>6335</v>
      </c>
      <c r="F1285" s="1" t="s">
        <v>8593</v>
      </c>
      <c r="G1285" s="1" t="s">
        <v>8594</v>
      </c>
    </row>
    <row r="1286" spans="1:7" x14ac:dyDescent="0.2">
      <c r="A1286" s="1" t="s">
        <v>8595</v>
      </c>
      <c r="B1286" s="1" t="s">
        <v>8596</v>
      </c>
      <c r="C1286" s="1" t="s">
        <v>8597</v>
      </c>
      <c r="D1286" s="1" t="s">
        <v>8598</v>
      </c>
      <c r="E1286" s="1" t="s">
        <v>8599</v>
      </c>
      <c r="F1286" s="1" t="s">
        <v>8593</v>
      </c>
      <c r="G1286" s="1" t="s">
        <v>8600</v>
      </c>
    </row>
    <row r="1287" spans="1:7" x14ac:dyDescent="0.2">
      <c r="A1287" s="1" t="s">
        <v>8601</v>
      </c>
      <c r="B1287" s="1" t="s">
        <v>8602</v>
      </c>
      <c r="C1287" s="1" t="s">
        <v>8603</v>
      </c>
      <c r="D1287" s="1" t="s">
        <v>8604</v>
      </c>
      <c r="E1287" s="1" t="s">
        <v>8605</v>
      </c>
      <c r="F1287" s="1" t="s">
        <v>8606</v>
      </c>
      <c r="G1287" s="1" t="s">
        <v>8607</v>
      </c>
    </row>
    <row r="1288" spans="1:7" x14ac:dyDescent="0.2">
      <c r="A1288" s="1" t="s">
        <v>8608</v>
      </c>
      <c r="B1288" s="1" t="s">
        <v>8609</v>
      </c>
      <c r="C1288" s="1" t="s">
        <v>8610</v>
      </c>
      <c r="D1288" s="1" t="s">
        <v>8611</v>
      </c>
      <c r="E1288" s="1" t="s">
        <v>8612</v>
      </c>
      <c r="F1288" s="1" t="s">
        <v>8613</v>
      </c>
      <c r="G1288" s="1" t="s">
        <v>8614</v>
      </c>
    </row>
    <row r="1289" spans="1:7" x14ac:dyDescent="0.2">
      <c r="A1289" s="1" t="s">
        <v>8615</v>
      </c>
      <c r="B1289" s="1" t="s">
        <v>8616</v>
      </c>
      <c r="C1289" s="1" t="s">
        <v>8617</v>
      </c>
      <c r="D1289" s="1" t="s">
        <v>8618</v>
      </c>
      <c r="E1289" s="1" t="s">
        <v>8619</v>
      </c>
      <c r="F1289" s="1" t="s">
        <v>7001</v>
      </c>
      <c r="G1289" s="1" t="s">
        <v>8620</v>
      </c>
    </row>
    <row r="1290" spans="1:7" x14ac:dyDescent="0.2">
      <c r="A1290" s="1" t="s">
        <v>8621</v>
      </c>
      <c r="B1290" s="1" t="s">
        <v>8622</v>
      </c>
      <c r="C1290" s="1" t="s">
        <v>8623</v>
      </c>
      <c r="D1290" s="1" t="s">
        <v>8624</v>
      </c>
      <c r="E1290" s="1" t="s">
        <v>6168</v>
      </c>
      <c r="F1290" s="1" t="s">
        <v>8625</v>
      </c>
      <c r="G1290" s="1" t="s">
        <v>8626</v>
      </c>
    </row>
    <row r="1291" spans="1:7" x14ac:dyDescent="0.2">
      <c r="A1291" s="1" t="s">
        <v>8627</v>
      </c>
      <c r="B1291" s="1" t="s">
        <v>8628</v>
      </c>
      <c r="C1291" s="1" t="s">
        <v>8629</v>
      </c>
      <c r="D1291" s="1" t="s">
        <v>8630</v>
      </c>
      <c r="E1291" s="1" t="s">
        <v>8631</v>
      </c>
      <c r="F1291" s="1" t="s">
        <v>8632</v>
      </c>
      <c r="G1291" s="1" t="s">
        <v>8633</v>
      </c>
    </row>
    <row r="1292" spans="1:7" x14ac:dyDescent="0.2">
      <c r="A1292" s="1" t="s">
        <v>8634</v>
      </c>
      <c r="B1292" s="1" t="s">
        <v>8635</v>
      </c>
      <c r="C1292" s="1" t="s">
        <v>8636</v>
      </c>
      <c r="D1292" s="1" t="s">
        <v>8637</v>
      </c>
      <c r="E1292" s="1" t="s">
        <v>8638</v>
      </c>
      <c r="F1292" s="1" t="s">
        <v>8639</v>
      </c>
      <c r="G1292" s="1" t="s">
        <v>8640</v>
      </c>
    </row>
    <row r="1293" spans="1:7" x14ac:dyDescent="0.2">
      <c r="A1293" s="1" t="s">
        <v>8641</v>
      </c>
      <c r="B1293" s="1" t="s">
        <v>8642</v>
      </c>
      <c r="C1293" s="1" t="s">
        <v>8643</v>
      </c>
      <c r="D1293" s="1" t="s">
        <v>8644</v>
      </c>
      <c r="E1293" s="1" t="s">
        <v>6269</v>
      </c>
      <c r="F1293" s="1" t="s">
        <v>8645</v>
      </c>
      <c r="G1293" s="1" t="s">
        <v>8646</v>
      </c>
    </row>
    <row r="1294" spans="1:7" x14ac:dyDescent="0.2">
      <c r="A1294" s="1" t="s">
        <v>8647</v>
      </c>
      <c r="B1294" s="1" t="s">
        <v>8648</v>
      </c>
      <c r="C1294" s="1" t="s">
        <v>8649</v>
      </c>
      <c r="D1294" s="1" t="s">
        <v>8650</v>
      </c>
      <c r="E1294" s="1" t="s">
        <v>8651</v>
      </c>
      <c r="F1294" s="1" t="s">
        <v>8652</v>
      </c>
      <c r="G1294" s="1" t="s">
        <v>8653</v>
      </c>
    </row>
    <row r="1295" spans="1:7" x14ac:dyDescent="0.2">
      <c r="A1295" s="1" t="s">
        <v>8654</v>
      </c>
      <c r="B1295" s="1" t="s">
        <v>8655</v>
      </c>
      <c r="C1295" s="1" t="s">
        <v>8656</v>
      </c>
      <c r="D1295" s="1" t="s">
        <v>8657</v>
      </c>
      <c r="E1295" s="1" t="s">
        <v>6241</v>
      </c>
      <c r="F1295" s="1" t="s">
        <v>8658</v>
      </c>
      <c r="G1295" s="1" t="s">
        <v>8659</v>
      </c>
    </row>
    <row r="1296" spans="1:7" x14ac:dyDescent="0.2">
      <c r="A1296" s="1" t="s">
        <v>8660</v>
      </c>
      <c r="B1296" s="1" t="s">
        <v>8661</v>
      </c>
      <c r="C1296" s="1" t="s">
        <v>8662</v>
      </c>
      <c r="D1296" s="1" t="s">
        <v>8663</v>
      </c>
      <c r="E1296" s="1" t="s">
        <v>8664</v>
      </c>
      <c r="F1296" s="1" t="s">
        <v>8665</v>
      </c>
      <c r="G1296" s="1" t="s">
        <v>8666</v>
      </c>
    </row>
    <row r="1297" spans="1:7" x14ac:dyDescent="0.2">
      <c r="A1297" s="1" t="s">
        <v>8667</v>
      </c>
      <c r="B1297" s="1" t="s">
        <v>8668</v>
      </c>
      <c r="C1297" s="1" t="s">
        <v>8669</v>
      </c>
      <c r="D1297" s="1" t="s">
        <v>8670</v>
      </c>
      <c r="E1297" s="1" t="s">
        <v>8671</v>
      </c>
      <c r="F1297" s="1" t="s">
        <v>8593</v>
      </c>
      <c r="G1297" s="1" t="s">
        <v>8672</v>
      </c>
    </row>
    <row r="1298" spans="1:7" x14ac:dyDescent="0.2">
      <c r="A1298" s="1" t="s">
        <v>8673</v>
      </c>
      <c r="B1298" s="1" t="s">
        <v>8674</v>
      </c>
      <c r="C1298" s="1" t="s">
        <v>8675</v>
      </c>
      <c r="D1298" s="1" t="s">
        <v>8676</v>
      </c>
      <c r="E1298" s="1" t="s">
        <v>8677</v>
      </c>
      <c r="F1298" s="1" t="s">
        <v>8678</v>
      </c>
      <c r="G1298" s="1" t="s">
        <v>8679</v>
      </c>
    </row>
    <row r="1299" spans="1:7" x14ac:dyDescent="0.2">
      <c r="A1299" s="1" t="s">
        <v>8680</v>
      </c>
      <c r="B1299" s="1" t="s">
        <v>8681</v>
      </c>
      <c r="C1299" s="1" t="s">
        <v>8682</v>
      </c>
      <c r="D1299" s="1" t="s">
        <v>8683</v>
      </c>
      <c r="E1299" s="1" t="s">
        <v>8684</v>
      </c>
      <c r="F1299" s="1" t="s">
        <v>8685</v>
      </c>
      <c r="G1299" s="1" t="s">
        <v>8686</v>
      </c>
    </row>
    <row r="1300" spans="1:7" x14ac:dyDescent="0.2">
      <c r="A1300" s="1" t="s">
        <v>8687</v>
      </c>
      <c r="B1300" s="1" t="s">
        <v>8688</v>
      </c>
      <c r="C1300" s="1" t="s">
        <v>8689</v>
      </c>
      <c r="D1300" s="1" t="s">
        <v>8690</v>
      </c>
      <c r="E1300" s="1" t="s">
        <v>8691</v>
      </c>
      <c r="F1300" s="1" t="s">
        <v>8692</v>
      </c>
      <c r="G1300" s="1" t="s">
        <v>8693</v>
      </c>
    </row>
    <row r="1301" spans="1:7" x14ac:dyDescent="0.2">
      <c r="A1301" s="1" t="s">
        <v>8694</v>
      </c>
      <c r="B1301" s="1" t="s">
        <v>8695</v>
      </c>
      <c r="C1301" s="1" t="s">
        <v>8696</v>
      </c>
      <c r="D1301" s="1" t="s">
        <v>8697</v>
      </c>
      <c r="E1301" s="1" t="s">
        <v>8698</v>
      </c>
      <c r="F1301" s="1" t="s">
        <v>8699</v>
      </c>
      <c r="G1301" s="1" t="s">
        <v>8700</v>
      </c>
    </row>
    <row r="1302" spans="1:7" x14ac:dyDescent="0.2">
      <c r="A1302" s="1" t="s">
        <v>8701</v>
      </c>
      <c r="B1302" s="1" t="s">
        <v>8702</v>
      </c>
      <c r="C1302" s="1" t="s">
        <v>8703</v>
      </c>
      <c r="D1302" s="1" t="s">
        <v>8704</v>
      </c>
      <c r="E1302" s="1" t="s">
        <v>8705</v>
      </c>
      <c r="F1302" s="1" t="s">
        <v>6855</v>
      </c>
      <c r="G1302" s="1" t="s">
        <v>8706</v>
      </c>
    </row>
    <row r="1303" spans="1:7" x14ac:dyDescent="0.2">
      <c r="A1303" s="1" t="s">
        <v>8707</v>
      </c>
      <c r="B1303" s="1" t="s">
        <v>8708</v>
      </c>
      <c r="C1303" s="1" t="s">
        <v>8709</v>
      </c>
      <c r="D1303" s="1" t="s">
        <v>8710</v>
      </c>
      <c r="E1303" s="1" t="s">
        <v>8711</v>
      </c>
      <c r="F1303" s="1" t="s">
        <v>8712</v>
      </c>
      <c r="G1303" s="1" t="s">
        <v>8713</v>
      </c>
    </row>
    <row r="1304" spans="1:7" x14ac:dyDescent="0.2">
      <c r="A1304" s="1" t="s">
        <v>8714</v>
      </c>
      <c r="B1304" s="1" t="s">
        <v>8715</v>
      </c>
      <c r="C1304" s="1" t="s">
        <v>8716</v>
      </c>
      <c r="D1304" s="1" t="s">
        <v>6856</v>
      </c>
      <c r="E1304" s="1" t="s">
        <v>8717</v>
      </c>
      <c r="F1304" s="1" t="s">
        <v>8718</v>
      </c>
      <c r="G1304" s="1" t="s">
        <v>8719</v>
      </c>
    </row>
    <row r="1305" spans="1:7" x14ac:dyDescent="0.2">
      <c r="A1305" s="1" t="s">
        <v>8720</v>
      </c>
      <c r="B1305" s="1" t="s">
        <v>8721</v>
      </c>
      <c r="C1305" s="1" t="s">
        <v>6898</v>
      </c>
      <c r="D1305" s="1" t="s">
        <v>8722</v>
      </c>
      <c r="E1305" s="1" t="s">
        <v>6420</v>
      </c>
      <c r="F1305" s="1" t="s">
        <v>8723</v>
      </c>
      <c r="G1305" s="1" t="s">
        <v>8724</v>
      </c>
    </row>
    <row r="1306" spans="1:7" x14ac:dyDescent="0.2">
      <c r="A1306" s="1" t="s">
        <v>8725</v>
      </c>
      <c r="B1306" s="1" t="s">
        <v>8726</v>
      </c>
      <c r="C1306" s="1" t="s">
        <v>8727</v>
      </c>
      <c r="D1306" s="1" t="s">
        <v>8728</v>
      </c>
      <c r="E1306" s="1" t="s">
        <v>8729</v>
      </c>
      <c r="F1306" s="1" t="s">
        <v>8730</v>
      </c>
      <c r="G1306" s="1" t="s">
        <v>8731</v>
      </c>
    </row>
    <row r="1307" spans="1:7" x14ac:dyDescent="0.2">
      <c r="A1307" s="1" t="s">
        <v>8732</v>
      </c>
      <c r="B1307" s="1" t="s">
        <v>8733</v>
      </c>
      <c r="C1307" s="1" t="s">
        <v>8734</v>
      </c>
      <c r="D1307" s="1" t="s">
        <v>8735</v>
      </c>
      <c r="E1307" s="1" t="s">
        <v>8736</v>
      </c>
      <c r="F1307" s="1" t="s">
        <v>8737</v>
      </c>
      <c r="G1307" s="1" t="s">
        <v>8738</v>
      </c>
    </row>
    <row r="1308" spans="1:7" x14ac:dyDescent="0.2">
      <c r="A1308" s="1" t="s">
        <v>8739</v>
      </c>
      <c r="B1308" s="1" t="s">
        <v>8740</v>
      </c>
      <c r="C1308" s="1" t="s">
        <v>8741</v>
      </c>
      <c r="D1308" s="1" t="s">
        <v>8742</v>
      </c>
      <c r="E1308" s="1" t="s">
        <v>8743</v>
      </c>
      <c r="F1308" s="1" t="s">
        <v>8729</v>
      </c>
      <c r="G1308" s="1" t="s">
        <v>8744</v>
      </c>
    </row>
    <row r="1309" spans="1:7" x14ac:dyDescent="0.2">
      <c r="A1309" s="1" t="s">
        <v>8745</v>
      </c>
      <c r="B1309" s="1" t="s">
        <v>8746</v>
      </c>
      <c r="C1309" s="1" t="s">
        <v>8747</v>
      </c>
      <c r="D1309" s="1" t="s">
        <v>8748</v>
      </c>
      <c r="E1309" s="1" t="s">
        <v>8749</v>
      </c>
      <c r="F1309" s="1" t="s">
        <v>8750</v>
      </c>
      <c r="G1309" s="1" t="s">
        <v>8751</v>
      </c>
    </row>
    <row r="1310" spans="1:7" x14ac:dyDescent="0.2">
      <c r="A1310" s="1" t="s">
        <v>8752</v>
      </c>
      <c r="B1310" s="1" t="s">
        <v>8753</v>
      </c>
      <c r="C1310" s="1" t="s">
        <v>8754</v>
      </c>
      <c r="D1310" s="1" t="s">
        <v>8755</v>
      </c>
      <c r="E1310" s="1" t="s">
        <v>6419</v>
      </c>
      <c r="F1310" s="1" t="s">
        <v>8756</v>
      </c>
      <c r="G1310" s="1" t="s">
        <v>8757</v>
      </c>
    </row>
    <row r="1311" spans="1:7" x14ac:dyDescent="0.2">
      <c r="A1311" s="1" t="s">
        <v>8758</v>
      </c>
      <c r="B1311" s="1" t="s">
        <v>8759</v>
      </c>
      <c r="C1311" s="1" t="s">
        <v>8760</v>
      </c>
      <c r="D1311" s="1" t="s">
        <v>8761</v>
      </c>
      <c r="E1311" s="1" t="s">
        <v>8762</v>
      </c>
      <c r="F1311" s="1" t="s">
        <v>8763</v>
      </c>
      <c r="G1311" s="1" t="s">
        <v>8764</v>
      </c>
    </row>
    <row r="1312" spans="1:7" x14ac:dyDescent="0.2">
      <c r="A1312" s="1" t="s">
        <v>8765</v>
      </c>
      <c r="B1312" s="1" t="s">
        <v>8766</v>
      </c>
      <c r="C1312" s="1" t="s">
        <v>8767</v>
      </c>
      <c r="D1312" s="1" t="s">
        <v>8768</v>
      </c>
      <c r="E1312" s="1" t="s">
        <v>8769</v>
      </c>
      <c r="F1312" s="1" t="s">
        <v>8770</v>
      </c>
      <c r="G1312" s="1" t="s">
        <v>8771</v>
      </c>
    </row>
    <row r="1313" spans="1:7" x14ac:dyDescent="0.2">
      <c r="A1313" s="1" t="s">
        <v>8772</v>
      </c>
      <c r="B1313" s="1" t="s">
        <v>8773</v>
      </c>
      <c r="C1313" s="1" t="s">
        <v>8774</v>
      </c>
      <c r="D1313" s="1" t="s">
        <v>8775</v>
      </c>
      <c r="E1313" s="1" t="s">
        <v>8776</v>
      </c>
      <c r="F1313" s="1" t="s">
        <v>8777</v>
      </c>
      <c r="G1313" s="1" t="s">
        <v>8778</v>
      </c>
    </row>
    <row r="1314" spans="1:7" x14ac:dyDescent="0.2">
      <c r="A1314" s="1" t="s">
        <v>8779</v>
      </c>
      <c r="B1314" s="1" t="s">
        <v>8780</v>
      </c>
      <c r="C1314" s="1" t="s">
        <v>8781</v>
      </c>
      <c r="D1314" s="1" t="s">
        <v>8782</v>
      </c>
      <c r="E1314" s="1" t="s">
        <v>8783</v>
      </c>
      <c r="F1314" s="1" t="s">
        <v>8784</v>
      </c>
      <c r="G1314" s="1" t="s">
        <v>8785</v>
      </c>
    </row>
    <row r="1315" spans="1:7" x14ac:dyDescent="0.2">
      <c r="A1315" s="1" t="s">
        <v>8786</v>
      </c>
      <c r="B1315" s="1" t="s">
        <v>8787</v>
      </c>
      <c r="C1315" s="1" t="s">
        <v>8788</v>
      </c>
      <c r="D1315" s="1" t="s">
        <v>8789</v>
      </c>
      <c r="E1315" s="1" t="s">
        <v>8790</v>
      </c>
      <c r="F1315" s="1" t="s">
        <v>8791</v>
      </c>
      <c r="G1315" s="1" t="s">
        <v>8792</v>
      </c>
    </row>
    <row r="1316" spans="1:7" x14ac:dyDescent="0.2">
      <c r="A1316" s="1" t="s">
        <v>8793</v>
      </c>
      <c r="B1316" s="1" t="s">
        <v>8794</v>
      </c>
      <c r="C1316" s="1" t="s">
        <v>8795</v>
      </c>
      <c r="D1316" s="1" t="s">
        <v>8796</v>
      </c>
      <c r="E1316" s="1" t="s">
        <v>8797</v>
      </c>
      <c r="F1316" s="1" t="s">
        <v>8798</v>
      </c>
      <c r="G1316" s="1" t="s">
        <v>8799</v>
      </c>
    </row>
    <row r="1317" spans="1:7" x14ac:dyDescent="0.2">
      <c r="A1317" s="1" t="s">
        <v>8800</v>
      </c>
      <c r="B1317" s="1" t="s">
        <v>8801</v>
      </c>
      <c r="C1317" s="1" t="s">
        <v>8802</v>
      </c>
      <c r="D1317" s="1" t="s">
        <v>8803</v>
      </c>
      <c r="E1317" s="1" t="s">
        <v>8804</v>
      </c>
      <c r="F1317" s="1" t="s">
        <v>8805</v>
      </c>
      <c r="G1317" s="1" t="s">
        <v>8806</v>
      </c>
    </row>
    <row r="1318" spans="1:7" x14ac:dyDescent="0.2">
      <c r="A1318" s="1" t="s">
        <v>8807</v>
      </c>
      <c r="B1318" s="1" t="s">
        <v>8808</v>
      </c>
      <c r="C1318" s="1" t="s">
        <v>8809</v>
      </c>
      <c r="D1318" s="1" t="s">
        <v>8810</v>
      </c>
      <c r="E1318" s="1" t="s">
        <v>8811</v>
      </c>
      <c r="F1318" s="1" t="s">
        <v>8812</v>
      </c>
      <c r="G1318" s="1" t="s">
        <v>8813</v>
      </c>
    </row>
    <row r="1319" spans="1:7" x14ac:dyDescent="0.2">
      <c r="A1319" s="1" t="s">
        <v>8814</v>
      </c>
      <c r="B1319" s="1" t="s">
        <v>8815</v>
      </c>
      <c r="C1319" s="1" t="s">
        <v>8816</v>
      </c>
      <c r="D1319" s="1" t="s">
        <v>8817</v>
      </c>
      <c r="E1319" s="1" t="s">
        <v>8818</v>
      </c>
      <c r="F1319" s="1" t="s">
        <v>8819</v>
      </c>
      <c r="G1319" s="1" t="s">
        <v>8820</v>
      </c>
    </row>
    <row r="1320" spans="1:7" x14ac:dyDescent="0.2">
      <c r="A1320" s="1" t="s">
        <v>8821</v>
      </c>
      <c r="B1320" s="1" t="s">
        <v>8822</v>
      </c>
      <c r="C1320" s="1" t="s">
        <v>8823</v>
      </c>
      <c r="D1320" s="1" t="s">
        <v>8824</v>
      </c>
      <c r="E1320" s="1" t="s">
        <v>8825</v>
      </c>
      <c r="F1320" s="1" t="s">
        <v>8826</v>
      </c>
      <c r="G1320" s="1" t="s">
        <v>8827</v>
      </c>
    </row>
    <row r="1321" spans="1:7" x14ac:dyDescent="0.2">
      <c r="A1321" s="1" t="s">
        <v>8828</v>
      </c>
      <c r="B1321" s="1" t="s">
        <v>8829</v>
      </c>
      <c r="C1321" s="1" t="s">
        <v>8830</v>
      </c>
      <c r="D1321" s="1" t="s">
        <v>8831</v>
      </c>
      <c r="E1321" s="1" t="s">
        <v>8832</v>
      </c>
      <c r="F1321" s="1" t="s">
        <v>8833</v>
      </c>
      <c r="G1321" s="1" t="s">
        <v>8834</v>
      </c>
    </row>
    <row r="1322" spans="1:7" x14ac:dyDescent="0.2">
      <c r="A1322" s="1" t="s">
        <v>8835</v>
      </c>
      <c r="B1322" s="1" t="s">
        <v>8836</v>
      </c>
      <c r="C1322" s="1" t="s">
        <v>8837</v>
      </c>
      <c r="D1322" s="1" t="s">
        <v>8838</v>
      </c>
      <c r="E1322" s="1" t="s">
        <v>8839</v>
      </c>
      <c r="F1322" s="1" t="s">
        <v>8840</v>
      </c>
      <c r="G1322" s="1" t="s">
        <v>8841</v>
      </c>
    </row>
    <row r="1323" spans="1:7" x14ac:dyDescent="0.2">
      <c r="A1323" s="1" t="s">
        <v>8842</v>
      </c>
      <c r="B1323" s="1" t="s">
        <v>8843</v>
      </c>
      <c r="C1323" s="1" t="s">
        <v>8844</v>
      </c>
      <c r="D1323" s="1" t="s">
        <v>8845</v>
      </c>
      <c r="E1323" s="1" t="s">
        <v>8846</v>
      </c>
      <c r="F1323" s="1" t="s">
        <v>8847</v>
      </c>
      <c r="G1323" s="1" t="s">
        <v>8848</v>
      </c>
    </row>
    <row r="1324" spans="1:7" x14ac:dyDescent="0.2">
      <c r="A1324" s="1" t="s">
        <v>8849</v>
      </c>
      <c r="B1324" s="1" t="s">
        <v>8850</v>
      </c>
      <c r="C1324" s="1" t="s">
        <v>8851</v>
      </c>
      <c r="D1324" s="1" t="s">
        <v>8817</v>
      </c>
      <c r="E1324" s="1" t="s">
        <v>8852</v>
      </c>
      <c r="F1324" s="1" t="s">
        <v>6485</v>
      </c>
      <c r="G1324" s="1" t="s">
        <v>8853</v>
      </c>
    </row>
    <row r="1325" spans="1:7" x14ac:dyDescent="0.2">
      <c r="A1325" s="1" t="s">
        <v>8854</v>
      </c>
      <c r="B1325" s="1" t="s">
        <v>8855</v>
      </c>
      <c r="C1325" s="1" t="s">
        <v>8856</v>
      </c>
      <c r="D1325" s="1" t="s">
        <v>8857</v>
      </c>
      <c r="E1325" s="1" t="s">
        <v>8858</v>
      </c>
      <c r="F1325" s="1" t="s">
        <v>8859</v>
      </c>
      <c r="G1325" s="1" t="s">
        <v>8860</v>
      </c>
    </row>
    <row r="1326" spans="1:7" x14ac:dyDescent="0.2">
      <c r="A1326" s="1" t="s">
        <v>8861</v>
      </c>
      <c r="B1326" s="1" t="s">
        <v>8862</v>
      </c>
      <c r="C1326" s="1" t="s">
        <v>8863</v>
      </c>
      <c r="D1326" s="1" t="s">
        <v>8864</v>
      </c>
      <c r="E1326" s="1" t="s">
        <v>8865</v>
      </c>
      <c r="F1326" s="1" t="s">
        <v>8866</v>
      </c>
      <c r="G1326" s="1" t="s">
        <v>8867</v>
      </c>
    </row>
    <row r="1327" spans="1:7" x14ac:dyDescent="0.2">
      <c r="A1327" s="1" t="s">
        <v>8868</v>
      </c>
      <c r="B1327" s="1" t="s">
        <v>8869</v>
      </c>
      <c r="C1327" s="1" t="s">
        <v>8870</v>
      </c>
      <c r="D1327" s="1" t="s">
        <v>8864</v>
      </c>
      <c r="E1327" s="1" t="s">
        <v>8871</v>
      </c>
      <c r="F1327" s="1" t="s">
        <v>8872</v>
      </c>
      <c r="G1327" s="1" t="s">
        <v>8873</v>
      </c>
    </row>
    <row r="1328" spans="1:7" x14ac:dyDescent="0.2">
      <c r="A1328" s="1" t="s">
        <v>8874</v>
      </c>
      <c r="B1328" s="1" t="s">
        <v>8875</v>
      </c>
      <c r="C1328" s="1" t="s">
        <v>8876</v>
      </c>
      <c r="D1328" s="1" t="s">
        <v>8877</v>
      </c>
      <c r="E1328" s="1" t="s">
        <v>8878</v>
      </c>
      <c r="F1328" s="1" t="s">
        <v>8879</v>
      </c>
      <c r="G1328" s="1" t="s">
        <v>8880</v>
      </c>
    </row>
    <row r="1329" spans="1:7" x14ac:dyDescent="0.2">
      <c r="A1329" s="1" t="s">
        <v>8881</v>
      </c>
      <c r="B1329" s="1" t="s">
        <v>8882</v>
      </c>
      <c r="C1329" s="1" t="s">
        <v>8883</v>
      </c>
      <c r="D1329" s="1" t="s">
        <v>8884</v>
      </c>
      <c r="E1329" s="1" t="s">
        <v>8885</v>
      </c>
      <c r="F1329" s="1" t="s">
        <v>8886</v>
      </c>
      <c r="G1329" s="1" t="s">
        <v>8887</v>
      </c>
    </row>
    <row r="1330" spans="1:7" x14ac:dyDescent="0.2">
      <c r="A1330" s="1" t="s">
        <v>8888</v>
      </c>
      <c r="B1330" s="1" t="s">
        <v>8889</v>
      </c>
      <c r="C1330" s="1" t="s">
        <v>8890</v>
      </c>
      <c r="D1330" s="1" t="s">
        <v>8891</v>
      </c>
      <c r="E1330" s="1" t="s">
        <v>8892</v>
      </c>
      <c r="F1330" s="1" t="s">
        <v>8893</v>
      </c>
      <c r="G1330" s="1" t="s">
        <v>8894</v>
      </c>
    </row>
    <row r="1331" spans="1:7" x14ac:dyDescent="0.2">
      <c r="A1331" s="1" t="s">
        <v>8895</v>
      </c>
      <c r="B1331" s="1" t="s">
        <v>8896</v>
      </c>
      <c r="C1331" s="1" t="s">
        <v>8897</v>
      </c>
      <c r="D1331" s="1" t="s">
        <v>8898</v>
      </c>
      <c r="E1331" s="1" t="s">
        <v>8899</v>
      </c>
      <c r="F1331" s="1" t="s">
        <v>8900</v>
      </c>
      <c r="G1331" s="1" t="s">
        <v>8901</v>
      </c>
    </row>
    <row r="1332" spans="1:7" x14ac:dyDescent="0.2">
      <c r="A1332" s="1" t="s">
        <v>8902</v>
      </c>
      <c r="B1332" s="1" t="s">
        <v>8903</v>
      </c>
      <c r="C1332" s="1" t="s">
        <v>6966</v>
      </c>
      <c r="D1332" s="1" t="s">
        <v>8904</v>
      </c>
      <c r="E1332" s="1" t="s">
        <v>8905</v>
      </c>
      <c r="F1332" s="1" t="s">
        <v>8906</v>
      </c>
      <c r="G1332" s="1" t="s">
        <v>8907</v>
      </c>
    </row>
    <row r="1333" spans="1:7" x14ac:dyDescent="0.2">
      <c r="A1333" s="1" t="s">
        <v>8908</v>
      </c>
      <c r="B1333" s="1" t="s">
        <v>8909</v>
      </c>
      <c r="C1333" s="1" t="s">
        <v>8910</v>
      </c>
      <c r="D1333" s="1" t="s">
        <v>8911</v>
      </c>
      <c r="E1333" s="1" t="s">
        <v>8912</v>
      </c>
      <c r="F1333" s="1" t="s">
        <v>7122</v>
      </c>
      <c r="G1333" s="1" t="s">
        <v>8913</v>
      </c>
    </row>
    <row r="1334" spans="1:7" x14ac:dyDescent="0.2">
      <c r="A1334" s="1" t="s">
        <v>8914</v>
      </c>
      <c r="B1334" s="1" t="s">
        <v>8915</v>
      </c>
      <c r="C1334" s="1" t="s">
        <v>8916</v>
      </c>
      <c r="D1334" s="1" t="s">
        <v>8917</v>
      </c>
      <c r="E1334" s="1" t="s">
        <v>8918</v>
      </c>
      <c r="F1334" s="1" t="s">
        <v>8919</v>
      </c>
      <c r="G1334" s="1" t="s">
        <v>8920</v>
      </c>
    </row>
    <row r="1335" spans="1:7" x14ac:dyDescent="0.2">
      <c r="A1335" s="1" t="s">
        <v>8921</v>
      </c>
      <c r="B1335" s="1" t="s">
        <v>8922</v>
      </c>
      <c r="C1335" s="1" t="s">
        <v>8923</v>
      </c>
      <c r="D1335" s="1" t="s">
        <v>8924</v>
      </c>
      <c r="E1335" s="1" t="s">
        <v>8925</v>
      </c>
      <c r="F1335" s="1" t="s">
        <v>8926</v>
      </c>
      <c r="G1335" s="1" t="s">
        <v>8927</v>
      </c>
    </row>
    <row r="1336" spans="1:7" x14ac:dyDescent="0.2">
      <c r="A1336" s="1" t="s">
        <v>8928</v>
      </c>
      <c r="B1336" s="1" t="s">
        <v>8929</v>
      </c>
      <c r="C1336" s="1" t="s">
        <v>8930</v>
      </c>
      <c r="D1336" s="1" t="s">
        <v>8931</v>
      </c>
      <c r="E1336" s="1" t="s">
        <v>8932</v>
      </c>
      <c r="F1336" s="1" t="s">
        <v>6773</v>
      </c>
      <c r="G1336" s="1" t="s">
        <v>8933</v>
      </c>
    </row>
    <row r="1337" spans="1:7" x14ac:dyDescent="0.2">
      <c r="A1337" s="1" t="s">
        <v>8934</v>
      </c>
      <c r="B1337" s="1" t="s">
        <v>8935</v>
      </c>
      <c r="C1337" s="1" t="s">
        <v>8936</v>
      </c>
      <c r="D1337" s="1" t="s">
        <v>8864</v>
      </c>
      <c r="E1337" s="1" t="s">
        <v>8937</v>
      </c>
      <c r="F1337" s="1" t="s">
        <v>8938</v>
      </c>
      <c r="G1337" s="1" t="s">
        <v>8939</v>
      </c>
    </row>
    <row r="1338" spans="1:7" x14ac:dyDescent="0.2">
      <c r="A1338" s="1" t="s">
        <v>8940</v>
      </c>
      <c r="B1338" s="1" t="s">
        <v>8941</v>
      </c>
      <c r="C1338" s="1" t="s">
        <v>8942</v>
      </c>
      <c r="D1338" s="1" t="s">
        <v>8943</v>
      </c>
      <c r="E1338" s="1" t="s">
        <v>8831</v>
      </c>
      <c r="F1338" s="1" t="s">
        <v>8944</v>
      </c>
      <c r="G1338" s="1" t="s">
        <v>8945</v>
      </c>
    </row>
    <row r="1339" spans="1:7" x14ac:dyDescent="0.2">
      <c r="A1339" s="1" t="s">
        <v>8946</v>
      </c>
      <c r="B1339" s="1" t="s">
        <v>8947</v>
      </c>
      <c r="C1339" s="1" t="s">
        <v>8948</v>
      </c>
      <c r="D1339" s="1" t="s">
        <v>8949</v>
      </c>
      <c r="E1339" s="1" t="s">
        <v>8950</v>
      </c>
      <c r="F1339" s="1" t="s">
        <v>8951</v>
      </c>
      <c r="G1339" s="1" t="s">
        <v>8952</v>
      </c>
    </row>
    <row r="1340" spans="1:7" x14ac:dyDescent="0.2">
      <c r="A1340" s="1" t="s">
        <v>8953</v>
      </c>
      <c r="B1340" s="1" t="s">
        <v>8954</v>
      </c>
      <c r="C1340" s="1" t="s">
        <v>8955</v>
      </c>
      <c r="D1340" s="1" t="s">
        <v>8956</v>
      </c>
      <c r="E1340" s="1" t="s">
        <v>8957</v>
      </c>
      <c r="F1340" s="1" t="s">
        <v>8958</v>
      </c>
      <c r="G1340" s="1" t="s">
        <v>8959</v>
      </c>
    </row>
    <row r="1341" spans="1:7" x14ac:dyDescent="0.2">
      <c r="A1341" s="1" t="s">
        <v>8960</v>
      </c>
      <c r="B1341" s="1" t="s">
        <v>8961</v>
      </c>
      <c r="C1341" s="1" t="s">
        <v>8962</v>
      </c>
      <c r="D1341" s="1" t="s">
        <v>6785</v>
      </c>
      <c r="E1341" s="1" t="s">
        <v>8963</v>
      </c>
      <c r="F1341" s="1" t="s">
        <v>8845</v>
      </c>
      <c r="G1341" s="1" t="s">
        <v>8964</v>
      </c>
    </row>
    <row r="1342" spans="1:7" x14ac:dyDescent="0.2">
      <c r="A1342" s="1" t="s">
        <v>8965</v>
      </c>
      <c r="B1342" s="1" t="s">
        <v>8966</v>
      </c>
      <c r="C1342" s="1" t="s">
        <v>8967</v>
      </c>
      <c r="D1342" s="1" t="s">
        <v>8968</v>
      </c>
      <c r="E1342" s="1" t="s">
        <v>6938</v>
      </c>
      <c r="F1342" s="1" t="s">
        <v>8923</v>
      </c>
      <c r="G1342" s="1" t="s">
        <v>8969</v>
      </c>
    </row>
    <row r="1343" spans="1:7" x14ac:dyDescent="0.2">
      <c r="A1343" s="1" t="s">
        <v>8970</v>
      </c>
      <c r="B1343" s="1" t="s">
        <v>8971</v>
      </c>
      <c r="C1343" s="1" t="s">
        <v>8972</v>
      </c>
      <c r="D1343" s="1" t="s">
        <v>8973</v>
      </c>
      <c r="E1343" s="1" t="s">
        <v>8974</v>
      </c>
      <c r="F1343" s="1" t="s">
        <v>8975</v>
      </c>
      <c r="G1343" s="1" t="s">
        <v>8976</v>
      </c>
    </row>
    <row r="1344" spans="1:7" x14ac:dyDescent="0.2">
      <c r="A1344" s="1" t="s">
        <v>8977</v>
      </c>
      <c r="B1344" s="1" t="s">
        <v>8978</v>
      </c>
      <c r="C1344" s="1" t="s">
        <v>8979</v>
      </c>
      <c r="D1344" s="1" t="s">
        <v>8980</v>
      </c>
      <c r="E1344" s="1" t="s">
        <v>8981</v>
      </c>
      <c r="F1344" s="1" t="s">
        <v>8982</v>
      </c>
      <c r="G1344" s="1" t="s">
        <v>8983</v>
      </c>
    </row>
    <row r="1345" spans="1:7" x14ac:dyDescent="0.2">
      <c r="A1345" s="1" t="s">
        <v>8984</v>
      </c>
      <c r="B1345" s="1" t="s">
        <v>8985</v>
      </c>
      <c r="C1345" s="1" t="s">
        <v>8986</v>
      </c>
      <c r="D1345" s="1" t="s">
        <v>8987</v>
      </c>
      <c r="E1345" s="1" t="s">
        <v>8988</v>
      </c>
      <c r="F1345" s="1" t="s">
        <v>8989</v>
      </c>
      <c r="G1345" s="1" t="s">
        <v>8990</v>
      </c>
    </row>
    <row r="1346" spans="1:7" x14ac:dyDescent="0.2">
      <c r="A1346" s="1" t="s">
        <v>8991</v>
      </c>
      <c r="B1346" s="1" t="s">
        <v>8992</v>
      </c>
      <c r="C1346" s="1" t="s">
        <v>8993</v>
      </c>
      <c r="D1346" s="1" t="s">
        <v>8994</v>
      </c>
      <c r="E1346" s="1" t="s">
        <v>8995</v>
      </c>
      <c r="F1346" s="1" t="s">
        <v>8996</v>
      </c>
      <c r="G1346" s="1" t="s">
        <v>8997</v>
      </c>
    </row>
    <row r="1347" spans="1:7" x14ac:dyDescent="0.2">
      <c r="A1347" s="1" t="s">
        <v>8998</v>
      </c>
      <c r="B1347" s="1" t="s">
        <v>8999</v>
      </c>
      <c r="C1347" s="1" t="s">
        <v>9000</v>
      </c>
      <c r="D1347" s="1" t="s">
        <v>9001</v>
      </c>
      <c r="E1347" s="1" t="s">
        <v>9002</v>
      </c>
      <c r="F1347" s="1" t="s">
        <v>8989</v>
      </c>
      <c r="G1347" s="1" t="s">
        <v>9003</v>
      </c>
    </row>
    <row r="1348" spans="1:7" x14ac:dyDescent="0.2">
      <c r="A1348" s="1" t="s">
        <v>9004</v>
      </c>
      <c r="B1348" s="1" t="s">
        <v>9005</v>
      </c>
      <c r="C1348" s="1" t="s">
        <v>9006</v>
      </c>
      <c r="D1348" s="1" t="s">
        <v>9007</v>
      </c>
      <c r="E1348" s="1" t="s">
        <v>9008</v>
      </c>
      <c r="F1348" s="1" t="s">
        <v>9009</v>
      </c>
      <c r="G1348" s="1" t="s">
        <v>9010</v>
      </c>
    </row>
    <row r="1349" spans="1:7" x14ac:dyDescent="0.2">
      <c r="A1349" s="1" t="s">
        <v>9011</v>
      </c>
      <c r="B1349" s="1" t="s">
        <v>9012</v>
      </c>
      <c r="C1349" s="1" t="s">
        <v>8996</v>
      </c>
      <c r="D1349" s="1" t="s">
        <v>9013</v>
      </c>
      <c r="E1349" s="1" t="s">
        <v>9014</v>
      </c>
      <c r="F1349" s="1" t="s">
        <v>9015</v>
      </c>
      <c r="G1349" s="1" t="s">
        <v>9016</v>
      </c>
    </row>
    <row r="1350" spans="1:7" x14ac:dyDescent="0.2">
      <c r="A1350" s="1" t="s">
        <v>9017</v>
      </c>
      <c r="B1350" s="1" t="s">
        <v>9018</v>
      </c>
      <c r="C1350" s="1" t="s">
        <v>9019</v>
      </c>
      <c r="D1350" s="1" t="s">
        <v>9020</v>
      </c>
      <c r="E1350" s="1" t="s">
        <v>9021</v>
      </c>
      <c r="F1350" s="1" t="s">
        <v>9022</v>
      </c>
      <c r="G1350" s="1" t="s">
        <v>9023</v>
      </c>
    </row>
    <row r="1351" spans="1:7" x14ac:dyDescent="0.2">
      <c r="A1351" s="1" t="s">
        <v>9024</v>
      </c>
      <c r="B1351" s="1" t="s">
        <v>9025</v>
      </c>
      <c r="C1351" s="1" t="s">
        <v>9026</v>
      </c>
      <c r="D1351" s="1" t="s">
        <v>9027</v>
      </c>
      <c r="E1351" s="1" t="s">
        <v>9028</v>
      </c>
      <c r="F1351" s="1" t="s">
        <v>9029</v>
      </c>
      <c r="G1351" s="1" t="s">
        <v>9030</v>
      </c>
    </row>
    <row r="1352" spans="1:7" x14ac:dyDescent="0.2">
      <c r="A1352" s="1" t="s">
        <v>9031</v>
      </c>
      <c r="B1352" s="1" t="s">
        <v>9032</v>
      </c>
      <c r="C1352" s="1" t="s">
        <v>9033</v>
      </c>
      <c r="D1352" s="1" t="s">
        <v>9034</v>
      </c>
      <c r="E1352" s="1" t="s">
        <v>9035</v>
      </c>
      <c r="F1352" s="1" t="s">
        <v>9036</v>
      </c>
      <c r="G1352" s="1" t="s">
        <v>9037</v>
      </c>
    </row>
    <row r="1353" spans="1:7" x14ac:dyDescent="0.2">
      <c r="A1353" s="1" t="s">
        <v>9038</v>
      </c>
      <c r="B1353" s="1" t="s">
        <v>9039</v>
      </c>
      <c r="C1353" s="1" t="s">
        <v>9040</v>
      </c>
      <c r="D1353" s="1" t="s">
        <v>9041</v>
      </c>
      <c r="E1353" s="1" t="s">
        <v>9042</v>
      </c>
      <c r="F1353" s="1" t="s">
        <v>9043</v>
      </c>
      <c r="G1353" s="1" t="s">
        <v>9044</v>
      </c>
    </row>
    <row r="1354" spans="1:7" x14ac:dyDescent="0.2">
      <c r="A1354" s="1" t="s">
        <v>9045</v>
      </c>
      <c r="B1354" s="1" t="s">
        <v>9046</v>
      </c>
      <c r="C1354" s="1" t="s">
        <v>9047</v>
      </c>
      <c r="D1354" s="1" t="s">
        <v>9048</v>
      </c>
      <c r="E1354" s="1" t="s">
        <v>9049</v>
      </c>
      <c r="F1354" s="1" t="s">
        <v>9050</v>
      </c>
      <c r="G1354" s="1" t="s">
        <v>9051</v>
      </c>
    </row>
    <row r="1355" spans="1:7" x14ac:dyDescent="0.2">
      <c r="A1355" s="1" t="s">
        <v>9052</v>
      </c>
      <c r="B1355" s="1" t="s">
        <v>9053</v>
      </c>
      <c r="C1355" s="1" t="s">
        <v>9054</v>
      </c>
      <c r="D1355" s="1" t="s">
        <v>9055</v>
      </c>
      <c r="E1355" s="1" t="s">
        <v>9056</v>
      </c>
      <c r="F1355" s="1" t="s">
        <v>9057</v>
      </c>
      <c r="G1355" s="1" t="s">
        <v>9058</v>
      </c>
    </row>
    <row r="1356" spans="1:7" x14ac:dyDescent="0.2">
      <c r="A1356" s="1" t="s">
        <v>9059</v>
      </c>
      <c r="B1356" s="1" t="s">
        <v>9060</v>
      </c>
      <c r="C1356" s="1" t="s">
        <v>9061</v>
      </c>
      <c r="D1356" s="1" t="s">
        <v>9062</v>
      </c>
      <c r="E1356" s="1" t="s">
        <v>9063</v>
      </c>
      <c r="F1356" s="1" t="s">
        <v>9064</v>
      </c>
      <c r="G1356" s="1" t="s">
        <v>9065</v>
      </c>
    </row>
    <row r="1357" spans="1:7" x14ac:dyDescent="0.2">
      <c r="A1357" s="1" t="s">
        <v>9066</v>
      </c>
      <c r="B1357" s="1" t="s">
        <v>9067</v>
      </c>
      <c r="C1357" s="1" t="s">
        <v>9068</v>
      </c>
      <c r="D1357" s="1" t="s">
        <v>9069</v>
      </c>
      <c r="E1357" s="1" t="s">
        <v>9070</v>
      </c>
      <c r="F1357" s="1" t="s">
        <v>9071</v>
      </c>
      <c r="G1357" s="1" t="s">
        <v>9072</v>
      </c>
    </row>
    <row r="1358" spans="1:7" x14ac:dyDescent="0.2">
      <c r="A1358" s="1" t="s">
        <v>9073</v>
      </c>
      <c r="B1358" s="1" t="s">
        <v>9074</v>
      </c>
      <c r="C1358" s="1" t="s">
        <v>9075</v>
      </c>
      <c r="D1358" s="1" t="s">
        <v>9076</v>
      </c>
      <c r="E1358" s="1" t="s">
        <v>9077</v>
      </c>
      <c r="F1358" s="1" t="s">
        <v>9078</v>
      </c>
      <c r="G1358" s="1" t="s">
        <v>9079</v>
      </c>
    </row>
    <row r="1359" spans="1:7" x14ac:dyDescent="0.2">
      <c r="A1359" s="1" t="s">
        <v>9080</v>
      </c>
      <c r="B1359" s="1" t="s">
        <v>9081</v>
      </c>
      <c r="C1359" s="1" t="s">
        <v>9082</v>
      </c>
      <c r="D1359" s="1" t="s">
        <v>9083</v>
      </c>
      <c r="E1359" s="1" t="s">
        <v>9084</v>
      </c>
      <c r="F1359" s="1" t="s">
        <v>9085</v>
      </c>
      <c r="G1359" s="1" t="s">
        <v>9086</v>
      </c>
    </row>
    <row r="1360" spans="1:7" x14ac:dyDescent="0.2">
      <c r="A1360" s="1" t="s">
        <v>9087</v>
      </c>
      <c r="B1360" s="1" t="s">
        <v>9088</v>
      </c>
      <c r="C1360" s="1" t="s">
        <v>9089</v>
      </c>
      <c r="D1360" s="1" t="s">
        <v>9090</v>
      </c>
      <c r="E1360" s="1" t="s">
        <v>6523</v>
      </c>
      <c r="F1360" s="1" t="s">
        <v>9091</v>
      </c>
      <c r="G1360" s="1" t="s">
        <v>9092</v>
      </c>
    </row>
    <row r="1361" spans="1:7" x14ac:dyDescent="0.2">
      <c r="A1361" s="1" t="s">
        <v>9093</v>
      </c>
      <c r="B1361" s="1" t="s">
        <v>9094</v>
      </c>
      <c r="C1361" s="1" t="s">
        <v>9095</v>
      </c>
      <c r="D1361" s="1" t="s">
        <v>9096</v>
      </c>
      <c r="E1361" s="1" t="s">
        <v>9097</v>
      </c>
      <c r="F1361" s="1" t="s">
        <v>9098</v>
      </c>
      <c r="G1361" s="1" t="s">
        <v>9099</v>
      </c>
    </row>
    <row r="1362" spans="1:7" x14ac:dyDescent="0.2">
      <c r="A1362" s="1" t="s">
        <v>9100</v>
      </c>
      <c r="B1362" s="1" t="s">
        <v>9101</v>
      </c>
      <c r="C1362" s="1" t="s">
        <v>9102</v>
      </c>
      <c r="D1362" s="1" t="s">
        <v>9103</v>
      </c>
      <c r="E1362" s="1" t="s">
        <v>9104</v>
      </c>
      <c r="F1362" s="1" t="s">
        <v>9105</v>
      </c>
      <c r="G1362" s="1" t="s">
        <v>9106</v>
      </c>
    </row>
    <row r="1363" spans="1:7" x14ac:dyDescent="0.2">
      <c r="A1363" s="1" t="s">
        <v>9107</v>
      </c>
      <c r="B1363" s="1" t="s">
        <v>9108</v>
      </c>
      <c r="C1363" s="1" t="s">
        <v>9109</v>
      </c>
      <c r="D1363" s="1" t="s">
        <v>9110</v>
      </c>
      <c r="E1363" s="1" t="s">
        <v>9111</v>
      </c>
      <c r="F1363" s="1" t="s">
        <v>9112</v>
      </c>
      <c r="G1363" s="1" t="s">
        <v>9113</v>
      </c>
    </row>
    <row r="1364" spans="1:7" x14ac:dyDescent="0.2">
      <c r="A1364" s="1" t="s">
        <v>9114</v>
      </c>
      <c r="B1364" s="1" t="s">
        <v>9115</v>
      </c>
      <c r="C1364" s="1" t="s">
        <v>9116</v>
      </c>
      <c r="D1364" s="1" t="s">
        <v>9117</v>
      </c>
      <c r="E1364" s="1" t="s">
        <v>9118</v>
      </c>
      <c r="F1364" s="1" t="s">
        <v>9119</v>
      </c>
      <c r="G1364" s="1" t="s">
        <v>9120</v>
      </c>
    </row>
    <row r="1365" spans="1:7" x14ac:dyDescent="0.2">
      <c r="A1365" s="1" t="s">
        <v>9121</v>
      </c>
      <c r="B1365" s="1" t="s">
        <v>9122</v>
      </c>
      <c r="C1365" s="1" t="s">
        <v>9123</v>
      </c>
      <c r="D1365" s="1" t="s">
        <v>9124</v>
      </c>
      <c r="E1365" s="1" t="s">
        <v>9125</v>
      </c>
      <c r="F1365" s="1" t="s">
        <v>9126</v>
      </c>
      <c r="G1365" s="1" t="s">
        <v>9127</v>
      </c>
    </row>
    <row r="1366" spans="1:7" x14ac:dyDescent="0.2">
      <c r="A1366" s="1" t="s">
        <v>9128</v>
      </c>
      <c r="B1366" s="1" t="s">
        <v>9129</v>
      </c>
      <c r="C1366" s="1" t="s">
        <v>9130</v>
      </c>
      <c r="D1366" s="1" t="s">
        <v>9131</v>
      </c>
      <c r="E1366" s="1" t="s">
        <v>9132</v>
      </c>
      <c r="F1366" s="1" t="s">
        <v>9133</v>
      </c>
      <c r="G1366" s="1" t="s">
        <v>9134</v>
      </c>
    </row>
    <row r="1367" spans="1:7" x14ac:dyDescent="0.2">
      <c r="A1367" s="1" t="s">
        <v>9135</v>
      </c>
      <c r="B1367" s="1" t="s">
        <v>9136</v>
      </c>
      <c r="C1367" s="1" t="s">
        <v>9137</v>
      </c>
      <c r="D1367" s="1" t="s">
        <v>9138</v>
      </c>
      <c r="E1367" s="1" t="s">
        <v>9139</v>
      </c>
      <c r="F1367" s="1" t="s">
        <v>9140</v>
      </c>
      <c r="G1367" s="1" t="s">
        <v>9141</v>
      </c>
    </row>
    <row r="1368" spans="1:7" x14ac:dyDescent="0.2">
      <c r="A1368" s="1" t="s">
        <v>9142</v>
      </c>
      <c r="B1368" s="1" t="s">
        <v>9143</v>
      </c>
      <c r="C1368" s="1" t="s">
        <v>9144</v>
      </c>
      <c r="D1368" s="1" t="s">
        <v>9145</v>
      </c>
      <c r="E1368" s="1" t="s">
        <v>9146</v>
      </c>
      <c r="F1368" s="1" t="s">
        <v>9147</v>
      </c>
      <c r="G1368" s="1" t="s">
        <v>9148</v>
      </c>
    </row>
    <row r="1369" spans="1:7" x14ac:dyDescent="0.2">
      <c r="A1369" s="1" t="s">
        <v>9149</v>
      </c>
      <c r="B1369" s="1" t="s">
        <v>9150</v>
      </c>
      <c r="C1369" s="1" t="s">
        <v>9151</v>
      </c>
      <c r="D1369" s="1" t="s">
        <v>9152</v>
      </c>
      <c r="E1369" s="1" t="s">
        <v>9153</v>
      </c>
      <c r="F1369" s="1" t="s">
        <v>9154</v>
      </c>
      <c r="G1369" s="1" t="s">
        <v>9155</v>
      </c>
    </row>
    <row r="1370" spans="1:7" x14ac:dyDescent="0.2">
      <c r="A1370" s="1" t="s">
        <v>9156</v>
      </c>
      <c r="B1370" s="1" t="s">
        <v>9157</v>
      </c>
      <c r="C1370" s="1" t="s">
        <v>9158</v>
      </c>
      <c r="D1370" s="1" t="s">
        <v>9159</v>
      </c>
      <c r="E1370" s="1" t="s">
        <v>9160</v>
      </c>
      <c r="F1370" s="1" t="s">
        <v>9161</v>
      </c>
      <c r="G1370" s="1" t="s">
        <v>9162</v>
      </c>
    </row>
    <row r="1371" spans="1:7" x14ac:dyDescent="0.2">
      <c r="A1371" s="1" t="s">
        <v>9163</v>
      </c>
      <c r="B1371" s="1" t="s">
        <v>9164</v>
      </c>
      <c r="C1371" s="1" t="s">
        <v>9165</v>
      </c>
      <c r="D1371" s="1" t="s">
        <v>9166</v>
      </c>
      <c r="E1371" s="1" t="s">
        <v>9167</v>
      </c>
      <c r="F1371" s="1" t="s">
        <v>9168</v>
      </c>
      <c r="G1371" s="1" t="s">
        <v>9169</v>
      </c>
    </row>
    <row r="1372" spans="1:7" x14ac:dyDescent="0.2">
      <c r="A1372" s="1" t="s">
        <v>9170</v>
      </c>
      <c r="B1372" s="1" t="s">
        <v>9171</v>
      </c>
      <c r="C1372" s="1" t="s">
        <v>9172</v>
      </c>
      <c r="D1372" s="1" t="s">
        <v>9173</v>
      </c>
      <c r="E1372" s="1" t="s">
        <v>9174</v>
      </c>
      <c r="F1372" s="1" t="s">
        <v>9175</v>
      </c>
      <c r="G1372" s="1" t="s">
        <v>9176</v>
      </c>
    </row>
    <row r="1373" spans="1:7" x14ac:dyDescent="0.2">
      <c r="A1373" s="1" t="s">
        <v>9177</v>
      </c>
      <c r="B1373" s="1" t="s">
        <v>9178</v>
      </c>
      <c r="C1373" s="1" t="s">
        <v>9179</v>
      </c>
      <c r="D1373" s="1" t="s">
        <v>9180</v>
      </c>
      <c r="E1373" s="1" t="s">
        <v>9181</v>
      </c>
      <c r="F1373" s="1" t="s">
        <v>9182</v>
      </c>
      <c r="G1373" s="1" t="s">
        <v>9183</v>
      </c>
    </row>
    <row r="1374" spans="1:7" x14ac:dyDescent="0.2">
      <c r="A1374" s="1" t="s">
        <v>9184</v>
      </c>
      <c r="B1374" s="1" t="s">
        <v>9185</v>
      </c>
      <c r="C1374" s="1" t="s">
        <v>9186</v>
      </c>
      <c r="D1374" s="1" t="s">
        <v>9187</v>
      </c>
      <c r="E1374" s="1" t="s">
        <v>9188</v>
      </c>
      <c r="F1374" s="1" t="s">
        <v>9189</v>
      </c>
      <c r="G1374" s="1" t="s">
        <v>9190</v>
      </c>
    </row>
    <row r="1375" spans="1:7" x14ac:dyDescent="0.2">
      <c r="A1375" s="1" t="s">
        <v>9191</v>
      </c>
      <c r="B1375" s="1" t="s">
        <v>9192</v>
      </c>
      <c r="C1375" s="1" t="s">
        <v>9193</v>
      </c>
      <c r="D1375" s="1" t="s">
        <v>9194</v>
      </c>
      <c r="E1375" s="1" t="s">
        <v>9195</v>
      </c>
      <c r="F1375" s="1" t="s">
        <v>9196</v>
      </c>
      <c r="G1375" s="1" t="s">
        <v>9197</v>
      </c>
    </row>
    <row r="1376" spans="1:7" x14ac:dyDescent="0.2">
      <c r="A1376" s="1" t="s">
        <v>9198</v>
      </c>
      <c r="B1376" s="1" t="s">
        <v>9199</v>
      </c>
      <c r="C1376" s="1" t="s">
        <v>9200</v>
      </c>
      <c r="D1376" s="1" t="s">
        <v>9201</v>
      </c>
      <c r="E1376" s="1" t="s">
        <v>9202</v>
      </c>
      <c r="F1376" s="1" t="s">
        <v>9203</v>
      </c>
      <c r="G1376" s="1" t="s">
        <v>9204</v>
      </c>
    </row>
    <row r="1377" spans="1:7" x14ac:dyDescent="0.2">
      <c r="A1377" s="1" t="s">
        <v>9205</v>
      </c>
      <c r="B1377" s="1" t="s">
        <v>9206</v>
      </c>
      <c r="C1377" s="1" t="s">
        <v>9207</v>
      </c>
      <c r="D1377" s="1" t="s">
        <v>9208</v>
      </c>
      <c r="E1377" s="1" t="s">
        <v>9209</v>
      </c>
      <c r="F1377" s="1" t="s">
        <v>9210</v>
      </c>
      <c r="G1377" s="1" t="s">
        <v>9211</v>
      </c>
    </row>
    <row r="1378" spans="1:7" x14ac:dyDescent="0.2">
      <c r="A1378" s="1" t="s">
        <v>9212</v>
      </c>
      <c r="B1378" s="1" t="s">
        <v>9213</v>
      </c>
      <c r="C1378" s="1" t="s">
        <v>9214</v>
      </c>
      <c r="D1378" s="1" t="s">
        <v>9215</v>
      </c>
      <c r="E1378" s="1" t="s">
        <v>9216</v>
      </c>
      <c r="F1378" s="1" t="s">
        <v>9217</v>
      </c>
      <c r="G1378" s="1" t="s">
        <v>9218</v>
      </c>
    </row>
    <row r="1379" spans="1:7" x14ac:dyDescent="0.2">
      <c r="A1379" s="1" t="s">
        <v>9219</v>
      </c>
      <c r="B1379" s="1" t="s">
        <v>9220</v>
      </c>
      <c r="C1379" s="1" t="s">
        <v>9221</v>
      </c>
      <c r="D1379" s="1" t="s">
        <v>9222</v>
      </c>
      <c r="E1379" s="1" t="s">
        <v>9223</v>
      </c>
      <c r="F1379" s="1" t="s">
        <v>9224</v>
      </c>
      <c r="G1379" s="1" t="s">
        <v>9225</v>
      </c>
    </row>
    <row r="1380" spans="1:7" x14ac:dyDescent="0.2">
      <c r="A1380" s="1" t="s">
        <v>9226</v>
      </c>
      <c r="B1380" s="1" t="s">
        <v>9227</v>
      </c>
      <c r="C1380" s="1" t="s">
        <v>9228</v>
      </c>
      <c r="D1380" s="1" t="s">
        <v>9229</v>
      </c>
      <c r="E1380" s="1" t="s">
        <v>9230</v>
      </c>
      <c r="F1380" s="1" t="s">
        <v>9231</v>
      </c>
      <c r="G1380" s="1" t="s">
        <v>9232</v>
      </c>
    </row>
    <row r="1381" spans="1:7" x14ac:dyDescent="0.2">
      <c r="A1381" s="1" t="s">
        <v>9233</v>
      </c>
      <c r="B1381" s="1" t="s">
        <v>9234</v>
      </c>
      <c r="C1381" s="1" t="s">
        <v>9235</v>
      </c>
      <c r="D1381" s="1" t="s">
        <v>9236</v>
      </c>
      <c r="E1381" s="1" t="s">
        <v>9237</v>
      </c>
      <c r="F1381" s="1" t="s">
        <v>9238</v>
      </c>
      <c r="G1381" s="1" t="s">
        <v>9239</v>
      </c>
    </row>
    <row r="1382" spans="1:7" x14ac:dyDescent="0.2">
      <c r="A1382" s="1" t="s">
        <v>9240</v>
      </c>
      <c r="B1382" s="1" t="s">
        <v>9241</v>
      </c>
      <c r="C1382" s="1" t="s">
        <v>9242</v>
      </c>
      <c r="D1382" s="1" t="s">
        <v>9243</v>
      </c>
      <c r="E1382" s="1" t="s">
        <v>9244</v>
      </c>
      <c r="F1382" s="1" t="s">
        <v>9245</v>
      </c>
      <c r="G1382" s="1" t="s">
        <v>9246</v>
      </c>
    </row>
    <row r="1383" spans="1:7" x14ac:dyDescent="0.2">
      <c r="A1383" s="1" t="s">
        <v>9247</v>
      </c>
      <c r="B1383" s="1" t="s">
        <v>9248</v>
      </c>
      <c r="C1383" s="1" t="s">
        <v>9249</v>
      </c>
      <c r="D1383" s="1" t="s">
        <v>9250</v>
      </c>
      <c r="E1383" s="1" t="s">
        <v>9251</v>
      </c>
      <c r="F1383" s="1" t="s">
        <v>9252</v>
      </c>
      <c r="G1383" s="1" t="s">
        <v>9253</v>
      </c>
    </row>
    <row r="1384" spans="1:7" x14ac:dyDescent="0.2">
      <c r="A1384" s="1" t="s">
        <v>9254</v>
      </c>
      <c r="B1384" s="1" t="s">
        <v>9255</v>
      </c>
      <c r="C1384" s="1" t="s">
        <v>9256</v>
      </c>
      <c r="D1384" s="1" t="s">
        <v>9257</v>
      </c>
      <c r="E1384" s="1" t="s">
        <v>9258</v>
      </c>
      <c r="F1384" s="1" t="s">
        <v>9259</v>
      </c>
      <c r="G1384" s="1" t="s">
        <v>9260</v>
      </c>
    </row>
    <row r="1385" spans="1:7" x14ac:dyDescent="0.2">
      <c r="A1385" s="1" t="s">
        <v>9261</v>
      </c>
      <c r="B1385" s="1" t="s">
        <v>9262</v>
      </c>
      <c r="C1385" s="1" t="s">
        <v>9263</v>
      </c>
      <c r="D1385" s="1" t="s">
        <v>9264</v>
      </c>
      <c r="E1385" s="1" t="s">
        <v>9265</v>
      </c>
      <c r="F1385" s="1" t="s">
        <v>9266</v>
      </c>
      <c r="G1385" s="1" t="s">
        <v>9267</v>
      </c>
    </row>
    <row r="1386" spans="1:7" x14ac:dyDescent="0.2">
      <c r="A1386" s="1" t="s">
        <v>9268</v>
      </c>
      <c r="B1386" s="1" t="s">
        <v>9269</v>
      </c>
      <c r="C1386" s="1" t="s">
        <v>9270</v>
      </c>
      <c r="D1386" s="1" t="s">
        <v>9271</v>
      </c>
      <c r="E1386" s="1" t="s">
        <v>9272</v>
      </c>
      <c r="F1386" s="1" t="s">
        <v>9273</v>
      </c>
      <c r="G1386" s="1" t="s">
        <v>9274</v>
      </c>
    </row>
    <row r="1387" spans="1:7" x14ac:dyDescent="0.2">
      <c r="A1387" s="1" t="s">
        <v>9275</v>
      </c>
      <c r="B1387" s="1" t="s">
        <v>9276</v>
      </c>
      <c r="C1387" s="1" t="s">
        <v>9277</v>
      </c>
      <c r="D1387" s="1" t="s">
        <v>9278</v>
      </c>
      <c r="E1387" s="1" t="s">
        <v>9279</v>
      </c>
      <c r="F1387" s="1" t="s">
        <v>9280</v>
      </c>
      <c r="G1387" s="1" t="s">
        <v>9281</v>
      </c>
    </row>
    <row r="1388" spans="1:7" x14ac:dyDescent="0.2">
      <c r="A1388" s="1" t="s">
        <v>9282</v>
      </c>
      <c r="B1388" s="1" t="s">
        <v>9283</v>
      </c>
      <c r="C1388" s="1" t="s">
        <v>9284</v>
      </c>
      <c r="D1388" s="1" t="s">
        <v>9285</v>
      </c>
      <c r="E1388" s="1" t="s">
        <v>9286</v>
      </c>
      <c r="F1388" s="1" t="s">
        <v>9287</v>
      </c>
      <c r="G1388" s="1" t="s">
        <v>9288</v>
      </c>
    </row>
    <row r="1389" spans="1:7" x14ac:dyDescent="0.2">
      <c r="A1389" s="1" t="s">
        <v>9289</v>
      </c>
      <c r="B1389" s="1" t="s">
        <v>9290</v>
      </c>
      <c r="C1389" s="1" t="s">
        <v>9291</v>
      </c>
      <c r="D1389" s="1" t="s">
        <v>9292</v>
      </c>
      <c r="E1389" s="1" t="s">
        <v>9293</v>
      </c>
      <c r="F1389" s="1" t="s">
        <v>9294</v>
      </c>
      <c r="G1389" s="1" t="s">
        <v>9295</v>
      </c>
    </row>
    <row r="1390" spans="1:7" x14ac:dyDescent="0.2">
      <c r="A1390" s="1" t="s">
        <v>9296</v>
      </c>
      <c r="B1390" s="1" t="s">
        <v>9297</v>
      </c>
      <c r="C1390" s="1" t="s">
        <v>9298</v>
      </c>
      <c r="D1390" s="1" t="s">
        <v>9299</v>
      </c>
      <c r="E1390" s="1" t="s">
        <v>9300</v>
      </c>
      <c r="F1390" s="1" t="s">
        <v>9301</v>
      </c>
      <c r="G1390" s="1" t="s">
        <v>9302</v>
      </c>
    </row>
    <row r="1391" spans="1:7" x14ac:dyDescent="0.2">
      <c r="A1391" s="1" t="s">
        <v>9303</v>
      </c>
      <c r="B1391" s="1" t="s">
        <v>9304</v>
      </c>
      <c r="C1391" s="1" t="s">
        <v>9305</v>
      </c>
      <c r="D1391" s="1" t="s">
        <v>9306</v>
      </c>
      <c r="E1391" s="1" t="s">
        <v>9307</v>
      </c>
      <c r="F1391" s="1" t="s">
        <v>9308</v>
      </c>
      <c r="G1391" s="1" t="s">
        <v>9309</v>
      </c>
    </row>
    <row r="1392" spans="1:7" x14ac:dyDescent="0.2">
      <c r="A1392" s="1" t="s">
        <v>9310</v>
      </c>
      <c r="B1392" s="1" t="s">
        <v>9311</v>
      </c>
      <c r="C1392" s="1" t="s">
        <v>9307</v>
      </c>
      <c r="D1392" s="1" t="s">
        <v>9312</v>
      </c>
      <c r="E1392" s="1" t="s">
        <v>9313</v>
      </c>
      <c r="F1392" s="1" t="s">
        <v>9314</v>
      </c>
      <c r="G1392" s="1" t="s">
        <v>9315</v>
      </c>
    </row>
    <row r="1393" spans="1:7" x14ac:dyDescent="0.2">
      <c r="A1393" s="1" t="s">
        <v>9316</v>
      </c>
      <c r="B1393" s="1" t="s">
        <v>9317</v>
      </c>
      <c r="C1393" s="1" t="s">
        <v>9318</v>
      </c>
      <c r="D1393" s="1" t="s">
        <v>9319</v>
      </c>
      <c r="E1393" s="1" t="s">
        <v>9320</v>
      </c>
      <c r="F1393" s="1" t="s">
        <v>9321</v>
      </c>
      <c r="G1393" s="1" t="s">
        <v>9322</v>
      </c>
    </row>
    <row r="1394" spans="1:7" x14ac:dyDescent="0.2">
      <c r="A1394" s="1" t="s">
        <v>9323</v>
      </c>
      <c r="B1394" s="1" t="s">
        <v>9324</v>
      </c>
      <c r="C1394" s="1" t="s">
        <v>9325</v>
      </c>
      <c r="D1394" s="1" t="s">
        <v>9326</v>
      </c>
      <c r="E1394" s="1" t="s">
        <v>9327</v>
      </c>
      <c r="F1394" s="1" t="s">
        <v>9328</v>
      </c>
      <c r="G1394" s="1" t="s">
        <v>9329</v>
      </c>
    </row>
    <row r="1395" spans="1:7" x14ac:dyDescent="0.2">
      <c r="A1395" s="1" t="s">
        <v>9330</v>
      </c>
      <c r="B1395" s="1" t="s">
        <v>9331</v>
      </c>
      <c r="C1395" s="1" t="s">
        <v>9332</v>
      </c>
      <c r="D1395" s="1" t="s">
        <v>9333</v>
      </c>
      <c r="E1395" s="1" t="s">
        <v>9334</v>
      </c>
      <c r="F1395" s="1" t="s">
        <v>9335</v>
      </c>
      <c r="G1395" s="1" t="s">
        <v>9336</v>
      </c>
    </row>
    <row r="1396" spans="1:7" x14ac:dyDescent="0.2">
      <c r="A1396" s="1" t="s">
        <v>9337</v>
      </c>
      <c r="B1396" s="1" t="s">
        <v>9338</v>
      </c>
      <c r="C1396" s="1" t="s">
        <v>9339</v>
      </c>
      <c r="D1396" s="1" t="s">
        <v>9340</v>
      </c>
      <c r="E1396" s="1" t="s">
        <v>9341</v>
      </c>
      <c r="F1396" s="1" t="s">
        <v>9342</v>
      </c>
      <c r="G1396" s="1" t="s">
        <v>9343</v>
      </c>
    </row>
    <row r="1397" spans="1:7" x14ac:dyDescent="0.2">
      <c r="A1397" s="1" t="s">
        <v>9344</v>
      </c>
      <c r="B1397" s="1" t="s">
        <v>9345</v>
      </c>
      <c r="C1397" s="1" t="s">
        <v>9346</v>
      </c>
      <c r="D1397" s="1" t="s">
        <v>9347</v>
      </c>
      <c r="E1397" s="1" t="s">
        <v>9348</v>
      </c>
      <c r="F1397" s="1" t="s">
        <v>9349</v>
      </c>
      <c r="G1397" s="1" t="s">
        <v>9350</v>
      </c>
    </row>
    <row r="1398" spans="1:7" x14ac:dyDescent="0.2">
      <c r="A1398" s="1" t="s">
        <v>9351</v>
      </c>
      <c r="B1398" s="1" t="s">
        <v>9352</v>
      </c>
      <c r="C1398" s="1" t="s">
        <v>9353</v>
      </c>
      <c r="D1398" s="1" t="s">
        <v>9354</v>
      </c>
      <c r="E1398" s="1" t="s">
        <v>9355</v>
      </c>
      <c r="F1398" s="1" t="s">
        <v>9356</v>
      </c>
      <c r="G1398" s="1" t="s">
        <v>9357</v>
      </c>
    </row>
    <row r="1399" spans="1:7" x14ac:dyDescent="0.2">
      <c r="A1399" s="1" t="s">
        <v>9358</v>
      </c>
      <c r="B1399" s="1" t="s">
        <v>9359</v>
      </c>
      <c r="C1399" s="1" t="s">
        <v>9360</v>
      </c>
      <c r="D1399" s="1" t="s">
        <v>9361</v>
      </c>
      <c r="E1399" s="1" t="s">
        <v>9362</v>
      </c>
      <c r="F1399" s="1" t="s">
        <v>9363</v>
      </c>
      <c r="G1399" s="1" t="s">
        <v>9364</v>
      </c>
    </row>
    <row r="1400" spans="1:7" x14ac:dyDescent="0.2">
      <c r="A1400" s="1" t="s">
        <v>9365</v>
      </c>
      <c r="B1400" s="1" t="s">
        <v>9366</v>
      </c>
      <c r="C1400" s="1" t="s">
        <v>9367</v>
      </c>
      <c r="D1400" s="1" t="s">
        <v>9368</v>
      </c>
      <c r="E1400" s="1" t="s">
        <v>9369</v>
      </c>
      <c r="F1400" s="1" t="s">
        <v>9370</v>
      </c>
      <c r="G1400" s="1" t="s">
        <v>9371</v>
      </c>
    </row>
    <row r="1401" spans="1:7" x14ac:dyDescent="0.2">
      <c r="A1401" s="1" t="s">
        <v>9372</v>
      </c>
      <c r="B1401" s="1" t="s">
        <v>9373</v>
      </c>
      <c r="C1401" s="1" t="s">
        <v>9374</v>
      </c>
      <c r="D1401" s="1" t="s">
        <v>9375</v>
      </c>
      <c r="E1401" s="1" t="s">
        <v>9376</v>
      </c>
      <c r="F1401" s="1" t="s">
        <v>9377</v>
      </c>
      <c r="G1401" s="1" t="s">
        <v>9378</v>
      </c>
    </row>
    <row r="1402" spans="1:7" x14ac:dyDescent="0.2">
      <c r="A1402" s="1" t="s">
        <v>9379</v>
      </c>
      <c r="B1402" s="1" t="s">
        <v>9380</v>
      </c>
      <c r="C1402" s="1" t="s">
        <v>9381</v>
      </c>
      <c r="D1402" s="1" t="s">
        <v>9382</v>
      </c>
      <c r="E1402" s="1" t="s">
        <v>9383</v>
      </c>
      <c r="F1402" s="1" t="s">
        <v>9384</v>
      </c>
      <c r="G1402" s="1" t="s">
        <v>9385</v>
      </c>
    </row>
    <row r="1403" spans="1:7" x14ac:dyDescent="0.2">
      <c r="A1403" s="1" t="s">
        <v>9386</v>
      </c>
      <c r="B1403" s="1" t="s">
        <v>9387</v>
      </c>
      <c r="C1403" s="1" t="s">
        <v>9388</v>
      </c>
      <c r="D1403" s="1" t="s">
        <v>9389</v>
      </c>
      <c r="E1403" s="1" t="s">
        <v>9390</v>
      </c>
      <c r="F1403" s="1" t="s">
        <v>9391</v>
      </c>
      <c r="G1403" s="1" t="s">
        <v>9392</v>
      </c>
    </row>
    <row r="1404" spans="1:7" x14ac:dyDescent="0.2">
      <c r="A1404" s="1" t="s">
        <v>9393</v>
      </c>
      <c r="B1404" s="1" t="s">
        <v>9394</v>
      </c>
      <c r="C1404" s="1" t="s">
        <v>9395</v>
      </c>
      <c r="D1404" s="1" t="s">
        <v>9396</v>
      </c>
      <c r="E1404" s="1" t="s">
        <v>9397</v>
      </c>
      <c r="F1404" s="1" t="s">
        <v>9398</v>
      </c>
      <c r="G1404" s="1" t="s">
        <v>9399</v>
      </c>
    </row>
    <row r="1405" spans="1:7" x14ac:dyDescent="0.2">
      <c r="A1405" s="1" t="s">
        <v>9400</v>
      </c>
      <c r="B1405" s="1" t="s">
        <v>9401</v>
      </c>
      <c r="C1405" s="1" t="s">
        <v>9402</v>
      </c>
      <c r="D1405" s="1" t="s">
        <v>9403</v>
      </c>
      <c r="E1405" s="1" t="s">
        <v>9404</v>
      </c>
      <c r="F1405" s="1" t="s">
        <v>9405</v>
      </c>
      <c r="G1405" s="1" t="s">
        <v>9406</v>
      </c>
    </row>
    <row r="1406" spans="1:7" x14ac:dyDescent="0.2">
      <c r="A1406" s="1" t="s">
        <v>9407</v>
      </c>
      <c r="B1406" s="1" t="s">
        <v>9408</v>
      </c>
      <c r="C1406" s="1" t="s">
        <v>9409</v>
      </c>
      <c r="D1406" s="1" t="s">
        <v>9410</v>
      </c>
      <c r="E1406" s="1" t="s">
        <v>9411</v>
      </c>
      <c r="F1406" s="1" t="s">
        <v>9412</v>
      </c>
      <c r="G1406" s="1" t="s">
        <v>9413</v>
      </c>
    </row>
    <row r="1407" spans="1:7" x14ac:dyDescent="0.2">
      <c r="A1407" s="1" t="s">
        <v>9414</v>
      </c>
      <c r="B1407" s="1" t="s">
        <v>9415</v>
      </c>
      <c r="C1407" s="1" t="s">
        <v>9416</v>
      </c>
      <c r="D1407" s="1" t="s">
        <v>9417</v>
      </c>
      <c r="E1407" s="1" t="s">
        <v>9418</v>
      </c>
      <c r="F1407" s="1" t="s">
        <v>9419</v>
      </c>
      <c r="G1407" s="1" t="s">
        <v>9420</v>
      </c>
    </row>
    <row r="1408" spans="1:7" x14ac:dyDescent="0.2">
      <c r="A1408" s="1" t="s">
        <v>9421</v>
      </c>
      <c r="B1408" s="1" t="s">
        <v>9422</v>
      </c>
      <c r="C1408" s="1" t="s">
        <v>9370</v>
      </c>
      <c r="D1408" s="1" t="s">
        <v>9423</v>
      </c>
      <c r="E1408" s="1" t="s">
        <v>9424</v>
      </c>
      <c r="F1408" s="1" t="s">
        <v>9425</v>
      </c>
      <c r="G1408" s="1" t="s">
        <v>9426</v>
      </c>
    </row>
    <row r="1409" spans="1:7" x14ac:dyDescent="0.2">
      <c r="A1409" s="1" t="s">
        <v>9427</v>
      </c>
      <c r="B1409" s="1" t="s">
        <v>9428</v>
      </c>
      <c r="C1409" s="1" t="s">
        <v>9429</v>
      </c>
      <c r="D1409" s="1" t="s">
        <v>9430</v>
      </c>
      <c r="E1409" s="1" t="s">
        <v>9431</v>
      </c>
      <c r="F1409" s="1" t="s">
        <v>9432</v>
      </c>
      <c r="G1409" s="1" t="s">
        <v>9433</v>
      </c>
    </row>
    <row r="1410" spans="1:7" x14ac:dyDescent="0.2">
      <c r="A1410" s="1" t="s">
        <v>9434</v>
      </c>
      <c r="B1410" s="1" t="s">
        <v>9435</v>
      </c>
      <c r="C1410" s="1" t="s">
        <v>9436</v>
      </c>
      <c r="D1410" s="1" t="s">
        <v>9437</v>
      </c>
      <c r="E1410" s="1" t="s">
        <v>9438</v>
      </c>
      <c r="F1410" s="1" t="s">
        <v>9438</v>
      </c>
      <c r="G1410" s="1" t="s">
        <v>9439</v>
      </c>
    </row>
    <row r="1411" spans="1:7" x14ac:dyDescent="0.2">
      <c r="A1411" s="1" t="s">
        <v>9440</v>
      </c>
      <c r="B1411" s="1" t="s">
        <v>9441</v>
      </c>
      <c r="C1411" s="1" t="s">
        <v>9442</v>
      </c>
      <c r="D1411" s="1" t="s">
        <v>9443</v>
      </c>
      <c r="E1411" s="1" t="s">
        <v>9444</v>
      </c>
      <c r="F1411" s="1" t="s">
        <v>9445</v>
      </c>
      <c r="G1411" s="1" t="s">
        <v>9446</v>
      </c>
    </row>
    <row r="1412" spans="1:7" x14ac:dyDescent="0.2">
      <c r="A1412" s="1" t="s">
        <v>9447</v>
      </c>
      <c r="B1412" s="1" t="s">
        <v>9448</v>
      </c>
      <c r="C1412" s="1" t="s">
        <v>9449</v>
      </c>
      <c r="D1412" s="1" t="s">
        <v>9450</v>
      </c>
      <c r="E1412" s="1" t="s">
        <v>9451</v>
      </c>
      <c r="F1412" s="1" t="s">
        <v>9452</v>
      </c>
      <c r="G1412" s="1" t="s">
        <v>9453</v>
      </c>
    </row>
    <row r="1413" spans="1:7" x14ac:dyDescent="0.2">
      <c r="A1413" s="1" t="s">
        <v>9454</v>
      </c>
      <c r="B1413" s="1" t="s">
        <v>9455</v>
      </c>
      <c r="C1413" s="1" t="s">
        <v>9456</v>
      </c>
      <c r="D1413" s="1" t="s">
        <v>9457</v>
      </c>
      <c r="E1413" s="1" t="s">
        <v>9458</v>
      </c>
      <c r="F1413" s="1" t="s">
        <v>9459</v>
      </c>
      <c r="G1413" s="1" t="s">
        <v>9460</v>
      </c>
    </row>
    <row r="1414" spans="1:7" x14ac:dyDescent="0.2">
      <c r="A1414" s="1" t="s">
        <v>9461</v>
      </c>
      <c r="B1414" s="1" t="s">
        <v>9462</v>
      </c>
      <c r="C1414" s="1" t="s">
        <v>9463</v>
      </c>
      <c r="D1414" s="1" t="s">
        <v>9464</v>
      </c>
      <c r="E1414" s="1" t="s">
        <v>9465</v>
      </c>
      <c r="F1414" s="1" t="s">
        <v>9466</v>
      </c>
      <c r="G1414" s="1" t="s">
        <v>9467</v>
      </c>
    </row>
    <row r="1415" spans="1:7" x14ac:dyDescent="0.2">
      <c r="A1415" s="1" t="s">
        <v>9468</v>
      </c>
      <c r="B1415" s="1" t="s">
        <v>9469</v>
      </c>
      <c r="C1415" s="1" t="s">
        <v>9470</v>
      </c>
      <c r="D1415" s="1" t="s">
        <v>9471</v>
      </c>
      <c r="E1415" s="1" t="s">
        <v>9472</v>
      </c>
      <c r="F1415" s="1" t="s">
        <v>9473</v>
      </c>
      <c r="G1415" s="1" t="s">
        <v>9474</v>
      </c>
    </row>
    <row r="1416" spans="1:7" x14ac:dyDescent="0.2">
      <c r="A1416" s="1" t="s">
        <v>9475</v>
      </c>
      <c r="B1416" s="1" t="s">
        <v>9476</v>
      </c>
      <c r="C1416" s="1" t="s">
        <v>9477</v>
      </c>
      <c r="D1416" s="1" t="s">
        <v>9478</v>
      </c>
      <c r="E1416" s="1" t="s">
        <v>9479</v>
      </c>
      <c r="F1416" s="1" t="s">
        <v>9480</v>
      </c>
      <c r="G1416" s="1" t="s">
        <v>9481</v>
      </c>
    </row>
    <row r="1417" spans="1:7" x14ac:dyDescent="0.2">
      <c r="A1417" s="1" t="s">
        <v>9482</v>
      </c>
      <c r="B1417" s="1" t="s">
        <v>9483</v>
      </c>
      <c r="C1417" s="1" t="s">
        <v>9484</v>
      </c>
      <c r="D1417" s="1" t="s">
        <v>9438</v>
      </c>
      <c r="E1417" s="1" t="s">
        <v>9485</v>
      </c>
      <c r="F1417" s="1" t="s">
        <v>9486</v>
      </c>
      <c r="G1417" s="1" t="s">
        <v>9487</v>
      </c>
    </row>
    <row r="1418" spans="1:7" x14ac:dyDescent="0.2">
      <c r="A1418" s="1" t="s">
        <v>9488</v>
      </c>
      <c r="B1418" s="1" t="s">
        <v>9489</v>
      </c>
      <c r="C1418" s="1" t="s">
        <v>9490</v>
      </c>
      <c r="D1418" s="1" t="s">
        <v>9491</v>
      </c>
      <c r="E1418" s="1" t="s">
        <v>9492</v>
      </c>
      <c r="F1418" s="1" t="s">
        <v>9493</v>
      </c>
      <c r="G1418" s="1" t="s">
        <v>9494</v>
      </c>
    </row>
    <row r="1419" spans="1:7" x14ac:dyDescent="0.2">
      <c r="A1419" s="1" t="s">
        <v>9495</v>
      </c>
      <c r="B1419" s="1" t="s">
        <v>9496</v>
      </c>
      <c r="C1419" s="1" t="s">
        <v>9497</v>
      </c>
      <c r="D1419" s="1" t="s">
        <v>9498</v>
      </c>
      <c r="E1419" s="1" t="s">
        <v>9499</v>
      </c>
      <c r="F1419" s="1" t="s">
        <v>9500</v>
      </c>
      <c r="G1419" s="1" t="s">
        <v>9501</v>
      </c>
    </row>
    <row r="1420" spans="1:7" x14ac:dyDescent="0.2">
      <c r="A1420" s="1" t="s">
        <v>9502</v>
      </c>
      <c r="B1420" s="1" t="s">
        <v>9503</v>
      </c>
      <c r="C1420" s="1" t="s">
        <v>9504</v>
      </c>
      <c r="D1420" s="1" t="s">
        <v>9505</v>
      </c>
      <c r="E1420" s="1" t="s">
        <v>9506</v>
      </c>
      <c r="F1420" s="1" t="s">
        <v>9507</v>
      </c>
      <c r="G1420" s="1" t="s">
        <v>9508</v>
      </c>
    </row>
    <row r="1421" spans="1:7" x14ac:dyDescent="0.2">
      <c r="A1421" s="1" t="s">
        <v>9509</v>
      </c>
      <c r="B1421" s="1" t="s">
        <v>9510</v>
      </c>
      <c r="C1421" s="1" t="s">
        <v>9511</v>
      </c>
      <c r="D1421" s="1" t="s">
        <v>9512</v>
      </c>
      <c r="E1421" s="1" t="s">
        <v>9513</v>
      </c>
      <c r="F1421" s="1" t="s">
        <v>9514</v>
      </c>
      <c r="G1421" s="1" t="s">
        <v>9515</v>
      </c>
    </row>
    <row r="1422" spans="1:7" x14ac:dyDescent="0.2">
      <c r="A1422" s="1" t="s">
        <v>9516</v>
      </c>
      <c r="B1422" s="1" t="s">
        <v>9517</v>
      </c>
      <c r="C1422" s="1" t="s">
        <v>9518</v>
      </c>
      <c r="D1422" s="1" t="s">
        <v>9519</v>
      </c>
      <c r="E1422" s="1" t="s">
        <v>9520</v>
      </c>
      <c r="F1422" s="1" t="s">
        <v>9521</v>
      </c>
      <c r="G1422" s="1" t="s">
        <v>9522</v>
      </c>
    </row>
    <row r="1423" spans="1:7" x14ac:dyDescent="0.2">
      <c r="A1423" s="1" t="s">
        <v>9523</v>
      </c>
      <c r="B1423" s="1" t="s">
        <v>9524</v>
      </c>
      <c r="C1423" s="1" t="s">
        <v>9525</v>
      </c>
      <c r="D1423" s="1" t="s">
        <v>9526</v>
      </c>
      <c r="E1423" s="1" t="s">
        <v>9527</v>
      </c>
      <c r="F1423" s="1" t="s">
        <v>9528</v>
      </c>
      <c r="G1423" s="1" t="s">
        <v>9529</v>
      </c>
    </row>
    <row r="1424" spans="1:7" x14ac:dyDescent="0.2">
      <c r="A1424" s="1" t="s">
        <v>9530</v>
      </c>
      <c r="B1424" s="1" t="s">
        <v>9531</v>
      </c>
      <c r="C1424" s="1" t="s">
        <v>9532</v>
      </c>
      <c r="D1424" s="1" t="s">
        <v>9533</v>
      </c>
      <c r="E1424" s="1" t="s">
        <v>9534</v>
      </c>
      <c r="F1424" s="1" t="s">
        <v>9375</v>
      </c>
      <c r="G1424" s="1" t="s">
        <v>9535</v>
      </c>
    </row>
    <row r="1425" spans="1:7" x14ac:dyDescent="0.2">
      <c r="A1425" s="1" t="s">
        <v>9536</v>
      </c>
      <c r="B1425" s="1" t="s">
        <v>9537</v>
      </c>
      <c r="C1425" s="1" t="s">
        <v>9538</v>
      </c>
      <c r="D1425" s="1" t="s">
        <v>9539</v>
      </c>
      <c r="E1425" s="1" t="s">
        <v>9540</v>
      </c>
      <c r="F1425" s="1" t="s">
        <v>9541</v>
      </c>
      <c r="G1425" s="1" t="s">
        <v>9542</v>
      </c>
    </row>
    <row r="1426" spans="1:7" x14ac:dyDescent="0.2">
      <c r="A1426" s="1" t="s">
        <v>9543</v>
      </c>
      <c r="B1426" s="1" t="s">
        <v>9544</v>
      </c>
      <c r="C1426" s="1" t="s">
        <v>9545</v>
      </c>
      <c r="D1426" s="1" t="s">
        <v>9546</v>
      </c>
      <c r="E1426" s="1" t="s">
        <v>9547</v>
      </c>
      <c r="F1426" s="1" t="s">
        <v>9548</v>
      </c>
      <c r="G1426" s="1" t="s">
        <v>9549</v>
      </c>
    </row>
    <row r="1427" spans="1:7" x14ac:dyDescent="0.2">
      <c r="A1427" s="1" t="s">
        <v>9550</v>
      </c>
      <c r="B1427" s="1" t="s">
        <v>9551</v>
      </c>
      <c r="C1427" s="1" t="s">
        <v>9552</v>
      </c>
      <c r="D1427" s="1" t="s">
        <v>9553</v>
      </c>
      <c r="E1427" s="1" t="s">
        <v>9554</v>
      </c>
      <c r="F1427" s="1" t="s">
        <v>9555</v>
      </c>
      <c r="G1427" s="1" t="s">
        <v>9556</v>
      </c>
    </row>
    <row r="1428" spans="1:7" x14ac:dyDescent="0.2">
      <c r="A1428" s="1" t="s">
        <v>9557</v>
      </c>
      <c r="B1428" s="1" t="s">
        <v>9558</v>
      </c>
      <c r="C1428" s="1" t="s">
        <v>9559</v>
      </c>
      <c r="D1428" s="1" t="s">
        <v>9560</v>
      </c>
      <c r="E1428" s="1" t="s">
        <v>9561</v>
      </c>
      <c r="F1428" s="1" t="s">
        <v>9562</v>
      </c>
      <c r="G1428" s="1" t="s">
        <v>9563</v>
      </c>
    </row>
    <row r="1429" spans="1:7" x14ac:dyDescent="0.2">
      <c r="A1429" s="1" t="s">
        <v>9564</v>
      </c>
      <c r="B1429" s="1" t="s">
        <v>9565</v>
      </c>
      <c r="C1429" s="1" t="s">
        <v>9566</v>
      </c>
      <c r="D1429" s="1" t="s">
        <v>9567</v>
      </c>
      <c r="E1429" s="1" t="s">
        <v>9568</v>
      </c>
      <c r="F1429" s="1" t="s">
        <v>9569</v>
      </c>
      <c r="G1429" s="1" t="s">
        <v>9570</v>
      </c>
    </row>
    <row r="1430" spans="1:7" x14ac:dyDescent="0.2">
      <c r="A1430" s="1" t="s">
        <v>9571</v>
      </c>
      <c r="B1430" s="1" t="s">
        <v>9572</v>
      </c>
      <c r="C1430" s="1" t="s">
        <v>9573</v>
      </c>
      <c r="D1430" s="1" t="s">
        <v>9574</v>
      </c>
      <c r="E1430" s="1" t="s">
        <v>9575</v>
      </c>
      <c r="F1430" s="1" t="s">
        <v>9576</v>
      </c>
      <c r="G1430" s="1" t="s">
        <v>9577</v>
      </c>
    </row>
    <row r="1431" spans="1:7" x14ac:dyDescent="0.2">
      <c r="A1431" s="1" t="s">
        <v>9578</v>
      </c>
      <c r="B1431" s="1" t="s">
        <v>9579</v>
      </c>
      <c r="C1431" s="1" t="s">
        <v>9580</v>
      </c>
      <c r="D1431" s="1" t="s">
        <v>9581</v>
      </c>
      <c r="E1431" s="1" t="s">
        <v>9582</v>
      </c>
      <c r="F1431" s="1" t="s">
        <v>9583</v>
      </c>
      <c r="G1431" s="1" t="s">
        <v>9584</v>
      </c>
    </row>
    <row r="1432" spans="1:7" x14ac:dyDescent="0.2">
      <c r="A1432" s="1" t="s">
        <v>9585</v>
      </c>
      <c r="B1432" s="1" t="s">
        <v>9586</v>
      </c>
      <c r="C1432" s="1" t="s">
        <v>9587</v>
      </c>
      <c r="D1432" s="1" t="s">
        <v>9588</v>
      </c>
      <c r="E1432" s="1" t="s">
        <v>9589</v>
      </c>
      <c r="F1432" s="1" t="s">
        <v>9590</v>
      </c>
      <c r="G1432" s="1" t="s">
        <v>9591</v>
      </c>
    </row>
    <row r="1433" spans="1:7" x14ac:dyDescent="0.2">
      <c r="A1433" s="1" t="s">
        <v>9592</v>
      </c>
      <c r="B1433" s="1" t="s">
        <v>9593</v>
      </c>
      <c r="C1433" s="1" t="s">
        <v>9594</v>
      </c>
      <c r="D1433" s="1" t="s">
        <v>9595</v>
      </c>
      <c r="E1433" s="1" t="s">
        <v>9596</v>
      </c>
      <c r="F1433" s="1" t="s">
        <v>9597</v>
      </c>
      <c r="G1433" s="1" t="s">
        <v>9598</v>
      </c>
    </row>
    <row r="1434" spans="1:7" x14ac:dyDescent="0.2">
      <c r="A1434" s="1" t="s">
        <v>9599</v>
      </c>
      <c r="B1434" s="1" t="s">
        <v>9600</v>
      </c>
      <c r="C1434" s="1" t="s">
        <v>9601</v>
      </c>
      <c r="D1434" s="1" t="s">
        <v>9602</v>
      </c>
      <c r="E1434" s="1" t="s">
        <v>9603</v>
      </c>
      <c r="F1434" s="1" t="s">
        <v>9604</v>
      </c>
      <c r="G1434" s="1" t="s">
        <v>9605</v>
      </c>
    </row>
    <row r="1435" spans="1:7" x14ac:dyDescent="0.2">
      <c r="A1435" s="1" t="s">
        <v>9606</v>
      </c>
      <c r="B1435" s="1" t="s">
        <v>9607</v>
      </c>
      <c r="C1435" s="1" t="s">
        <v>9608</v>
      </c>
      <c r="D1435" s="1" t="s">
        <v>9609</v>
      </c>
      <c r="E1435" s="1" t="s">
        <v>9610</v>
      </c>
      <c r="F1435" s="1" t="s">
        <v>9611</v>
      </c>
      <c r="G1435" s="1" t="s">
        <v>9612</v>
      </c>
    </row>
    <row r="1436" spans="1:7" x14ac:dyDescent="0.2">
      <c r="A1436" s="1" t="s">
        <v>9613</v>
      </c>
      <c r="B1436" s="1" t="s">
        <v>9614</v>
      </c>
      <c r="C1436" s="1" t="s">
        <v>9615</v>
      </c>
      <c r="D1436" s="1" t="s">
        <v>9616</v>
      </c>
      <c r="E1436" s="1" t="s">
        <v>9464</v>
      </c>
      <c r="F1436" s="1" t="s">
        <v>9617</v>
      </c>
      <c r="G1436" s="1" t="s">
        <v>9618</v>
      </c>
    </row>
    <row r="1437" spans="1:7" x14ac:dyDescent="0.2">
      <c r="A1437" s="1" t="s">
        <v>9619</v>
      </c>
      <c r="B1437" s="1" t="s">
        <v>9620</v>
      </c>
      <c r="C1437" s="1" t="s">
        <v>9621</v>
      </c>
      <c r="D1437" s="1" t="s">
        <v>9622</v>
      </c>
      <c r="E1437" s="1" t="s">
        <v>9623</v>
      </c>
      <c r="F1437" s="1" t="s">
        <v>9624</v>
      </c>
      <c r="G1437" s="1" t="s">
        <v>9625</v>
      </c>
    </row>
    <row r="1438" spans="1:7" x14ac:dyDescent="0.2">
      <c r="A1438" s="1" t="s">
        <v>9626</v>
      </c>
      <c r="B1438" s="1" t="s">
        <v>9627</v>
      </c>
      <c r="C1438" s="1" t="s">
        <v>9628</v>
      </c>
      <c r="D1438" s="1" t="s">
        <v>9629</v>
      </c>
      <c r="E1438" s="1" t="s">
        <v>9630</v>
      </c>
      <c r="F1438" s="1" t="s">
        <v>9631</v>
      </c>
      <c r="G1438" s="1" t="s">
        <v>9632</v>
      </c>
    </row>
    <row r="1439" spans="1:7" x14ac:dyDescent="0.2">
      <c r="A1439" s="1" t="s">
        <v>9633</v>
      </c>
      <c r="B1439" s="1" t="s">
        <v>9634</v>
      </c>
      <c r="C1439" s="1" t="s">
        <v>9635</v>
      </c>
      <c r="D1439" s="1" t="s">
        <v>9636</v>
      </c>
      <c r="E1439" s="1" t="s">
        <v>9637</v>
      </c>
      <c r="F1439" s="1" t="s">
        <v>9638</v>
      </c>
      <c r="G1439" s="1" t="s">
        <v>9639</v>
      </c>
    </row>
    <row r="1440" spans="1:7" x14ac:dyDescent="0.2">
      <c r="A1440" s="1" t="s">
        <v>9640</v>
      </c>
      <c r="B1440" s="1" t="s">
        <v>9641</v>
      </c>
      <c r="C1440" s="1" t="s">
        <v>9642</v>
      </c>
      <c r="D1440" s="1" t="s">
        <v>9643</v>
      </c>
      <c r="E1440" s="1" t="s">
        <v>9221</v>
      </c>
      <c r="F1440" s="1" t="s">
        <v>9644</v>
      </c>
      <c r="G1440" s="1" t="s">
        <v>9645</v>
      </c>
    </row>
    <row r="1441" spans="1:7" x14ac:dyDescent="0.2">
      <c r="A1441" s="1" t="s">
        <v>9646</v>
      </c>
      <c r="B1441" s="1" t="s">
        <v>9647</v>
      </c>
      <c r="C1441" s="1" t="s">
        <v>9648</v>
      </c>
      <c r="D1441" s="1" t="s">
        <v>9649</v>
      </c>
      <c r="E1441" s="1" t="s">
        <v>9650</v>
      </c>
      <c r="F1441" s="1" t="s">
        <v>9651</v>
      </c>
      <c r="G1441" s="1" t="s">
        <v>9652</v>
      </c>
    </row>
    <row r="1442" spans="1:7" x14ac:dyDescent="0.2">
      <c r="A1442" s="1" t="s">
        <v>9653</v>
      </c>
      <c r="B1442" s="1" t="s">
        <v>9654</v>
      </c>
      <c r="C1442" s="1" t="s">
        <v>9655</v>
      </c>
      <c r="D1442" s="1" t="s">
        <v>9648</v>
      </c>
      <c r="E1442" s="1" t="s">
        <v>9656</v>
      </c>
      <c r="F1442" s="1" t="s">
        <v>9657</v>
      </c>
      <c r="G1442" s="1" t="s">
        <v>9658</v>
      </c>
    </row>
    <row r="1443" spans="1:7" x14ac:dyDescent="0.2">
      <c r="A1443" s="1" t="s">
        <v>9659</v>
      </c>
      <c r="B1443" s="1" t="s">
        <v>9660</v>
      </c>
      <c r="C1443" s="1" t="s">
        <v>9661</v>
      </c>
      <c r="D1443" s="1" t="s">
        <v>9662</v>
      </c>
      <c r="E1443" s="1" t="s">
        <v>9663</v>
      </c>
      <c r="F1443" s="1" t="s">
        <v>9664</v>
      </c>
      <c r="G1443" s="1" t="s">
        <v>9665</v>
      </c>
    </row>
    <row r="1444" spans="1:7" x14ac:dyDescent="0.2">
      <c r="A1444" s="1" t="s">
        <v>9666</v>
      </c>
      <c r="B1444" s="1" t="s">
        <v>9667</v>
      </c>
      <c r="C1444" s="1" t="s">
        <v>9668</v>
      </c>
      <c r="D1444" s="1" t="s">
        <v>9669</v>
      </c>
      <c r="E1444" s="1" t="s">
        <v>9670</v>
      </c>
      <c r="F1444" s="1" t="s">
        <v>9671</v>
      </c>
      <c r="G1444" s="1" t="s">
        <v>9672</v>
      </c>
    </row>
    <row r="1445" spans="1:7" x14ac:dyDescent="0.2">
      <c r="A1445" s="1" t="s">
        <v>9673</v>
      </c>
      <c r="B1445" s="1" t="s">
        <v>9674</v>
      </c>
      <c r="C1445" s="1" t="s">
        <v>9675</v>
      </c>
      <c r="D1445" s="1" t="s">
        <v>9676</v>
      </c>
      <c r="E1445" s="1" t="s">
        <v>9677</v>
      </c>
      <c r="F1445" s="1" t="s">
        <v>9678</v>
      </c>
      <c r="G1445" s="1" t="s">
        <v>9679</v>
      </c>
    </row>
    <row r="1446" spans="1:7" x14ac:dyDescent="0.2">
      <c r="A1446" s="1" t="s">
        <v>9680</v>
      </c>
      <c r="B1446" s="1" t="s">
        <v>9681</v>
      </c>
      <c r="C1446" s="1" t="s">
        <v>9682</v>
      </c>
      <c r="D1446" s="1" t="s">
        <v>9683</v>
      </c>
      <c r="E1446" s="1" t="s">
        <v>9684</v>
      </c>
      <c r="F1446" s="1" t="s">
        <v>9685</v>
      </c>
      <c r="G1446" s="1" t="s">
        <v>9686</v>
      </c>
    </row>
    <row r="1447" spans="1:7" x14ac:dyDescent="0.2">
      <c r="A1447" s="1" t="s">
        <v>9687</v>
      </c>
      <c r="B1447" s="1" t="s">
        <v>9688</v>
      </c>
      <c r="C1447" s="1" t="s">
        <v>9689</v>
      </c>
      <c r="D1447" s="1" t="s">
        <v>9690</v>
      </c>
      <c r="E1447" s="1" t="s">
        <v>9691</v>
      </c>
      <c r="F1447" s="1" t="s">
        <v>9692</v>
      </c>
      <c r="G1447" s="1" t="s">
        <v>9693</v>
      </c>
    </row>
    <row r="1448" spans="1:7" x14ac:dyDescent="0.2">
      <c r="A1448" s="1" t="s">
        <v>9694</v>
      </c>
      <c r="B1448" s="1" t="s">
        <v>9695</v>
      </c>
      <c r="C1448" s="1" t="s">
        <v>9696</v>
      </c>
      <c r="D1448" s="1" t="s">
        <v>9697</v>
      </c>
      <c r="E1448" s="1" t="s">
        <v>9698</v>
      </c>
      <c r="F1448" s="1" t="s">
        <v>9699</v>
      </c>
      <c r="G1448" s="1" t="s">
        <v>9700</v>
      </c>
    </row>
    <row r="1449" spans="1:7" x14ac:dyDescent="0.2">
      <c r="A1449" s="1" t="s">
        <v>9701</v>
      </c>
      <c r="B1449" s="1" t="s">
        <v>9702</v>
      </c>
      <c r="C1449" s="1" t="s">
        <v>9703</v>
      </c>
      <c r="D1449" s="1" t="s">
        <v>9704</v>
      </c>
      <c r="E1449" s="1" t="s">
        <v>9676</v>
      </c>
      <c r="F1449" s="1" t="s">
        <v>9705</v>
      </c>
      <c r="G1449" s="1" t="s">
        <v>9706</v>
      </c>
    </row>
    <row r="1450" spans="1:7" x14ac:dyDescent="0.2">
      <c r="A1450" s="1" t="s">
        <v>9707</v>
      </c>
      <c r="B1450" s="1" t="s">
        <v>9708</v>
      </c>
      <c r="C1450" s="1" t="s">
        <v>9709</v>
      </c>
      <c r="D1450" s="1" t="s">
        <v>9710</v>
      </c>
      <c r="E1450" s="1" t="s">
        <v>9711</v>
      </c>
      <c r="F1450" s="1" t="s">
        <v>9712</v>
      </c>
      <c r="G1450" s="1" t="s">
        <v>9713</v>
      </c>
    </row>
    <row r="1451" spans="1:7" x14ac:dyDescent="0.2">
      <c r="A1451" s="1" t="s">
        <v>9714</v>
      </c>
      <c r="B1451" s="1" t="s">
        <v>9715</v>
      </c>
      <c r="C1451" s="1" t="s">
        <v>9716</v>
      </c>
      <c r="D1451" s="1" t="s">
        <v>9717</v>
      </c>
      <c r="E1451" s="1" t="s">
        <v>9718</v>
      </c>
      <c r="F1451" s="1" t="s">
        <v>9719</v>
      </c>
      <c r="G1451" s="1" t="s">
        <v>9720</v>
      </c>
    </row>
    <row r="1452" spans="1:7" x14ac:dyDescent="0.2">
      <c r="A1452" s="1" t="s">
        <v>9721</v>
      </c>
      <c r="B1452" s="1" t="s">
        <v>9722</v>
      </c>
      <c r="C1452" s="1" t="s">
        <v>9723</v>
      </c>
      <c r="D1452" s="1" t="s">
        <v>9724</v>
      </c>
      <c r="E1452" s="1" t="s">
        <v>9725</v>
      </c>
      <c r="F1452" s="1" t="s">
        <v>9726</v>
      </c>
      <c r="G1452" s="1" t="s">
        <v>9727</v>
      </c>
    </row>
    <row r="1453" spans="1:7" x14ac:dyDescent="0.2">
      <c r="A1453" s="1" t="s">
        <v>9728</v>
      </c>
      <c r="B1453" s="1" t="s">
        <v>9729</v>
      </c>
      <c r="C1453" s="1" t="s">
        <v>9730</v>
      </c>
      <c r="D1453" s="1" t="s">
        <v>9731</v>
      </c>
      <c r="E1453" s="1" t="s">
        <v>9732</v>
      </c>
      <c r="F1453" s="1" t="s">
        <v>9733</v>
      </c>
      <c r="G1453" s="1" t="s">
        <v>9734</v>
      </c>
    </row>
    <row r="1454" spans="1:7" x14ac:dyDescent="0.2">
      <c r="A1454" s="1" t="s">
        <v>9735</v>
      </c>
      <c r="B1454" s="1" t="s">
        <v>9736</v>
      </c>
      <c r="C1454" s="1" t="s">
        <v>9737</v>
      </c>
      <c r="D1454" s="1" t="s">
        <v>9738</v>
      </c>
      <c r="E1454" s="1" t="s">
        <v>9739</v>
      </c>
      <c r="F1454" s="1" t="s">
        <v>9740</v>
      </c>
      <c r="G1454" s="1" t="s">
        <v>9741</v>
      </c>
    </row>
    <row r="1455" spans="1:7" x14ac:dyDescent="0.2">
      <c r="A1455" s="1" t="s">
        <v>9742</v>
      </c>
      <c r="B1455" s="1" t="s">
        <v>9743</v>
      </c>
      <c r="C1455" s="1" t="s">
        <v>9744</v>
      </c>
      <c r="D1455" s="1" t="s">
        <v>9745</v>
      </c>
      <c r="E1455" s="1" t="s">
        <v>9746</v>
      </c>
      <c r="F1455" s="1" t="s">
        <v>9747</v>
      </c>
      <c r="G1455" s="1" t="s">
        <v>9748</v>
      </c>
    </row>
    <row r="1456" spans="1:7" x14ac:dyDescent="0.2">
      <c r="A1456" s="1" t="s">
        <v>9749</v>
      </c>
      <c r="B1456" s="1" t="s">
        <v>9750</v>
      </c>
      <c r="C1456" s="1" t="s">
        <v>9751</v>
      </c>
      <c r="D1456" s="1" t="s">
        <v>9752</v>
      </c>
      <c r="E1456" s="1" t="s">
        <v>9753</v>
      </c>
      <c r="F1456" s="1" t="s">
        <v>9754</v>
      </c>
      <c r="G1456" s="1" t="s">
        <v>9755</v>
      </c>
    </row>
    <row r="1457" spans="1:7" x14ac:dyDescent="0.2">
      <c r="A1457" s="1" t="s">
        <v>9756</v>
      </c>
      <c r="B1457" s="1" t="s">
        <v>9757</v>
      </c>
      <c r="C1457" s="1" t="s">
        <v>9758</v>
      </c>
      <c r="D1457" s="1" t="s">
        <v>9759</v>
      </c>
      <c r="E1457" s="1" t="s">
        <v>9760</v>
      </c>
      <c r="F1457" s="1" t="s">
        <v>9761</v>
      </c>
      <c r="G1457" s="1" t="s">
        <v>9762</v>
      </c>
    </row>
    <row r="1458" spans="1:7" x14ac:dyDescent="0.2">
      <c r="A1458" s="1" t="s">
        <v>9763</v>
      </c>
      <c r="B1458" s="1" t="s">
        <v>9764</v>
      </c>
      <c r="C1458" s="1" t="s">
        <v>9765</v>
      </c>
      <c r="D1458" s="1" t="s">
        <v>9766</v>
      </c>
      <c r="E1458" s="1" t="s">
        <v>9767</v>
      </c>
      <c r="F1458" s="1" t="s">
        <v>9768</v>
      </c>
      <c r="G1458" s="1" t="s">
        <v>9769</v>
      </c>
    </row>
    <row r="1459" spans="1:7" x14ac:dyDescent="0.2">
      <c r="A1459" s="1" t="s">
        <v>9770</v>
      </c>
      <c r="B1459" s="1" t="s">
        <v>9771</v>
      </c>
      <c r="C1459" s="1" t="s">
        <v>9772</v>
      </c>
      <c r="D1459" s="1" t="s">
        <v>9773</v>
      </c>
      <c r="E1459" s="1" t="s">
        <v>9774</v>
      </c>
      <c r="F1459" s="1" t="s">
        <v>9775</v>
      </c>
      <c r="G1459" s="1" t="s">
        <v>9776</v>
      </c>
    </row>
    <row r="1460" spans="1:7" x14ac:dyDescent="0.2">
      <c r="A1460" s="1" t="s">
        <v>9777</v>
      </c>
      <c r="B1460" s="1" t="s">
        <v>9778</v>
      </c>
      <c r="C1460" s="1" t="s">
        <v>9779</v>
      </c>
      <c r="D1460" s="1" t="s">
        <v>9532</v>
      </c>
      <c r="E1460" s="1" t="s">
        <v>9780</v>
      </c>
      <c r="F1460" s="1" t="s">
        <v>9781</v>
      </c>
      <c r="G1460" s="1" t="s">
        <v>9782</v>
      </c>
    </row>
    <row r="1461" spans="1:7" x14ac:dyDescent="0.2">
      <c r="A1461" s="1" t="s">
        <v>9783</v>
      </c>
      <c r="B1461" s="1" t="s">
        <v>9784</v>
      </c>
      <c r="C1461" s="1" t="s">
        <v>9785</v>
      </c>
      <c r="D1461" s="1" t="s">
        <v>9786</v>
      </c>
      <c r="E1461" s="1" t="s">
        <v>9787</v>
      </c>
      <c r="F1461" s="1" t="s">
        <v>9788</v>
      </c>
      <c r="G1461" s="1" t="s">
        <v>9789</v>
      </c>
    </row>
    <row r="1462" spans="1:7" x14ac:dyDescent="0.2">
      <c r="A1462" s="1" t="s">
        <v>9790</v>
      </c>
      <c r="B1462" s="1" t="s">
        <v>9791</v>
      </c>
      <c r="C1462" s="1" t="s">
        <v>9792</v>
      </c>
      <c r="D1462" s="1" t="s">
        <v>9793</v>
      </c>
      <c r="E1462" s="1" t="s">
        <v>9794</v>
      </c>
      <c r="F1462" s="1" t="s">
        <v>9795</v>
      </c>
      <c r="G1462" s="1" t="s">
        <v>9796</v>
      </c>
    </row>
    <row r="1463" spans="1:7" x14ac:dyDescent="0.2">
      <c r="A1463" s="1" t="s">
        <v>9797</v>
      </c>
      <c r="B1463" s="1" t="s">
        <v>9798</v>
      </c>
      <c r="C1463" s="1" t="s">
        <v>9799</v>
      </c>
      <c r="D1463" s="1" t="s">
        <v>9800</v>
      </c>
      <c r="E1463" s="1" t="s">
        <v>9801</v>
      </c>
      <c r="F1463" s="1" t="s">
        <v>9802</v>
      </c>
      <c r="G1463" s="1" t="s">
        <v>9803</v>
      </c>
    </row>
    <row r="1464" spans="1:7" x14ac:dyDescent="0.2">
      <c r="A1464" s="1" t="s">
        <v>9804</v>
      </c>
      <c r="B1464" s="1" t="s">
        <v>9805</v>
      </c>
      <c r="C1464" s="1" t="s">
        <v>9806</v>
      </c>
      <c r="D1464" s="1" t="s">
        <v>9807</v>
      </c>
      <c r="E1464" s="1" t="s">
        <v>9808</v>
      </c>
      <c r="F1464" s="1" t="s">
        <v>9312</v>
      </c>
      <c r="G1464" s="1" t="s">
        <v>9809</v>
      </c>
    </row>
    <row r="1465" spans="1:7" x14ac:dyDescent="0.2">
      <c r="A1465" s="1" t="s">
        <v>9810</v>
      </c>
      <c r="B1465" s="1" t="s">
        <v>9811</v>
      </c>
      <c r="C1465" s="1" t="s">
        <v>9812</v>
      </c>
      <c r="D1465" s="1" t="s">
        <v>9813</v>
      </c>
      <c r="E1465" s="1" t="s">
        <v>9814</v>
      </c>
      <c r="F1465" s="1" t="s">
        <v>9815</v>
      </c>
      <c r="G1465" s="1" t="s">
        <v>9816</v>
      </c>
    </row>
    <row r="1466" spans="1:7" x14ac:dyDescent="0.2">
      <c r="A1466" s="1" t="s">
        <v>9817</v>
      </c>
      <c r="B1466" s="1" t="s">
        <v>9818</v>
      </c>
      <c r="C1466" s="1" t="s">
        <v>9819</v>
      </c>
      <c r="D1466" s="1" t="s">
        <v>9820</v>
      </c>
      <c r="E1466" s="1" t="s">
        <v>9821</v>
      </c>
      <c r="F1466" s="1" t="s">
        <v>9822</v>
      </c>
      <c r="G1466" s="1" t="s">
        <v>9823</v>
      </c>
    </row>
    <row r="1467" spans="1:7" x14ac:dyDescent="0.2">
      <c r="A1467" s="1" t="s">
        <v>9824</v>
      </c>
      <c r="B1467" s="1" t="s">
        <v>9825</v>
      </c>
      <c r="C1467" s="1" t="s">
        <v>9826</v>
      </c>
      <c r="D1467" s="1" t="s">
        <v>9827</v>
      </c>
      <c r="E1467" s="1" t="s">
        <v>9828</v>
      </c>
      <c r="F1467" s="1" t="s">
        <v>9829</v>
      </c>
      <c r="G1467" s="1" t="s">
        <v>9830</v>
      </c>
    </row>
    <row r="1468" spans="1:7" x14ac:dyDescent="0.2">
      <c r="A1468" s="1" t="s">
        <v>9831</v>
      </c>
      <c r="B1468" s="1" t="s">
        <v>9832</v>
      </c>
      <c r="C1468" s="1" t="s">
        <v>9833</v>
      </c>
      <c r="D1468" s="1" t="s">
        <v>9834</v>
      </c>
      <c r="E1468" s="1" t="s">
        <v>9835</v>
      </c>
      <c r="F1468" s="1" t="s">
        <v>9836</v>
      </c>
      <c r="G1468" s="1" t="s">
        <v>9837</v>
      </c>
    </row>
    <row r="1469" spans="1:7" x14ac:dyDescent="0.2">
      <c r="A1469" s="1" t="s">
        <v>9838</v>
      </c>
      <c r="B1469" s="1" t="s">
        <v>9839</v>
      </c>
      <c r="C1469" s="1" t="s">
        <v>9840</v>
      </c>
      <c r="D1469" s="1" t="s">
        <v>9841</v>
      </c>
      <c r="E1469" s="1" t="s">
        <v>9842</v>
      </c>
      <c r="F1469" s="1" t="s">
        <v>9843</v>
      </c>
      <c r="G1469" s="1" t="s">
        <v>9844</v>
      </c>
    </row>
    <row r="1470" spans="1:7" x14ac:dyDescent="0.2">
      <c r="A1470" s="1" t="s">
        <v>9845</v>
      </c>
      <c r="B1470" s="1" t="s">
        <v>9846</v>
      </c>
      <c r="C1470" s="1" t="s">
        <v>9145</v>
      </c>
      <c r="D1470" s="1" t="s">
        <v>9847</v>
      </c>
      <c r="E1470" s="1" t="s">
        <v>9848</v>
      </c>
      <c r="F1470" s="1" t="s">
        <v>9849</v>
      </c>
      <c r="G1470" s="1" t="s">
        <v>9850</v>
      </c>
    </row>
    <row r="1471" spans="1:7" x14ac:dyDescent="0.2">
      <c r="A1471" s="1" t="s">
        <v>9851</v>
      </c>
      <c r="B1471" s="1" t="s">
        <v>9852</v>
      </c>
      <c r="C1471" s="1" t="s">
        <v>9853</v>
      </c>
      <c r="D1471" s="1" t="s">
        <v>9854</v>
      </c>
      <c r="E1471" s="1" t="s">
        <v>9855</v>
      </c>
      <c r="F1471" s="1" t="s">
        <v>9856</v>
      </c>
      <c r="G1471" s="1" t="s">
        <v>9857</v>
      </c>
    </row>
    <row r="1472" spans="1:7" x14ac:dyDescent="0.2">
      <c r="A1472" s="1" t="s">
        <v>9858</v>
      </c>
      <c r="B1472" s="1" t="s">
        <v>9859</v>
      </c>
      <c r="C1472" s="1" t="s">
        <v>9860</v>
      </c>
      <c r="D1472" s="1" t="s">
        <v>9861</v>
      </c>
      <c r="E1472" s="1" t="s">
        <v>9862</v>
      </c>
      <c r="F1472" s="1" t="s">
        <v>9863</v>
      </c>
      <c r="G1472" s="1" t="s">
        <v>9864</v>
      </c>
    </row>
    <row r="1473" spans="1:7" x14ac:dyDescent="0.2">
      <c r="A1473" s="1" t="s">
        <v>9865</v>
      </c>
      <c r="B1473" s="1" t="s">
        <v>9866</v>
      </c>
      <c r="C1473" s="1" t="s">
        <v>9867</v>
      </c>
      <c r="D1473" s="1" t="s">
        <v>9868</v>
      </c>
      <c r="E1473" s="1" t="s">
        <v>9869</v>
      </c>
      <c r="F1473" s="1" t="s">
        <v>9870</v>
      </c>
      <c r="G1473" s="1" t="s">
        <v>9871</v>
      </c>
    </row>
    <row r="1474" spans="1:7" x14ac:dyDescent="0.2">
      <c r="A1474" s="1" t="s">
        <v>9872</v>
      </c>
      <c r="B1474" s="1" t="s">
        <v>9873</v>
      </c>
      <c r="C1474" s="1" t="s">
        <v>9874</v>
      </c>
      <c r="D1474" s="1" t="s">
        <v>9875</v>
      </c>
      <c r="E1474" s="1" t="s">
        <v>9876</v>
      </c>
      <c r="F1474" s="1" t="s">
        <v>9877</v>
      </c>
      <c r="G1474" s="1" t="s">
        <v>9878</v>
      </c>
    </row>
    <row r="1475" spans="1:7" x14ac:dyDescent="0.2">
      <c r="A1475" s="1" t="s">
        <v>9879</v>
      </c>
      <c r="B1475" s="1" t="s">
        <v>9880</v>
      </c>
      <c r="C1475" s="1" t="s">
        <v>9881</v>
      </c>
      <c r="D1475" s="1" t="s">
        <v>9882</v>
      </c>
      <c r="E1475" s="1" t="s">
        <v>9883</v>
      </c>
      <c r="F1475" s="1" t="s">
        <v>9884</v>
      </c>
      <c r="G1475" s="1" t="s">
        <v>9885</v>
      </c>
    </row>
    <row r="1476" spans="1:7" x14ac:dyDescent="0.2">
      <c r="A1476" s="1" t="s">
        <v>9886</v>
      </c>
      <c r="B1476" s="1" t="s">
        <v>9887</v>
      </c>
      <c r="C1476" s="1" t="s">
        <v>9888</v>
      </c>
      <c r="D1476" s="1" t="s">
        <v>9889</v>
      </c>
      <c r="E1476" s="1" t="s">
        <v>9890</v>
      </c>
      <c r="F1476" s="1" t="s">
        <v>9891</v>
      </c>
      <c r="G1476" s="1" t="s">
        <v>9892</v>
      </c>
    </row>
    <row r="1477" spans="1:7" x14ac:dyDescent="0.2">
      <c r="A1477" s="1" t="s">
        <v>9893</v>
      </c>
      <c r="B1477" s="1" t="s">
        <v>9894</v>
      </c>
      <c r="C1477" s="1" t="s">
        <v>9895</v>
      </c>
      <c r="D1477" s="1" t="s">
        <v>9896</v>
      </c>
      <c r="E1477" s="1" t="s">
        <v>9897</v>
      </c>
      <c r="F1477" s="1" t="s">
        <v>9898</v>
      </c>
      <c r="G1477" s="1" t="s">
        <v>9899</v>
      </c>
    </row>
    <row r="1478" spans="1:7" x14ac:dyDescent="0.2">
      <c r="A1478" s="1" t="s">
        <v>9900</v>
      </c>
      <c r="B1478" s="1" t="s">
        <v>9901</v>
      </c>
      <c r="C1478" s="1" t="s">
        <v>9902</v>
      </c>
      <c r="D1478" s="1" t="s">
        <v>9903</v>
      </c>
      <c r="E1478" s="1" t="s">
        <v>9904</v>
      </c>
      <c r="F1478" s="1" t="s">
        <v>9905</v>
      </c>
      <c r="G1478" s="1" t="s">
        <v>9906</v>
      </c>
    </row>
    <row r="1479" spans="1:7" x14ac:dyDescent="0.2">
      <c r="A1479" s="1" t="s">
        <v>9907</v>
      </c>
      <c r="B1479" s="1" t="s">
        <v>9908</v>
      </c>
      <c r="C1479" s="1" t="s">
        <v>9909</v>
      </c>
      <c r="D1479" s="1" t="s">
        <v>9910</v>
      </c>
      <c r="E1479" s="1" t="s">
        <v>9409</v>
      </c>
      <c r="F1479" s="1" t="s">
        <v>9911</v>
      </c>
      <c r="G1479" s="1" t="s">
        <v>9912</v>
      </c>
    </row>
    <row r="1480" spans="1:7" x14ac:dyDescent="0.2">
      <c r="A1480" s="1" t="s">
        <v>9913</v>
      </c>
      <c r="B1480" s="1" t="s">
        <v>9914</v>
      </c>
      <c r="C1480" s="1" t="s">
        <v>9915</v>
      </c>
      <c r="D1480" s="1" t="s">
        <v>9916</v>
      </c>
      <c r="E1480" s="1" t="s">
        <v>9917</v>
      </c>
      <c r="F1480" s="1" t="s">
        <v>9918</v>
      </c>
      <c r="G1480" s="1" t="s">
        <v>9919</v>
      </c>
    </row>
    <row r="1481" spans="1:7" x14ac:dyDescent="0.2">
      <c r="A1481" s="1" t="s">
        <v>9920</v>
      </c>
      <c r="B1481" s="1" t="s">
        <v>9921</v>
      </c>
      <c r="C1481" s="1" t="s">
        <v>9922</v>
      </c>
      <c r="D1481" s="1" t="s">
        <v>9923</v>
      </c>
      <c r="E1481" s="1" t="s">
        <v>9924</v>
      </c>
      <c r="F1481" s="1" t="s">
        <v>9925</v>
      </c>
      <c r="G1481" s="1" t="s">
        <v>9926</v>
      </c>
    </row>
    <row r="1482" spans="1:7" x14ac:dyDescent="0.2">
      <c r="A1482" s="1" t="s">
        <v>9927</v>
      </c>
      <c r="B1482" s="1" t="s">
        <v>9928</v>
      </c>
      <c r="C1482" s="1" t="s">
        <v>9929</v>
      </c>
      <c r="D1482" s="1" t="s">
        <v>9930</v>
      </c>
      <c r="E1482" s="1" t="s">
        <v>9931</v>
      </c>
      <c r="F1482" s="1" t="s">
        <v>9932</v>
      </c>
      <c r="G1482" s="1" t="s">
        <v>9933</v>
      </c>
    </row>
    <row r="1483" spans="1:7" x14ac:dyDescent="0.2">
      <c r="A1483" s="1" t="s">
        <v>9934</v>
      </c>
      <c r="B1483" s="1" t="s">
        <v>9935</v>
      </c>
      <c r="C1483" s="1" t="s">
        <v>9936</v>
      </c>
      <c r="D1483" s="1" t="s">
        <v>9937</v>
      </c>
      <c r="E1483" s="1" t="s">
        <v>9938</v>
      </c>
      <c r="F1483" s="1" t="s">
        <v>9939</v>
      </c>
      <c r="G1483" s="1" t="s">
        <v>9940</v>
      </c>
    </row>
    <row r="1484" spans="1:7" x14ac:dyDescent="0.2">
      <c r="A1484" s="1" t="s">
        <v>9941</v>
      </c>
      <c r="B1484" s="1" t="s">
        <v>9942</v>
      </c>
      <c r="C1484" s="1" t="s">
        <v>9943</v>
      </c>
      <c r="D1484" s="1" t="s">
        <v>9944</v>
      </c>
      <c r="E1484" s="1" t="s">
        <v>9945</v>
      </c>
      <c r="F1484" s="1" t="s">
        <v>9946</v>
      </c>
      <c r="G1484" s="1" t="s">
        <v>9947</v>
      </c>
    </row>
    <row r="1485" spans="1:7" x14ac:dyDescent="0.2">
      <c r="A1485" s="1" t="s">
        <v>9948</v>
      </c>
      <c r="B1485" s="1" t="s">
        <v>9949</v>
      </c>
      <c r="C1485" s="1" t="s">
        <v>9950</v>
      </c>
      <c r="D1485" s="1" t="s">
        <v>9951</v>
      </c>
      <c r="E1485" s="1" t="s">
        <v>9952</v>
      </c>
      <c r="F1485" s="1" t="s">
        <v>9953</v>
      </c>
      <c r="G1485" s="1" t="s">
        <v>9954</v>
      </c>
    </row>
    <row r="1486" spans="1:7" x14ac:dyDescent="0.2">
      <c r="A1486" s="1" t="s">
        <v>9955</v>
      </c>
      <c r="B1486" s="1" t="s">
        <v>9956</v>
      </c>
      <c r="C1486" s="1" t="s">
        <v>9957</v>
      </c>
      <c r="D1486" s="1" t="s">
        <v>9958</v>
      </c>
      <c r="E1486" s="1" t="s">
        <v>9959</v>
      </c>
      <c r="F1486" s="1" t="s">
        <v>9960</v>
      </c>
      <c r="G1486" s="1" t="s">
        <v>9961</v>
      </c>
    </row>
    <row r="1487" spans="1:7" x14ac:dyDescent="0.2">
      <c r="A1487" s="1" t="s">
        <v>9962</v>
      </c>
      <c r="B1487" s="1" t="s">
        <v>9963</v>
      </c>
      <c r="C1487" s="1" t="s">
        <v>9964</v>
      </c>
      <c r="D1487" s="1" t="s">
        <v>9965</v>
      </c>
      <c r="E1487" s="1" t="s">
        <v>9966</v>
      </c>
      <c r="F1487" s="1" t="s">
        <v>9967</v>
      </c>
      <c r="G1487" s="1" t="s">
        <v>9968</v>
      </c>
    </row>
    <row r="1488" spans="1:7" x14ac:dyDescent="0.2">
      <c r="A1488" s="1" t="s">
        <v>9969</v>
      </c>
      <c r="B1488" s="1" t="s">
        <v>9970</v>
      </c>
      <c r="C1488" s="1" t="s">
        <v>9971</v>
      </c>
      <c r="D1488" s="1" t="s">
        <v>9972</v>
      </c>
      <c r="E1488" s="1" t="s">
        <v>9973</v>
      </c>
      <c r="F1488" s="1" t="s">
        <v>9974</v>
      </c>
      <c r="G1488" s="1" t="s">
        <v>9975</v>
      </c>
    </row>
    <row r="1489" spans="1:7" x14ac:dyDescent="0.2">
      <c r="A1489" s="1" t="s">
        <v>9976</v>
      </c>
      <c r="B1489" s="1" t="s">
        <v>9977</v>
      </c>
      <c r="C1489" s="1" t="s">
        <v>9978</v>
      </c>
      <c r="D1489" s="1" t="s">
        <v>9979</v>
      </c>
      <c r="E1489" s="1" t="s">
        <v>9980</v>
      </c>
      <c r="F1489" s="1" t="s">
        <v>9981</v>
      </c>
      <c r="G1489" s="1" t="s">
        <v>9982</v>
      </c>
    </row>
    <row r="1490" spans="1:7" x14ac:dyDescent="0.2">
      <c r="A1490" s="1" t="s">
        <v>9983</v>
      </c>
      <c r="B1490" s="1" t="s">
        <v>9984</v>
      </c>
      <c r="C1490" s="1" t="s">
        <v>9985</v>
      </c>
      <c r="D1490" s="1" t="s">
        <v>9986</v>
      </c>
      <c r="E1490" s="1" t="s">
        <v>9987</v>
      </c>
      <c r="F1490" s="1" t="s">
        <v>9988</v>
      </c>
      <c r="G1490" s="1" t="s">
        <v>9989</v>
      </c>
    </row>
    <row r="1491" spans="1:7" x14ac:dyDescent="0.2">
      <c r="A1491" s="1" t="s">
        <v>9990</v>
      </c>
      <c r="B1491" s="1" t="s">
        <v>9991</v>
      </c>
      <c r="C1491" s="1" t="s">
        <v>9992</v>
      </c>
      <c r="D1491" s="1" t="s">
        <v>9993</v>
      </c>
      <c r="E1491" s="1" t="s">
        <v>9994</v>
      </c>
      <c r="F1491" s="1" t="s">
        <v>9995</v>
      </c>
      <c r="G1491" s="1" t="s">
        <v>9996</v>
      </c>
    </row>
    <row r="1492" spans="1:7" x14ac:dyDescent="0.2">
      <c r="A1492" s="1" t="s">
        <v>9997</v>
      </c>
      <c r="B1492" s="1" t="s">
        <v>9998</v>
      </c>
      <c r="C1492" s="1" t="s">
        <v>9999</v>
      </c>
      <c r="D1492" s="1" t="s">
        <v>10000</v>
      </c>
      <c r="E1492" s="1" t="s">
        <v>9589</v>
      </c>
      <c r="F1492" s="1" t="s">
        <v>10001</v>
      </c>
      <c r="G1492" s="1" t="s">
        <v>10002</v>
      </c>
    </row>
    <row r="1493" spans="1:7" x14ac:dyDescent="0.2">
      <c r="A1493" s="1" t="s">
        <v>10003</v>
      </c>
      <c r="B1493" s="1" t="s">
        <v>10004</v>
      </c>
      <c r="C1493" s="1" t="s">
        <v>10005</v>
      </c>
      <c r="D1493" s="1" t="s">
        <v>10006</v>
      </c>
      <c r="E1493" s="1" t="s">
        <v>10007</v>
      </c>
      <c r="F1493" s="1" t="s">
        <v>10008</v>
      </c>
      <c r="G1493" s="1" t="s">
        <v>10009</v>
      </c>
    </row>
    <row r="1494" spans="1:7" x14ac:dyDescent="0.2">
      <c r="A1494" s="1" t="s">
        <v>10010</v>
      </c>
      <c r="B1494" s="1" t="s">
        <v>10011</v>
      </c>
      <c r="C1494" s="1" t="s">
        <v>10012</v>
      </c>
      <c r="D1494" s="1" t="s">
        <v>9533</v>
      </c>
      <c r="E1494" s="1" t="s">
        <v>10013</v>
      </c>
      <c r="F1494" s="1" t="s">
        <v>10014</v>
      </c>
      <c r="G1494" s="1" t="s">
        <v>10015</v>
      </c>
    </row>
    <row r="1495" spans="1:7" x14ac:dyDescent="0.2">
      <c r="A1495" s="1" t="s">
        <v>10016</v>
      </c>
      <c r="B1495" s="1" t="s">
        <v>10017</v>
      </c>
      <c r="C1495" s="1" t="s">
        <v>10018</v>
      </c>
      <c r="D1495" s="1" t="s">
        <v>10019</v>
      </c>
      <c r="E1495" s="1" t="s">
        <v>10020</v>
      </c>
      <c r="F1495" s="1" t="s">
        <v>10019</v>
      </c>
      <c r="G1495" s="1" t="s">
        <v>10021</v>
      </c>
    </row>
    <row r="1496" spans="1:7" x14ac:dyDescent="0.2">
      <c r="A1496" s="1" t="s">
        <v>10022</v>
      </c>
      <c r="B1496" s="1" t="s">
        <v>10023</v>
      </c>
      <c r="C1496" s="1" t="s">
        <v>10024</v>
      </c>
      <c r="D1496" s="1" t="s">
        <v>10025</v>
      </c>
      <c r="E1496" s="1" t="s">
        <v>9610</v>
      </c>
      <c r="F1496" s="1" t="s">
        <v>10026</v>
      </c>
      <c r="G1496" s="1" t="s">
        <v>10027</v>
      </c>
    </row>
    <row r="1497" spans="1:7" x14ac:dyDescent="0.2">
      <c r="A1497" s="1" t="s">
        <v>10028</v>
      </c>
      <c r="B1497" s="1" t="s">
        <v>10029</v>
      </c>
      <c r="C1497" s="1" t="s">
        <v>10030</v>
      </c>
      <c r="D1497" s="1" t="s">
        <v>10031</v>
      </c>
      <c r="E1497" s="1" t="s">
        <v>10032</v>
      </c>
      <c r="F1497" s="1" t="s">
        <v>10033</v>
      </c>
      <c r="G1497" s="1" t="s">
        <v>10034</v>
      </c>
    </row>
    <row r="1498" spans="1:7" x14ac:dyDescent="0.2">
      <c r="A1498" s="1" t="s">
        <v>10035</v>
      </c>
      <c r="B1498" s="1" t="s">
        <v>10036</v>
      </c>
      <c r="C1498" s="1" t="s">
        <v>10037</v>
      </c>
      <c r="D1498" s="1" t="s">
        <v>10038</v>
      </c>
      <c r="E1498" s="1" t="s">
        <v>10039</v>
      </c>
      <c r="F1498" s="1" t="s">
        <v>10040</v>
      </c>
      <c r="G1498" s="1" t="s">
        <v>10041</v>
      </c>
    </row>
    <row r="1499" spans="1:7" x14ac:dyDescent="0.2">
      <c r="A1499" s="1" t="s">
        <v>10042</v>
      </c>
      <c r="B1499" s="1" t="s">
        <v>10043</v>
      </c>
      <c r="C1499" s="1" t="s">
        <v>10044</v>
      </c>
      <c r="D1499" s="1" t="s">
        <v>10045</v>
      </c>
      <c r="E1499" s="1" t="s">
        <v>10046</v>
      </c>
      <c r="F1499" s="1" t="s">
        <v>10047</v>
      </c>
      <c r="G1499" s="1" t="s">
        <v>10048</v>
      </c>
    </row>
    <row r="1500" spans="1:7" x14ac:dyDescent="0.2">
      <c r="A1500" s="1" t="s">
        <v>10049</v>
      </c>
      <c r="B1500" s="1" t="s">
        <v>10050</v>
      </c>
      <c r="C1500" s="1" t="s">
        <v>10051</v>
      </c>
      <c r="D1500" s="1" t="s">
        <v>10052</v>
      </c>
      <c r="E1500" s="1" t="s">
        <v>10053</v>
      </c>
      <c r="F1500" s="1" t="s">
        <v>10054</v>
      </c>
      <c r="G1500" s="1" t="s">
        <v>10055</v>
      </c>
    </row>
    <row r="1501" spans="1:7" x14ac:dyDescent="0.2">
      <c r="A1501" s="1" t="s">
        <v>10056</v>
      </c>
      <c r="B1501" s="1" t="s">
        <v>10057</v>
      </c>
      <c r="C1501" s="1" t="s">
        <v>10058</v>
      </c>
      <c r="D1501" s="1" t="s">
        <v>10059</v>
      </c>
      <c r="E1501" s="1" t="s">
        <v>10060</v>
      </c>
      <c r="F1501" s="1" t="s">
        <v>10060</v>
      </c>
      <c r="G1501" s="1" t="s">
        <v>10061</v>
      </c>
    </row>
    <row r="1502" spans="1:7" x14ac:dyDescent="0.2">
      <c r="A1502" s="1" t="s">
        <v>10062</v>
      </c>
      <c r="B1502" s="1" t="s">
        <v>10063</v>
      </c>
      <c r="C1502" s="1" t="s">
        <v>9340</v>
      </c>
      <c r="D1502" s="1" t="s">
        <v>10064</v>
      </c>
      <c r="E1502" s="1" t="s">
        <v>10065</v>
      </c>
      <c r="F1502" s="1" t="s">
        <v>10066</v>
      </c>
      <c r="G1502" s="1" t="s">
        <v>10067</v>
      </c>
    </row>
    <row r="1503" spans="1:7" x14ac:dyDescent="0.2">
      <c r="A1503" s="1" t="s">
        <v>10068</v>
      </c>
      <c r="B1503" s="1" t="s">
        <v>10069</v>
      </c>
      <c r="C1503" s="1" t="s">
        <v>10070</v>
      </c>
      <c r="D1503" s="1" t="s">
        <v>10071</v>
      </c>
      <c r="E1503" s="1" t="s">
        <v>10072</v>
      </c>
      <c r="F1503" s="1" t="s">
        <v>10073</v>
      </c>
      <c r="G1503" s="1" t="s">
        <v>10074</v>
      </c>
    </row>
    <row r="1504" spans="1:7" x14ac:dyDescent="0.2">
      <c r="A1504" s="1" t="s">
        <v>10075</v>
      </c>
      <c r="B1504" s="1" t="s">
        <v>10076</v>
      </c>
      <c r="C1504" s="1" t="s">
        <v>10077</v>
      </c>
      <c r="D1504" s="1" t="s">
        <v>10078</v>
      </c>
      <c r="E1504" s="1" t="s">
        <v>10079</v>
      </c>
      <c r="F1504" s="1" t="s">
        <v>10080</v>
      </c>
      <c r="G1504" s="1" t="s">
        <v>10081</v>
      </c>
    </row>
    <row r="1505" spans="1:7" x14ac:dyDescent="0.2">
      <c r="A1505" s="1" t="s">
        <v>10082</v>
      </c>
      <c r="B1505" s="1" t="s">
        <v>10083</v>
      </c>
      <c r="C1505" s="1" t="s">
        <v>10084</v>
      </c>
      <c r="D1505" s="1" t="s">
        <v>10085</v>
      </c>
      <c r="E1505" s="1" t="s">
        <v>10086</v>
      </c>
      <c r="F1505" s="1" t="s">
        <v>10087</v>
      </c>
      <c r="G1505" s="1" t="s">
        <v>10088</v>
      </c>
    </row>
    <row r="1506" spans="1:7" x14ac:dyDescent="0.2">
      <c r="A1506" s="1" t="s">
        <v>10089</v>
      </c>
      <c r="B1506" s="1" t="s">
        <v>10090</v>
      </c>
      <c r="C1506" s="1" t="s">
        <v>10091</v>
      </c>
      <c r="D1506" s="1" t="s">
        <v>10092</v>
      </c>
      <c r="E1506" s="1" t="s">
        <v>10093</v>
      </c>
      <c r="F1506" s="1" t="s">
        <v>10094</v>
      </c>
      <c r="G1506" s="1" t="s">
        <v>10095</v>
      </c>
    </row>
    <row r="1507" spans="1:7" x14ac:dyDescent="0.2">
      <c r="A1507" s="1" t="s">
        <v>10096</v>
      </c>
      <c r="B1507" s="1" t="s">
        <v>10097</v>
      </c>
      <c r="C1507" s="1" t="s">
        <v>10098</v>
      </c>
      <c r="D1507" s="1" t="s">
        <v>10099</v>
      </c>
      <c r="E1507" s="1" t="s">
        <v>10100</v>
      </c>
      <c r="F1507" s="1" t="s">
        <v>10101</v>
      </c>
      <c r="G1507" s="1" t="s">
        <v>10102</v>
      </c>
    </row>
    <row r="1508" spans="1:7" x14ac:dyDescent="0.2">
      <c r="A1508" s="1" t="s">
        <v>10103</v>
      </c>
      <c r="B1508" s="1" t="s">
        <v>10104</v>
      </c>
      <c r="C1508" s="1" t="s">
        <v>10105</v>
      </c>
      <c r="D1508" s="1" t="s">
        <v>10106</v>
      </c>
      <c r="E1508" s="1" t="s">
        <v>10107</v>
      </c>
      <c r="F1508" s="1" t="s">
        <v>10108</v>
      </c>
      <c r="G1508" s="1" t="s">
        <v>10109</v>
      </c>
    </row>
    <row r="1509" spans="1:7" x14ac:dyDescent="0.2">
      <c r="A1509" s="1" t="s">
        <v>10110</v>
      </c>
      <c r="B1509" s="1" t="s">
        <v>10111</v>
      </c>
      <c r="C1509" s="1" t="s">
        <v>10112</v>
      </c>
      <c r="D1509" s="1" t="s">
        <v>10113</v>
      </c>
      <c r="E1509" s="1" t="s">
        <v>10114</v>
      </c>
      <c r="F1509" s="1" t="s">
        <v>10115</v>
      </c>
      <c r="G1509" s="1" t="s">
        <v>10116</v>
      </c>
    </row>
    <row r="1510" spans="1:7" x14ac:dyDescent="0.2">
      <c r="A1510" s="1" t="s">
        <v>10117</v>
      </c>
      <c r="B1510" s="1" t="s">
        <v>10118</v>
      </c>
      <c r="C1510" s="1" t="s">
        <v>10119</v>
      </c>
      <c r="D1510" s="1" t="s">
        <v>10120</v>
      </c>
      <c r="E1510" s="1" t="s">
        <v>10121</v>
      </c>
      <c r="F1510" s="1" t="s">
        <v>10122</v>
      </c>
      <c r="G1510" s="1" t="s">
        <v>10123</v>
      </c>
    </row>
    <row r="1511" spans="1:7" x14ac:dyDescent="0.2">
      <c r="A1511" s="1" t="s">
        <v>10124</v>
      </c>
      <c r="B1511" s="1" t="s">
        <v>10125</v>
      </c>
      <c r="C1511" s="1" t="s">
        <v>10126</v>
      </c>
      <c r="D1511" s="1" t="s">
        <v>9932</v>
      </c>
      <c r="E1511" s="1" t="s">
        <v>10127</v>
      </c>
      <c r="F1511" s="1" t="s">
        <v>10128</v>
      </c>
      <c r="G1511" s="1" t="s">
        <v>10129</v>
      </c>
    </row>
    <row r="1512" spans="1:7" x14ac:dyDescent="0.2">
      <c r="A1512" s="1" t="s">
        <v>10130</v>
      </c>
      <c r="B1512" s="1" t="s">
        <v>10131</v>
      </c>
      <c r="C1512" s="1" t="s">
        <v>10132</v>
      </c>
      <c r="D1512" s="1" t="s">
        <v>10133</v>
      </c>
      <c r="E1512" s="1" t="s">
        <v>10134</v>
      </c>
      <c r="F1512" s="1" t="s">
        <v>10135</v>
      </c>
      <c r="G1512" s="1" t="s">
        <v>10136</v>
      </c>
    </row>
    <row r="1513" spans="1:7" x14ac:dyDescent="0.2">
      <c r="A1513" s="1" t="s">
        <v>10137</v>
      </c>
      <c r="B1513" s="1" t="s">
        <v>10131</v>
      </c>
      <c r="C1513" s="1" t="s">
        <v>10132</v>
      </c>
      <c r="D1513" s="1" t="s">
        <v>10138</v>
      </c>
      <c r="E1513" s="1" t="s">
        <v>10139</v>
      </c>
      <c r="F1513" s="1" t="s">
        <v>10140</v>
      </c>
      <c r="G1513" s="1" t="s">
        <v>10141</v>
      </c>
    </row>
    <row r="1514" spans="1:7" x14ac:dyDescent="0.2">
      <c r="A1514" s="1" t="s">
        <v>10142</v>
      </c>
      <c r="B1514" s="1" t="s">
        <v>10143</v>
      </c>
      <c r="C1514" s="1" t="s">
        <v>10144</v>
      </c>
      <c r="D1514" s="1" t="s">
        <v>10145</v>
      </c>
      <c r="E1514" s="1" t="s">
        <v>10146</v>
      </c>
      <c r="F1514" s="1" t="s">
        <v>10147</v>
      </c>
      <c r="G1514" s="1" t="s">
        <v>10148</v>
      </c>
    </row>
    <row r="1515" spans="1:7" x14ac:dyDescent="0.2">
      <c r="A1515" s="1" t="s">
        <v>10149</v>
      </c>
      <c r="B1515" s="1" t="s">
        <v>10150</v>
      </c>
      <c r="C1515" s="1" t="s">
        <v>10151</v>
      </c>
      <c r="D1515" s="1" t="s">
        <v>10152</v>
      </c>
      <c r="E1515" s="1" t="s">
        <v>10153</v>
      </c>
      <c r="F1515" s="1" t="s">
        <v>10154</v>
      </c>
      <c r="G1515" s="1" t="s">
        <v>10155</v>
      </c>
    </row>
    <row r="1516" spans="1:7" x14ac:dyDescent="0.2">
      <c r="A1516" s="1" t="s">
        <v>10156</v>
      </c>
      <c r="B1516" s="1" t="s">
        <v>10157</v>
      </c>
      <c r="C1516" s="1" t="s">
        <v>10158</v>
      </c>
      <c r="D1516" s="1" t="s">
        <v>10159</v>
      </c>
      <c r="E1516" s="1" t="s">
        <v>10160</v>
      </c>
      <c r="F1516" s="1" t="s">
        <v>10161</v>
      </c>
      <c r="G1516" s="1" t="s">
        <v>10162</v>
      </c>
    </row>
    <row r="1517" spans="1:7" x14ac:dyDescent="0.2">
      <c r="A1517" s="1" t="s">
        <v>10163</v>
      </c>
      <c r="B1517" s="1" t="s">
        <v>10164</v>
      </c>
      <c r="C1517" s="1" t="s">
        <v>10165</v>
      </c>
      <c r="D1517" s="1" t="s">
        <v>10166</v>
      </c>
      <c r="E1517" s="1" t="s">
        <v>10167</v>
      </c>
      <c r="F1517" s="1" t="s">
        <v>10168</v>
      </c>
      <c r="G1517" s="1" t="s">
        <v>10169</v>
      </c>
    </row>
    <row r="1518" spans="1:7" x14ac:dyDescent="0.2">
      <c r="A1518" s="1" t="s">
        <v>10170</v>
      </c>
      <c r="B1518" s="1" t="s">
        <v>10171</v>
      </c>
      <c r="C1518" s="1" t="s">
        <v>10172</v>
      </c>
      <c r="D1518" s="1" t="s">
        <v>10173</v>
      </c>
      <c r="E1518" s="1" t="s">
        <v>10174</v>
      </c>
      <c r="F1518" s="1" t="s">
        <v>10175</v>
      </c>
      <c r="G1518" s="1" t="s">
        <v>10176</v>
      </c>
    </row>
    <row r="1519" spans="1:7" x14ac:dyDescent="0.2">
      <c r="A1519" s="1" t="s">
        <v>10177</v>
      </c>
      <c r="B1519" s="1" t="s">
        <v>10178</v>
      </c>
      <c r="C1519" s="1" t="s">
        <v>10179</v>
      </c>
      <c r="D1519" s="1" t="s">
        <v>10180</v>
      </c>
      <c r="E1519" s="1" t="s">
        <v>10181</v>
      </c>
      <c r="F1519" s="1" t="s">
        <v>10182</v>
      </c>
      <c r="G1519" s="1" t="s">
        <v>10183</v>
      </c>
    </row>
    <row r="1520" spans="1:7" x14ac:dyDescent="0.2">
      <c r="A1520" s="1" t="s">
        <v>10184</v>
      </c>
      <c r="B1520" s="1" t="s">
        <v>10185</v>
      </c>
      <c r="C1520" s="1" t="s">
        <v>10186</v>
      </c>
      <c r="D1520" s="1" t="s">
        <v>10187</v>
      </c>
      <c r="E1520" s="1" t="s">
        <v>10188</v>
      </c>
      <c r="F1520" s="1" t="s">
        <v>10189</v>
      </c>
      <c r="G1520" s="1" t="s">
        <v>10190</v>
      </c>
    </row>
    <row r="1521" spans="1:7" x14ac:dyDescent="0.2">
      <c r="A1521" s="1" t="s">
        <v>10191</v>
      </c>
      <c r="B1521" s="1" t="s">
        <v>10192</v>
      </c>
      <c r="C1521" s="1" t="s">
        <v>10193</v>
      </c>
      <c r="D1521" s="1" t="s">
        <v>10194</v>
      </c>
      <c r="E1521" s="1" t="s">
        <v>10195</v>
      </c>
      <c r="F1521" s="1" t="s">
        <v>10196</v>
      </c>
      <c r="G1521" s="1" t="s">
        <v>10197</v>
      </c>
    </row>
    <row r="1522" spans="1:7" x14ac:dyDescent="0.2">
      <c r="A1522" s="1" t="s">
        <v>10198</v>
      </c>
      <c r="B1522" s="1" t="s">
        <v>10199</v>
      </c>
      <c r="C1522" s="1" t="s">
        <v>10200</v>
      </c>
      <c r="D1522" s="1" t="s">
        <v>10201</v>
      </c>
      <c r="E1522" s="1" t="s">
        <v>10202</v>
      </c>
      <c r="F1522" s="1" t="s">
        <v>10203</v>
      </c>
      <c r="G1522" s="1" t="s">
        <v>10204</v>
      </c>
    </row>
    <row r="1523" spans="1:7" x14ac:dyDescent="0.2">
      <c r="A1523" s="1" t="s">
        <v>10205</v>
      </c>
      <c r="B1523" s="1" t="s">
        <v>10206</v>
      </c>
      <c r="C1523" s="1" t="s">
        <v>10207</v>
      </c>
      <c r="D1523" s="1" t="s">
        <v>10208</v>
      </c>
      <c r="E1523" s="1" t="s">
        <v>10209</v>
      </c>
      <c r="F1523" s="1" t="s">
        <v>10210</v>
      </c>
      <c r="G1523" s="1" t="s">
        <v>10211</v>
      </c>
    </row>
    <row r="1524" spans="1:7" x14ac:dyDescent="0.2">
      <c r="A1524" s="1" t="s">
        <v>10212</v>
      </c>
      <c r="B1524" s="1" t="s">
        <v>10213</v>
      </c>
      <c r="C1524" s="1" t="s">
        <v>10214</v>
      </c>
      <c r="D1524" s="1" t="s">
        <v>10215</v>
      </c>
      <c r="E1524" s="1" t="s">
        <v>10216</v>
      </c>
      <c r="F1524" s="1" t="s">
        <v>10217</v>
      </c>
      <c r="G1524" s="1" t="s">
        <v>10218</v>
      </c>
    </row>
    <row r="1525" spans="1:7" x14ac:dyDescent="0.2">
      <c r="A1525" s="1" t="s">
        <v>10219</v>
      </c>
      <c r="B1525" s="1" t="s">
        <v>10220</v>
      </c>
      <c r="C1525" s="1" t="s">
        <v>10221</v>
      </c>
      <c r="D1525" s="1" t="s">
        <v>10222</v>
      </c>
      <c r="E1525" s="1" t="s">
        <v>10223</v>
      </c>
      <c r="F1525" s="1" t="s">
        <v>10224</v>
      </c>
      <c r="G1525" s="1" t="s">
        <v>10225</v>
      </c>
    </row>
    <row r="1526" spans="1:7" x14ac:dyDescent="0.2">
      <c r="A1526" s="1" t="s">
        <v>10226</v>
      </c>
      <c r="B1526" s="1" t="s">
        <v>10227</v>
      </c>
      <c r="C1526" s="1" t="s">
        <v>10228</v>
      </c>
      <c r="D1526" s="1" t="s">
        <v>10229</v>
      </c>
      <c r="E1526" s="1" t="s">
        <v>10230</v>
      </c>
      <c r="F1526" s="1" t="s">
        <v>10231</v>
      </c>
      <c r="G1526" s="1" t="s">
        <v>10232</v>
      </c>
    </row>
    <row r="1527" spans="1:7" x14ac:dyDescent="0.2">
      <c r="A1527" s="1" t="s">
        <v>10233</v>
      </c>
      <c r="B1527" s="1" t="s">
        <v>10234</v>
      </c>
      <c r="C1527" s="1" t="s">
        <v>10235</v>
      </c>
      <c r="D1527" s="1" t="s">
        <v>10236</v>
      </c>
      <c r="E1527" s="1" t="s">
        <v>10237</v>
      </c>
      <c r="F1527" s="1" t="s">
        <v>10238</v>
      </c>
      <c r="G1527" s="1" t="s">
        <v>10239</v>
      </c>
    </row>
    <row r="1528" spans="1:7" x14ac:dyDescent="0.2">
      <c r="A1528" s="1" t="s">
        <v>10240</v>
      </c>
      <c r="B1528" s="1" t="s">
        <v>10241</v>
      </c>
      <c r="C1528" s="1" t="s">
        <v>10242</v>
      </c>
      <c r="D1528" s="1" t="s">
        <v>10243</v>
      </c>
      <c r="E1528" s="1" t="s">
        <v>10244</v>
      </c>
      <c r="F1528" s="1" t="s">
        <v>10245</v>
      </c>
      <c r="G1528" s="1" t="s">
        <v>10246</v>
      </c>
    </row>
    <row r="1529" spans="1:7" x14ac:dyDescent="0.2">
      <c r="A1529" s="1" t="s">
        <v>10247</v>
      </c>
      <c r="B1529" s="1" t="s">
        <v>10248</v>
      </c>
      <c r="C1529" s="1" t="s">
        <v>10249</v>
      </c>
      <c r="D1529" s="1" t="s">
        <v>10250</v>
      </c>
      <c r="E1529" s="1" t="s">
        <v>10251</v>
      </c>
      <c r="F1529" s="1" t="s">
        <v>10252</v>
      </c>
      <c r="G1529" s="1" t="s">
        <v>10253</v>
      </c>
    </row>
    <row r="1530" spans="1:7" x14ac:dyDescent="0.2">
      <c r="A1530" s="1" t="s">
        <v>10254</v>
      </c>
      <c r="B1530" s="1" t="s">
        <v>10255</v>
      </c>
      <c r="C1530" s="1" t="s">
        <v>10256</v>
      </c>
      <c r="D1530" s="1" t="s">
        <v>10257</v>
      </c>
      <c r="E1530" s="1" t="s">
        <v>10258</v>
      </c>
      <c r="F1530" s="1" t="s">
        <v>10259</v>
      </c>
      <c r="G1530" s="1" t="s">
        <v>10260</v>
      </c>
    </row>
    <row r="1531" spans="1:7" x14ac:dyDescent="0.2">
      <c r="A1531" s="1" t="s">
        <v>10261</v>
      </c>
      <c r="B1531" s="1" t="s">
        <v>10262</v>
      </c>
      <c r="C1531" s="1" t="s">
        <v>10263</v>
      </c>
      <c r="D1531" s="1" t="s">
        <v>10264</v>
      </c>
      <c r="E1531" s="1" t="s">
        <v>10265</v>
      </c>
      <c r="F1531" s="1" t="s">
        <v>10266</v>
      </c>
      <c r="G1531" s="1" t="s">
        <v>10267</v>
      </c>
    </row>
    <row r="1532" spans="1:7" x14ac:dyDescent="0.2">
      <c r="A1532" s="1" t="s">
        <v>10268</v>
      </c>
      <c r="B1532" s="1" t="s">
        <v>10269</v>
      </c>
      <c r="C1532" s="1" t="s">
        <v>10270</v>
      </c>
      <c r="D1532" s="1" t="s">
        <v>10271</v>
      </c>
      <c r="E1532" s="1" t="s">
        <v>10272</v>
      </c>
      <c r="F1532" s="1" t="s">
        <v>10273</v>
      </c>
      <c r="G1532" s="1" t="s">
        <v>10274</v>
      </c>
    </row>
    <row r="1533" spans="1:7" x14ac:dyDescent="0.2">
      <c r="A1533" s="1" t="s">
        <v>10275</v>
      </c>
      <c r="B1533" s="1" t="s">
        <v>10276</v>
      </c>
      <c r="C1533" s="1" t="s">
        <v>10277</v>
      </c>
      <c r="D1533" s="1" t="s">
        <v>10278</v>
      </c>
      <c r="E1533" s="1" t="s">
        <v>10279</v>
      </c>
      <c r="F1533" s="1" t="s">
        <v>10280</v>
      </c>
      <c r="G1533" s="1" t="s">
        <v>10281</v>
      </c>
    </row>
    <row r="1534" spans="1:7" x14ac:dyDescent="0.2">
      <c r="A1534" s="1" t="s">
        <v>10282</v>
      </c>
      <c r="B1534" s="1" t="s">
        <v>10283</v>
      </c>
      <c r="C1534" s="1" t="s">
        <v>10284</v>
      </c>
      <c r="D1534" s="1" t="s">
        <v>10285</v>
      </c>
      <c r="E1534" s="1" t="s">
        <v>10286</v>
      </c>
      <c r="F1534" s="1" t="s">
        <v>10287</v>
      </c>
      <c r="G1534" s="1" t="s">
        <v>10288</v>
      </c>
    </row>
    <row r="1535" spans="1:7" x14ac:dyDescent="0.2">
      <c r="A1535" s="1" t="s">
        <v>10289</v>
      </c>
      <c r="B1535" s="1" t="s">
        <v>10290</v>
      </c>
      <c r="C1535" s="1" t="s">
        <v>10291</v>
      </c>
      <c r="D1535" s="1" t="s">
        <v>10292</v>
      </c>
      <c r="E1535" s="1" t="s">
        <v>10293</v>
      </c>
      <c r="F1535" s="1" t="s">
        <v>10294</v>
      </c>
      <c r="G1535" s="1" t="s">
        <v>10295</v>
      </c>
    </row>
    <row r="1536" spans="1:7" x14ac:dyDescent="0.2">
      <c r="A1536" s="1" t="s">
        <v>10296</v>
      </c>
      <c r="B1536" s="1" t="s">
        <v>10297</v>
      </c>
      <c r="C1536" s="1" t="s">
        <v>10298</v>
      </c>
      <c r="D1536" s="1" t="s">
        <v>10299</v>
      </c>
      <c r="E1536" s="1" t="s">
        <v>10300</v>
      </c>
      <c r="F1536" s="1" t="s">
        <v>10301</v>
      </c>
      <c r="G1536" s="1" t="s">
        <v>10302</v>
      </c>
    </row>
    <row r="1537" spans="1:7" x14ac:dyDescent="0.2">
      <c r="A1537" s="1" t="s">
        <v>10303</v>
      </c>
      <c r="B1537" s="1" t="s">
        <v>10304</v>
      </c>
      <c r="C1537" s="1" t="s">
        <v>10305</v>
      </c>
      <c r="D1537" s="1" t="s">
        <v>10306</v>
      </c>
      <c r="E1537" s="1" t="s">
        <v>10307</v>
      </c>
      <c r="F1537" s="1" t="s">
        <v>10308</v>
      </c>
      <c r="G1537" s="1" t="s">
        <v>10309</v>
      </c>
    </row>
    <row r="1538" spans="1:7" x14ac:dyDescent="0.2">
      <c r="A1538" s="1" t="s">
        <v>10310</v>
      </c>
      <c r="B1538" s="1" t="s">
        <v>10311</v>
      </c>
      <c r="C1538" s="1" t="s">
        <v>10312</v>
      </c>
      <c r="D1538" s="1" t="s">
        <v>10313</v>
      </c>
      <c r="E1538" s="1" t="s">
        <v>10314</v>
      </c>
      <c r="F1538" s="1" t="s">
        <v>10315</v>
      </c>
      <c r="G1538" s="1" t="s">
        <v>10316</v>
      </c>
    </row>
    <row r="1539" spans="1:7" x14ac:dyDescent="0.2">
      <c r="A1539" s="1" t="s">
        <v>10317</v>
      </c>
      <c r="B1539" s="1" t="s">
        <v>10318</v>
      </c>
      <c r="C1539" s="1" t="s">
        <v>10319</v>
      </c>
      <c r="D1539" s="1" t="s">
        <v>10320</v>
      </c>
      <c r="E1539" s="1" t="s">
        <v>10321</v>
      </c>
      <c r="F1539" s="1" t="s">
        <v>10322</v>
      </c>
      <c r="G1539" s="1" t="s">
        <v>10323</v>
      </c>
    </row>
    <row r="1540" spans="1:7" x14ac:dyDescent="0.2">
      <c r="A1540" s="1" t="s">
        <v>10324</v>
      </c>
      <c r="B1540" s="1" t="s">
        <v>10325</v>
      </c>
      <c r="C1540" s="1" t="s">
        <v>10326</v>
      </c>
      <c r="D1540" s="1" t="s">
        <v>10327</v>
      </c>
      <c r="E1540" s="1" t="s">
        <v>10328</v>
      </c>
      <c r="F1540" s="1" t="s">
        <v>10329</v>
      </c>
      <c r="G1540" s="1" t="s">
        <v>10330</v>
      </c>
    </row>
    <row r="1541" spans="1:7" x14ac:dyDescent="0.2">
      <c r="A1541" s="1" t="s">
        <v>10331</v>
      </c>
      <c r="B1541" s="1" t="s">
        <v>10332</v>
      </c>
      <c r="C1541" s="1" t="s">
        <v>10333</v>
      </c>
      <c r="D1541" s="1" t="s">
        <v>10334</v>
      </c>
      <c r="E1541" s="1" t="s">
        <v>10335</v>
      </c>
      <c r="F1541" s="1" t="s">
        <v>10336</v>
      </c>
      <c r="G1541" s="1" t="s">
        <v>10337</v>
      </c>
    </row>
    <row r="1542" spans="1:7" x14ac:dyDescent="0.2">
      <c r="A1542" s="1" t="s">
        <v>10338</v>
      </c>
      <c r="B1542" s="1" t="s">
        <v>10339</v>
      </c>
      <c r="C1542" s="1" t="s">
        <v>10340</v>
      </c>
      <c r="D1542" s="1" t="s">
        <v>10341</v>
      </c>
      <c r="E1542" s="1" t="s">
        <v>10342</v>
      </c>
      <c r="F1542" s="1" t="s">
        <v>10343</v>
      </c>
      <c r="G1542" s="1" t="s">
        <v>10344</v>
      </c>
    </row>
    <row r="1543" spans="1:7" x14ac:dyDescent="0.2">
      <c r="A1543" s="1" t="s">
        <v>10345</v>
      </c>
      <c r="B1543" s="1" t="s">
        <v>10346</v>
      </c>
      <c r="C1543" s="1" t="s">
        <v>10347</v>
      </c>
      <c r="D1543" s="1" t="s">
        <v>10348</v>
      </c>
      <c r="E1543" s="1" t="s">
        <v>10349</v>
      </c>
      <c r="F1543" s="1" t="s">
        <v>10350</v>
      </c>
      <c r="G1543" s="1" t="s">
        <v>10351</v>
      </c>
    </row>
    <row r="1544" spans="1:7" x14ac:dyDescent="0.2">
      <c r="A1544" s="1" t="s">
        <v>10352</v>
      </c>
      <c r="B1544" s="1" t="s">
        <v>10353</v>
      </c>
      <c r="C1544" s="1" t="s">
        <v>10354</v>
      </c>
      <c r="D1544" s="1" t="s">
        <v>10355</v>
      </c>
      <c r="E1544" s="1" t="s">
        <v>10356</v>
      </c>
      <c r="F1544" s="1" t="s">
        <v>10357</v>
      </c>
      <c r="G1544" s="1" t="s">
        <v>10358</v>
      </c>
    </row>
    <row r="1545" spans="1:7" x14ac:dyDescent="0.2">
      <c r="A1545" s="1" t="s">
        <v>10359</v>
      </c>
      <c r="B1545" s="1" t="s">
        <v>10360</v>
      </c>
      <c r="C1545" s="1" t="s">
        <v>10361</v>
      </c>
      <c r="D1545" s="1" t="s">
        <v>10362</v>
      </c>
      <c r="E1545" s="1" t="s">
        <v>10363</v>
      </c>
      <c r="F1545" s="1" t="s">
        <v>10364</v>
      </c>
      <c r="G1545" s="1" t="s">
        <v>10365</v>
      </c>
    </row>
    <row r="1546" spans="1:7" x14ac:dyDescent="0.2">
      <c r="A1546" s="1" t="s">
        <v>10366</v>
      </c>
      <c r="B1546" s="1" t="s">
        <v>10367</v>
      </c>
      <c r="C1546" s="1" t="s">
        <v>10368</v>
      </c>
      <c r="D1546" s="1" t="s">
        <v>10369</v>
      </c>
      <c r="E1546" s="1" t="s">
        <v>10370</v>
      </c>
      <c r="F1546" s="1" t="s">
        <v>10371</v>
      </c>
      <c r="G1546" s="1" t="s">
        <v>10372</v>
      </c>
    </row>
    <row r="1547" spans="1:7" x14ac:dyDescent="0.2">
      <c r="A1547" s="1" t="s">
        <v>10373</v>
      </c>
      <c r="B1547" s="1" t="s">
        <v>10374</v>
      </c>
      <c r="C1547" s="1" t="s">
        <v>10375</v>
      </c>
      <c r="D1547" s="1" t="s">
        <v>10376</v>
      </c>
      <c r="E1547" s="1" t="s">
        <v>10377</v>
      </c>
      <c r="F1547" s="1" t="s">
        <v>10378</v>
      </c>
      <c r="G1547" s="1" t="s">
        <v>10379</v>
      </c>
    </row>
    <row r="1548" spans="1:7" x14ac:dyDescent="0.2">
      <c r="A1548" s="1" t="s">
        <v>10380</v>
      </c>
      <c r="B1548" s="1" t="s">
        <v>10381</v>
      </c>
      <c r="C1548" s="1" t="s">
        <v>10382</v>
      </c>
      <c r="D1548" s="1" t="s">
        <v>10383</v>
      </c>
      <c r="E1548" s="1" t="s">
        <v>10384</v>
      </c>
      <c r="F1548" s="1" t="s">
        <v>10385</v>
      </c>
      <c r="G1548" s="1" t="s">
        <v>10386</v>
      </c>
    </row>
    <row r="1549" spans="1:7" x14ac:dyDescent="0.2">
      <c r="A1549" s="1" t="s">
        <v>10387</v>
      </c>
      <c r="B1549" s="1" t="s">
        <v>10388</v>
      </c>
      <c r="C1549" s="1" t="s">
        <v>10389</v>
      </c>
      <c r="D1549" s="1" t="s">
        <v>10390</v>
      </c>
      <c r="E1549" s="1" t="s">
        <v>10391</v>
      </c>
      <c r="F1549" s="1" t="s">
        <v>10392</v>
      </c>
      <c r="G1549" s="1" t="s">
        <v>10393</v>
      </c>
    </row>
    <row r="1550" spans="1:7" x14ac:dyDescent="0.2">
      <c r="A1550" s="1" t="s">
        <v>10394</v>
      </c>
      <c r="B1550" s="1" t="s">
        <v>10395</v>
      </c>
      <c r="C1550" s="1" t="s">
        <v>10396</v>
      </c>
      <c r="D1550" s="1" t="s">
        <v>10397</v>
      </c>
      <c r="E1550" s="1" t="s">
        <v>10398</v>
      </c>
      <c r="F1550" s="1" t="s">
        <v>10399</v>
      </c>
      <c r="G1550" s="1" t="s">
        <v>10400</v>
      </c>
    </row>
    <row r="1551" spans="1:7" x14ac:dyDescent="0.2">
      <c r="A1551" s="1" t="s">
        <v>10401</v>
      </c>
      <c r="B1551" s="1" t="s">
        <v>10402</v>
      </c>
      <c r="C1551" s="1" t="s">
        <v>10403</v>
      </c>
      <c r="D1551" s="1" t="s">
        <v>10404</v>
      </c>
      <c r="E1551" s="1" t="s">
        <v>10405</v>
      </c>
      <c r="F1551" s="1" t="s">
        <v>10406</v>
      </c>
      <c r="G1551" s="1" t="s">
        <v>10407</v>
      </c>
    </row>
    <row r="1552" spans="1:7" x14ac:dyDescent="0.2">
      <c r="A1552" s="1" t="s">
        <v>10408</v>
      </c>
      <c r="B1552" s="1" t="s">
        <v>10409</v>
      </c>
      <c r="C1552" s="1" t="s">
        <v>10410</v>
      </c>
      <c r="D1552" s="1" t="s">
        <v>10411</v>
      </c>
      <c r="E1552" s="1" t="s">
        <v>10412</v>
      </c>
      <c r="F1552" s="1" t="s">
        <v>10413</v>
      </c>
      <c r="G1552" s="1" t="s">
        <v>10414</v>
      </c>
    </row>
    <row r="1553" spans="1:7" x14ac:dyDescent="0.2">
      <c r="A1553" s="1" t="s">
        <v>10415</v>
      </c>
      <c r="B1553" s="1" t="s">
        <v>10416</v>
      </c>
      <c r="C1553" s="1" t="s">
        <v>10417</v>
      </c>
      <c r="D1553" s="1" t="s">
        <v>10418</v>
      </c>
      <c r="E1553" s="1" t="s">
        <v>10419</v>
      </c>
      <c r="F1553" s="1" t="s">
        <v>10420</v>
      </c>
      <c r="G1553" s="1" t="s">
        <v>10421</v>
      </c>
    </row>
    <row r="1554" spans="1:7" x14ac:dyDescent="0.2">
      <c r="A1554" s="1" t="s">
        <v>10422</v>
      </c>
      <c r="B1554" s="1" t="s">
        <v>10423</v>
      </c>
      <c r="C1554" s="1" t="s">
        <v>10424</v>
      </c>
      <c r="D1554" s="1" t="s">
        <v>10425</v>
      </c>
      <c r="E1554" s="1" t="s">
        <v>10426</v>
      </c>
      <c r="F1554" s="1" t="s">
        <v>10427</v>
      </c>
      <c r="G1554" s="1" t="s">
        <v>10428</v>
      </c>
    </row>
    <row r="1555" spans="1:7" x14ac:dyDescent="0.2">
      <c r="A1555" s="1" t="s">
        <v>10429</v>
      </c>
      <c r="B1555" s="1" t="s">
        <v>10430</v>
      </c>
      <c r="C1555" s="1" t="s">
        <v>10431</v>
      </c>
      <c r="D1555" s="1" t="s">
        <v>10432</v>
      </c>
      <c r="E1555" s="1" t="s">
        <v>10433</v>
      </c>
      <c r="F1555" s="1" t="s">
        <v>10434</v>
      </c>
      <c r="G1555" s="1" t="s">
        <v>10435</v>
      </c>
    </row>
    <row r="1556" spans="1:7" x14ac:dyDescent="0.2">
      <c r="A1556" s="1" t="s">
        <v>10436</v>
      </c>
      <c r="B1556" s="1" t="s">
        <v>10437</v>
      </c>
      <c r="C1556" s="1" t="s">
        <v>10438</v>
      </c>
      <c r="D1556" s="1" t="s">
        <v>10439</v>
      </c>
      <c r="E1556" s="1" t="s">
        <v>10440</v>
      </c>
      <c r="F1556" s="1" t="s">
        <v>10441</v>
      </c>
      <c r="G1556" s="1" t="s">
        <v>10442</v>
      </c>
    </row>
    <row r="1557" spans="1:7" x14ac:dyDescent="0.2">
      <c r="A1557" s="1" t="s">
        <v>10443</v>
      </c>
      <c r="B1557" s="1" t="s">
        <v>10444</v>
      </c>
      <c r="C1557" s="1" t="s">
        <v>10445</v>
      </c>
      <c r="D1557" s="1" t="s">
        <v>10446</v>
      </c>
      <c r="E1557" s="1" t="s">
        <v>10447</v>
      </c>
      <c r="F1557" s="1" t="s">
        <v>10448</v>
      </c>
      <c r="G1557" s="1" t="s">
        <v>10449</v>
      </c>
    </row>
    <row r="1558" spans="1:7" x14ac:dyDescent="0.2">
      <c r="A1558" s="1" t="s">
        <v>10450</v>
      </c>
      <c r="B1558" s="1" t="s">
        <v>10451</v>
      </c>
      <c r="C1558" s="1" t="s">
        <v>10452</v>
      </c>
      <c r="D1558" s="1" t="s">
        <v>10453</v>
      </c>
      <c r="E1558" s="1" t="s">
        <v>10454</v>
      </c>
      <c r="F1558" s="1" t="s">
        <v>10455</v>
      </c>
      <c r="G1558" s="1" t="s">
        <v>10456</v>
      </c>
    </row>
    <row r="1559" spans="1:7" x14ac:dyDescent="0.2">
      <c r="A1559" s="1" t="s">
        <v>10457</v>
      </c>
      <c r="B1559" s="1" t="s">
        <v>10458</v>
      </c>
      <c r="C1559" s="1" t="s">
        <v>10459</v>
      </c>
      <c r="D1559" s="1" t="s">
        <v>10460</v>
      </c>
      <c r="E1559" s="1" t="s">
        <v>10461</v>
      </c>
      <c r="F1559" s="1" t="s">
        <v>10462</v>
      </c>
      <c r="G1559" s="1" t="s">
        <v>10463</v>
      </c>
    </row>
    <row r="1560" spans="1:7" x14ac:dyDescent="0.2">
      <c r="A1560" s="1" t="s">
        <v>10464</v>
      </c>
      <c r="B1560" s="1" t="s">
        <v>10465</v>
      </c>
      <c r="C1560" s="1" t="s">
        <v>10466</v>
      </c>
      <c r="D1560" s="1" t="s">
        <v>10467</v>
      </c>
      <c r="E1560" s="1" t="s">
        <v>10468</v>
      </c>
      <c r="F1560" s="1" t="s">
        <v>10469</v>
      </c>
      <c r="G1560" s="1" t="s">
        <v>10470</v>
      </c>
    </row>
    <row r="1561" spans="1:7" x14ac:dyDescent="0.2">
      <c r="A1561" s="1" t="s">
        <v>10471</v>
      </c>
      <c r="B1561" s="1" t="s">
        <v>10472</v>
      </c>
      <c r="C1561" s="1" t="s">
        <v>10473</v>
      </c>
      <c r="D1561" s="1" t="s">
        <v>10474</v>
      </c>
      <c r="E1561" s="1" t="s">
        <v>10475</v>
      </c>
      <c r="F1561" s="1" t="s">
        <v>10476</v>
      </c>
      <c r="G1561" s="1" t="s">
        <v>10477</v>
      </c>
    </row>
    <row r="1562" spans="1:7" x14ac:dyDescent="0.2">
      <c r="A1562" s="1" t="s">
        <v>10478</v>
      </c>
      <c r="B1562" s="1" t="s">
        <v>10479</v>
      </c>
      <c r="C1562" s="1" t="s">
        <v>10480</v>
      </c>
      <c r="D1562" s="1" t="s">
        <v>10481</v>
      </c>
      <c r="E1562" s="1" t="s">
        <v>10482</v>
      </c>
      <c r="F1562" s="1" t="s">
        <v>10483</v>
      </c>
      <c r="G1562" s="1" t="s">
        <v>10484</v>
      </c>
    </row>
    <row r="1563" spans="1:7" x14ac:dyDescent="0.2">
      <c r="A1563" s="1" t="s">
        <v>10485</v>
      </c>
      <c r="B1563" s="1" t="s">
        <v>10486</v>
      </c>
      <c r="C1563" s="1" t="s">
        <v>10487</v>
      </c>
      <c r="D1563" s="1" t="s">
        <v>10488</v>
      </c>
      <c r="E1563" s="1" t="s">
        <v>10489</v>
      </c>
      <c r="F1563" s="1" t="s">
        <v>10490</v>
      </c>
      <c r="G1563" s="1" t="s">
        <v>10491</v>
      </c>
    </row>
    <row r="1564" spans="1:7" x14ac:dyDescent="0.2">
      <c r="A1564" s="1" t="s">
        <v>10492</v>
      </c>
      <c r="B1564" s="1" t="s">
        <v>10493</v>
      </c>
      <c r="C1564" s="1" t="s">
        <v>10494</v>
      </c>
      <c r="D1564" s="1" t="s">
        <v>10495</v>
      </c>
      <c r="E1564" s="1" t="s">
        <v>10496</v>
      </c>
      <c r="F1564" s="1" t="s">
        <v>10497</v>
      </c>
      <c r="G1564" s="1" t="s">
        <v>10498</v>
      </c>
    </row>
    <row r="1565" spans="1:7" x14ac:dyDescent="0.2">
      <c r="A1565" s="1" t="s">
        <v>10499</v>
      </c>
      <c r="B1565" s="1" t="s">
        <v>10500</v>
      </c>
      <c r="C1565" s="1" t="s">
        <v>10501</v>
      </c>
      <c r="D1565" s="1" t="s">
        <v>10502</v>
      </c>
      <c r="E1565" s="1" t="s">
        <v>10503</v>
      </c>
      <c r="F1565" s="1" t="s">
        <v>10504</v>
      </c>
      <c r="G1565" s="1" t="s">
        <v>10505</v>
      </c>
    </row>
    <row r="1566" spans="1:7" x14ac:dyDescent="0.2">
      <c r="A1566" s="1" t="s">
        <v>10506</v>
      </c>
      <c r="B1566" s="1" t="s">
        <v>10507</v>
      </c>
      <c r="C1566" s="1" t="s">
        <v>10508</v>
      </c>
      <c r="D1566" s="1" t="s">
        <v>10509</v>
      </c>
      <c r="E1566" s="1" t="s">
        <v>10510</v>
      </c>
      <c r="F1566" s="1" t="s">
        <v>10511</v>
      </c>
      <c r="G1566" s="1" t="s">
        <v>10512</v>
      </c>
    </row>
    <row r="1567" spans="1:7" x14ac:dyDescent="0.2">
      <c r="A1567" s="1" t="s">
        <v>10513</v>
      </c>
      <c r="B1567" s="1" t="s">
        <v>10514</v>
      </c>
      <c r="C1567" s="1" t="s">
        <v>10515</v>
      </c>
      <c r="D1567" s="1" t="s">
        <v>10516</v>
      </c>
      <c r="E1567" s="1" t="s">
        <v>10517</v>
      </c>
      <c r="F1567" s="1" t="s">
        <v>10518</v>
      </c>
      <c r="G1567" s="1" t="s">
        <v>10519</v>
      </c>
    </row>
    <row r="1568" spans="1:7" x14ac:dyDescent="0.2">
      <c r="A1568" s="1" t="s">
        <v>10520</v>
      </c>
      <c r="B1568" s="1" t="s">
        <v>10521</v>
      </c>
      <c r="C1568" s="1" t="s">
        <v>10522</v>
      </c>
      <c r="D1568" s="1" t="s">
        <v>10523</v>
      </c>
      <c r="E1568" s="1" t="s">
        <v>10524</v>
      </c>
      <c r="F1568" s="1" t="s">
        <v>10525</v>
      </c>
      <c r="G1568" s="1" t="s">
        <v>10526</v>
      </c>
    </row>
    <row r="1569" spans="1:7" x14ac:dyDescent="0.2">
      <c r="A1569" s="1" t="s">
        <v>10527</v>
      </c>
      <c r="B1569" s="1" t="s">
        <v>10528</v>
      </c>
      <c r="C1569" s="1" t="s">
        <v>10529</v>
      </c>
      <c r="D1569" s="1" t="s">
        <v>10530</v>
      </c>
      <c r="E1569" s="1" t="s">
        <v>10531</v>
      </c>
      <c r="F1569" s="1" t="s">
        <v>10532</v>
      </c>
      <c r="G1569" s="1" t="s">
        <v>10533</v>
      </c>
    </row>
    <row r="1570" spans="1:7" x14ac:dyDescent="0.2">
      <c r="A1570" s="1" t="s">
        <v>10534</v>
      </c>
      <c r="B1570" s="1" t="s">
        <v>10535</v>
      </c>
      <c r="C1570" s="1" t="s">
        <v>10536</v>
      </c>
      <c r="D1570" s="1" t="s">
        <v>10537</v>
      </c>
      <c r="E1570" s="1" t="s">
        <v>10538</v>
      </c>
      <c r="F1570" s="1" t="s">
        <v>10539</v>
      </c>
      <c r="G1570" s="1" t="s">
        <v>10540</v>
      </c>
    </row>
    <row r="1571" spans="1:7" x14ac:dyDescent="0.2">
      <c r="A1571" s="1" t="s">
        <v>10541</v>
      </c>
      <c r="B1571" s="1" t="s">
        <v>10542</v>
      </c>
      <c r="C1571" s="1" t="s">
        <v>10543</v>
      </c>
      <c r="D1571" s="1" t="s">
        <v>10544</v>
      </c>
      <c r="E1571" s="1" t="s">
        <v>10545</v>
      </c>
      <c r="F1571" s="1" t="s">
        <v>10546</v>
      </c>
      <c r="G1571" s="1" t="s">
        <v>10547</v>
      </c>
    </row>
    <row r="1572" spans="1:7" x14ac:dyDescent="0.2">
      <c r="A1572" s="1" t="s">
        <v>10548</v>
      </c>
      <c r="B1572" s="1" t="s">
        <v>10549</v>
      </c>
      <c r="C1572" s="1" t="s">
        <v>10550</v>
      </c>
      <c r="D1572" s="1" t="s">
        <v>10551</v>
      </c>
      <c r="E1572" s="1" t="s">
        <v>10552</v>
      </c>
      <c r="F1572" s="1" t="s">
        <v>10553</v>
      </c>
      <c r="G1572" s="1" t="s">
        <v>10554</v>
      </c>
    </row>
    <row r="1573" spans="1:7" x14ac:dyDescent="0.2">
      <c r="A1573" s="1" t="s">
        <v>10555</v>
      </c>
      <c r="B1573" s="1" t="s">
        <v>10556</v>
      </c>
      <c r="C1573" s="1" t="s">
        <v>10557</v>
      </c>
      <c r="D1573" s="1" t="s">
        <v>10558</v>
      </c>
      <c r="E1573" s="1" t="s">
        <v>10559</v>
      </c>
      <c r="F1573" s="1" t="s">
        <v>10560</v>
      </c>
      <c r="G1573" s="1" t="s">
        <v>10561</v>
      </c>
    </row>
    <row r="1574" spans="1:7" x14ac:dyDescent="0.2">
      <c r="A1574" s="1" t="s">
        <v>10562</v>
      </c>
      <c r="B1574" s="1" t="s">
        <v>10563</v>
      </c>
      <c r="C1574" s="1" t="s">
        <v>10564</v>
      </c>
      <c r="D1574" s="1" t="s">
        <v>10565</v>
      </c>
      <c r="E1574" s="1" t="s">
        <v>10566</v>
      </c>
      <c r="F1574" s="1" t="s">
        <v>10567</v>
      </c>
      <c r="G1574" s="1" t="s">
        <v>10568</v>
      </c>
    </row>
    <row r="1575" spans="1:7" x14ac:dyDescent="0.2">
      <c r="A1575" s="1" t="s">
        <v>10569</v>
      </c>
      <c r="B1575" s="1" t="s">
        <v>10570</v>
      </c>
      <c r="C1575" s="1" t="s">
        <v>10571</v>
      </c>
      <c r="D1575" s="1" t="s">
        <v>10572</v>
      </c>
      <c r="E1575" s="1" t="s">
        <v>10573</v>
      </c>
      <c r="F1575" s="1" t="s">
        <v>10574</v>
      </c>
      <c r="G1575" s="1" t="s">
        <v>10575</v>
      </c>
    </row>
    <row r="1576" spans="1:7" x14ac:dyDescent="0.2">
      <c r="A1576" s="1" t="s">
        <v>10576</v>
      </c>
      <c r="B1576" s="1" t="s">
        <v>10577</v>
      </c>
      <c r="C1576" s="1" t="s">
        <v>10578</v>
      </c>
      <c r="D1576" s="1" t="s">
        <v>10579</v>
      </c>
      <c r="E1576" s="1" t="s">
        <v>10580</v>
      </c>
      <c r="F1576" s="1" t="s">
        <v>10581</v>
      </c>
      <c r="G1576" s="1" t="s">
        <v>10582</v>
      </c>
    </row>
    <row r="1577" spans="1:7" x14ac:dyDescent="0.2">
      <c r="A1577" s="1" t="s">
        <v>10583</v>
      </c>
      <c r="B1577" s="1" t="s">
        <v>10584</v>
      </c>
      <c r="C1577" s="1" t="s">
        <v>10585</v>
      </c>
      <c r="D1577" s="1" t="s">
        <v>10586</v>
      </c>
      <c r="E1577" s="1" t="s">
        <v>10587</v>
      </c>
      <c r="F1577" s="1" t="s">
        <v>10588</v>
      </c>
      <c r="G1577" s="1" t="s">
        <v>10589</v>
      </c>
    </row>
    <row r="1578" spans="1:7" x14ac:dyDescent="0.2">
      <c r="A1578" s="1" t="s">
        <v>10590</v>
      </c>
      <c r="B1578" s="1" t="s">
        <v>10591</v>
      </c>
      <c r="C1578" s="1" t="s">
        <v>10592</v>
      </c>
      <c r="D1578" s="1" t="s">
        <v>10593</v>
      </c>
      <c r="E1578" s="1" t="s">
        <v>10594</v>
      </c>
      <c r="F1578" s="1" t="s">
        <v>10595</v>
      </c>
      <c r="G1578" s="1" t="s">
        <v>10596</v>
      </c>
    </row>
    <row r="1579" spans="1:7" x14ac:dyDescent="0.2">
      <c r="A1579" s="1" t="s">
        <v>10597</v>
      </c>
      <c r="B1579" s="1" t="s">
        <v>10598</v>
      </c>
      <c r="C1579" s="1" t="s">
        <v>10599</v>
      </c>
      <c r="D1579" s="1" t="s">
        <v>10600</v>
      </c>
      <c r="E1579" s="1" t="s">
        <v>10601</v>
      </c>
      <c r="F1579" s="1" t="s">
        <v>10602</v>
      </c>
      <c r="G1579" s="1" t="s">
        <v>10603</v>
      </c>
    </row>
    <row r="1580" spans="1:7" x14ac:dyDescent="0.2">
      <c r="A1580" s="1" t="s">
        <v>10604</v>
      </c>
      <c r="B1580" s="1" t="s">
        <v>10605</v>
      </c>
      <c r="C1580" s="1" t="s">
        <v>10606</v>
      </c>
      <c r="D1580" s="1" t="s">
        <v>10607</v>
      </c>
      <c r="E1580" s="1" t="s">
        <v>10608</v>
      </c>
      <c r="F1580" s="1" t="s">
        <v>10452</v>
      </c>
      <c r="G1580" s="1" t="s">
        <v>10609</v>
      </c>
    </row>
    <row r="1581" spans="1:7" x14ac:dyDescent="0.2">
      <c r="A1581" s="1" t="s">
        <v>10610</v>
      </c>
      <c r="B1581" s="1" t="s">
        <v>10611</v>
      </c>
      <c r="C1581" s="1" t="s">
        <v>10612</v>
      </c>
      <c r="D1581" s="1" t="s">
        <v>10613</v>
      </c>
      <c r="E1581" s="1" t="s">
        <v>10614</v>
      </c>
      <c r="F1581" s="1" t="s">
        <v>10615</v>
      </c>
      <c r="G1581" s="1" t="s">
        <v>10616</v>
      </c>
    </row>
    <row r="1582" spans="1:7" x14ac:dyDescent="0.2">
      <c r="A1582" s="1" t="s">
        <v>10617</v>
      </c>
      <c r="B1582" s="1" t="s">
        <v>10618</v>
      </c>
      <c r="C1582" s="1" t="s">
        <v>10619</v>
      </c>
      <c r="D1582" s="1" t="s">
        <v>10620</v>
      </c>
      <c r="E1582" s="1" t="s">
        <v>10621</v>
      </c>
      <c r="F1582" s="1" t="s">
        <v>10622</v>
      </c>
      <c r="G1582" s="1" t="s">
        <v>10623</v>
      </c>
    </row>
    <row r="1583" spans="1:7" x14ac:dyDescent="0.2">
      <c r="A1583" s="1" t="s">
        <v>10624</v>
      </c>
      <c r="B1583" s="1" t="s">
        <v>10625</v>
      </c>
      <c r="C1583" s="1" t="s">
        <v>10626</v>
      </c>
      <c r="D1583" s="1" t="s">
        <v>10627</v>
      </c>
      <c r="E1583" s="1" t="s">
        <v>10628</v>
      </c>
      <c r="F1583" s="1" t="s">
        <v>10629</v>
      </c>
      <c r="G1583" s="1" t="s">
        <v>10630</v>
      </c>
    </row>
    <row r="1584" spans="1:7" x14ac:dyDescent="0.2">
      <c r="A1584" s="1" t="s">
        <v>10631</v>
      </c>
      <c r="B1584" s="1" t="s">
        <v>10632</v>
      </c>
      <c r="C1584" s="1" t="s">
        <v>10633</v>
      </c>
      <c r="D1584" s="1" t="s">
        <v>10634</v>
      </c>
      <c r="E1584" s="1" t="s">
        <v>10635</v>
      </c>
      <c r="F1584" s="1" t="s">
        <v>10636</v>
      </c>
      <c r="G1584" s="1" t="s">
        <v>10637</v>
      </c>
    </row>
    <row r="1585" spans="1:7" x14ac:dyDescent="0.2">
      <c r="A1585" s="1" t="s">
        <v>10638</v>
      </c>
      <c r="B1585" s="1" t="s">
        <v>10639</v>
      </c>
      <c r="C1585" s="1" t="s">
        <v>10640</v>
      </c>
      <c r="D1585" s="1" t="s">
        <v>10641</v>
      </c>
      <c r="E1585" s="1" t="s">
        <v>10642</v>
      </c>
      <c r="F1585" s="1" t="s">
        <v>10643</v>
      </c>
      <c r="G1585" s="1" t="s">
        <v>10644</v>
      </c>
    </row>
    <row r="1586" spans="1:7" x14ac:dyDescent="0.2">
      <c r="A1586" s="1" t="s">
        <v>10645</v>
      </c>
      <c r="B1586" s="1" t="s">
        <v>10646</v>
      </c>
      <c r="C1586" s="1" t="s">
        <v>10647</v>
      </c>
      <c r="D1586" s="1" t="s">
        <v>10648</v>
      </c>
      <c r="E1586" s="1" t="s">
        <v>10649</v>
      </c>
      <c r="F1586" s="1" t="s">
        <v>10650</v>
      </c>
      <c r="G1586" s="1" t="s">
        <v>10651</v>
      </c>
    </row>
    <row r="1587" spans="1:7" x14ac:dyDescent="0.2">
      <c r="A1587" s="1" t="s">
        <v>10652</v>
      </c>
      <c r="B1587" s="1" t="s">
        <v>10653</v>
      </c>
      <c r="C1587" s="1" t="s">
        <v>10654</v>
      </c>
      <c r="D1587" s="1" t="s">
        <v>10655</v>
      </c>
      <c r="E1587" s="1" t="s">
        <v>10656</v>
      </c>
      <c r="F1587" s="1" t="s">
        <v>10657</v>
      </c>
      <c r="G1587" s="1" t="s">
        <v>10658</v>
      </c>
    </row>
    <row r="1588" spans="1:7" x14ac:dyDescent="0.2">
      <c r="A1588" s="1" t="s">
        <v>10659</v>
      </c>
      <c r="B1588" s="1" t="s">
        <v>10660</v>
      </c>
      <c r="C1588" s="1" t="s">
        <v>10661</v>
      </c>
      <c r="D1588" s="1" t="s">
        <v>10662</v>
      </c>
      <c r="E1588" s="1" t="s">
        <v>10663</v>
      </c>
      <c r="F1588" s="1" t="s">
        <v>10664</v>
      </c>
      <c r="G1588" s="1" t="s">
        <v>10665</v>
      </c>
    </row>
    <row r="1589" spans="1:7" x14ac:dyDescent="0.2">
      <c r="A1589" s="1" t="s">
        <v>10666</v>
      </c>
      <c r="B1589" s="1" t="s">
        <v>10667</v>
      </c>
      <c r="C1589" s="1" t="s">
        <v>10668</v>
      </c>
      <c r="D1589" s="1" t="s">
        <v>10669</v>
      </c>
      <c r="E1589" s="1" t="s">
        <v>10670</v>
      </c>
      <c r="F1589" s="1" t="s">
        <v>10671</v>
      </c>
      <c r="G1589" s="1" t="s">
        <v>10672</v>
      </c>
    </row>
    <row r="1590" spans="1:7" x14ac:dyDescent="0.2">
      <c r="A1590" s="1" t="s">
        <v>10673</v>
      </c>
      <c r="B1590" s="1" t="s">
        <v>10674</v>
      </c>
      <c r="C1590" s="1" t="s">
        <v>10675</v>
      </c>
      <c r="D1590" s="1" t="s">
        <v>10676</v>
      </c>
      <c r="E1590" s="1" t="s">
        <v>10677</v>
      </c>
      <c r="F1590" s="1" t="s">
        <v>10678</v>
      </c>
      <c r="G1590" s="1" t="s">
        <v>10679</v>
      </c>
    </row>
    <row r="1591" spans="1:7" x14ac:dyDescent="0.2">
      <c r="A1591" s="1" t="s">
        <v>10680</v>
      </c>
      <c r="B1591" s="1" t="s">
        <v>10681</v>
      </c>
      <c r="C1591" s="1" t="s">
        <v>10682</v>
      </c>
      <c r="D1591" s="1" t="s">
        <v>10683</v>
      </c>
      <c r="E1591" s="1" t="s">
        <v>10684</v>
      </c>
      <c r="F1591" s="1" t="s">
        <v>10685</v>
      </c>
      <c r="G1591" s="1" t="s">
        <v>10686</v>
      </c>
    </row>
    <row r="1592" spans="1:7" x14ac:dyDescent="0.2">
      <c r="A1592" s="1" t="s">
        <v>10687</v>
      </c>
      <c r="B1592" s="1" t="s">
        <v>10688</v>
      </c>
      <c r="C1592" s="1" t="s">
        <v>10689</v>
      </c>
      <c r="D1592" s="1" t="s">
        <v>10690</v>
      </c>
      <c r="E1592" s="1" t="s">
        <v>10691</v>
      </c>
      <c r="F1592" s="1" t="s">
        <v>10656</v>
      </c>
      <c r="G1592" s="1" t="s">
        <v>10692</v>
      </c>
    </row>
    <row r="1593" spans="1:7" x14ac:dyDescent="0.2">
      <c r="A1593" s="1" t="s">
        <v>10693</v>
      </c>
      <c r="B1593" s="1" t="s">
        <v>10694</v>
      </c>
      <c r="C1593" s="1" t="s">
        <v>10695</v>
      </c>
      <c r="D1593" s="1" t="s">
        <v>10696</v>
      </c>
      <c r="E1593" s="1" t="s">
        <v>10697</v>
      </c>
      <c r="F1593" s="1" t="s">
        <v>10698</v>
      </c>
      <c r="G1593" s="1" t="s">
        <v>10699</v>
      </c>
    </row>
    <row r="1594" spans="1:7" x14ac:dyDescent="0.2">
      <c r="A1594" s="1" t="s">
        <v>10700</v>
      </c>
      <c r="B1594" s="1" t="s">
        <v>10701</v>
      </c>
      <c r="C1594" s="1" t="s">
        <v>10702</v>
      </c>
      <c r="D1594" s="1" t="s">
        <v>10703</v>
      </c>
      <c r="E1594" s="1" t="s">
        <v>10704</v>
      </c>
      <c r="F1594" s="1" t="s">
        <v>10705</v>
      </c>
      <c r="G1594" s="1" t="s">
        <v>10706</v>
      </c>
    </row>
    <row r="1595" spans="1:7" x14ac:dyDescent="0.2">
      <c r="A1595" s="1" t="s">
        <v>10707</v>
      </c>
      <c r="B1595" s="1" t="s">
        <v>10708</v>
      </c>
      <c r="C1595" s="1" t="s">
        <v>10709</v>
      </c>
      <c r="D1595" s="1" t="s">
        <v>10710</v>
      </c>
      <c r="E1595" s="1" t="s">
        <v>10711</v>
      </c>
      <c r="F1595" s="1" t="s">
        <v>10712</v>
      </c>
      <c r="G1595" s="1" t="s">
        <v>10713</v>
      </c>
    </row>
    <row r="1596" spans="1:7" x14ac:dyDescent="0.2">
      <c r="A1596" s="1" t="s">
        <v>10714</v>
      </c>
      <c r="B1596" s="1" t="s">
        <v>10715</v>
      </c>
      <c r="C1596" s="1" t="s">
        <v>10716</v>
      </c>
      <c r="D1596" s="1" t="s">
        <v>10717</v>
      </c>
      <c r="E1596" s="1" t="s">
        <v>10718</v>
      </c>
      <c r="F1596" s="1" t="s">
        <v>10719</v>
      </c>
      <c r="G1596" s="1" t="s">
        <v>10720</v>
      </c>
    </row>
    <row r="1597" spans="1:7" x14ac:dyDescent="0.2">
      <c r="A1597" s="1" t="s">
        <v>10721</v>
      </c>
      <c r="B1597" s="1" t="s">
        <v>10722</v>
      </c>
      <c r="C1597" s="1" t="s">
        <v>10723</v>
      </c>
      <c r="D1597" s="1" t="s">
        <v>10724</v>
      </c>
      <c r="E1597" s="1" t="s">
        <v>10725</v>
      </c>
      <c r="F1597" s="1" t="s">
        <v>10726</v>
      </c>
      <c r="G1597" s="1" t="s">
        <v>10727</v>
      </c>
    </row>
    <row r="1598" spans="1:7" x14ac:dyDescent="0.2">
      <c r="A1598" s="1" t="s">
        <v>10728</v>
      </c>
      <c r="B1598" s="1" t="s">
        <v>10729</v>
      </c>
      <c r="C1598" s="1" t="s">
        <v>10730</v>
      </c>
      <c r="D1598" s="1" t="s">
        <v>10731</v>
      </c>
      <c r="E1598" s="1" t="s">
        <v>10732</v>
      </c>
      <c r="F1598" s="1" t="s">
        <v>10733</v>
      </c>
      <c r="G1598" s="1" t="s">
        <v>10734</v>
      </c>
    </row>
    <row r="1599" spans="1:7" x14ac:dyDescent="0.2">
      <c r="A1599" s="1" t="s">
        <v>10735</v>
      </c>
      <c r="B1599" s="1" t="s">
        <v>10736</v>
      </c>
      <c r="C1599" s="1" t="s">
        <v>10737</v>
      </c>
      <c r="D1599" s="1" t="s">
        <v>10738</v>
      </c>
      <c r="E1599" s="1" t="s">
        <v>10739</v>
      </c>
      <c r="F1599" s="1" t="s">
        <v>10740</v>
      </c>
      <c r="G1599" s="1" t="s">
        <v>10741</v>
      </c>
    </row>
    <row r="1600" spans="1:7" x14ac:dyDescent="0.2">
      <c r="A1600" s="1" t="s">
        <v>10742</v>
      </c>
      <c r="B1600" s="1" t="s">
        <v>10743</v>
      </c>
      <c r="C1600" s="1" t="s">
        <v>10744</v>
      </c>
      <c r="D1600" s="1" t="s">
        <v>10745</v>
      </c>
      <c r="E1600" s="1" t="s">
        <v>10746</v>
      </c>
      <c r="F1600" s="1" t="s">
        <v>10747</v>
      </c>
      <c r="G1600" s="1" t="s">
        <v>10748</v>
      </c>
    </row>
    <row r="1601" spans="1:7" x14ac:dyDescent="0.2">
      <c r="A1601" s="1" t="s">
        <v>10749</v>
      </c>
      <c r="B1601" s="1" t="s">
        <v>10750</v>
      </c>
      <c r="C1601" s="1" t="s">
        <v>10751</v>
      </c>
      <c r="D1601" s="1" t="s">
        <v>10752</v>
      </c>
      <c r="E1601" s="1" t="s">
        <v>10753</v>
      </c>
      <c r="F1601" s="1" t="s">
        <v>10754</v>
      </c>
      <c r="G1601" s="1" t="s">
        <v>10755</v>
      </c>
    </row>
    <row r="1602" spans="1:7" x14ac:dyDescent="0.2">
      <c r="A1602" s="1" t="s">
        <v>10756</v>
      </c>
      <c r="B1602" s="1" t="s">
        <v>10757</v>
      </c>
      <c r="C1602" s="1" t="s">
        <v>10758</v>
      </c>
      <c r="D1602" s="1" t="s">
        <v>10759</v>
      </c>
      <c r="E1602" s="1" t="s">
        <v>10760</v>
      </c>
      <c r="F1602" s="1" t="s">
        <v>10761</v>
      </c>
      <c r="G1602" s="1" t="s">
        <v>10762</v>
      </c>
    </row>
    <row r="1603" spans="1:7" x14ac:dyDescent="0.2">
      <c r="A1603" s="1" t="s">
        <v>10763</v>
      </c>
      <c r="B1603" s="1" t="s">
        <v>10764</v>
      </c>
      <c r="C1603" s="1" t="s">
        <v>10765</v>
      </c>
      <c r="D1603" s="1" t="s">
        <v>10766</v>
      </c>
      <c r="E1603" s="1" t="s">
        <v>10767</v>
      </c>
      <c r="F1603" s="1" t="s">
        <v>10768</v>
      </c>
      <c r="G1603" s="1" t="s">
        <v>10769</v>
      </c>
    </row>
    <row r="1604" spans="1:7" x14ac:dyDescent="0.2">
      <c r="A1604" s="1" t="s">
        <v>10770</v>
      </c>
      <c r="B1604" s="1" t="s">
        <v>10771</v>
      </c>
      <c r="C1604" s="1" t="s">
        <v>10772</v>
      </c>
      <c r="D1604" s="1" t="s">
        <v>10773</v>
      </c>
      <c r="E1604" s="1" t="s">
        <v>10774</v>
      </c>
      <c r="F1604" s="1" t="s">
        <v>10775</v>
      </c>
      <c r="G1604" s="1" t="s">
        <v>10776</v>
      </c>
    </row>
    <row r="1605" spans="1:7" x14ac:dyDescent="0.2">
      <c r="A1605" s="1" t="s">
        <v>10777</v>
      </c>
      <c r="B1605" s="1" t="s">
        <v>10778</v>
      </c>
      <c r="C1605" s="1" t="s">
        <v>10779</v>
      </c>
      <c r="D1605" s="1" t="s">
        <v>10780</v>
      </c>
      <c r="E1605" s="1" t="s">
        <v>10781</v>
      </c>
      <c r="F1605" s="1" t="s">
        <v>10782</v>
      </c>
      <c r="G1605" s="1" t="s">
        <v>10783</v>
      </c>
    </row>
    <row r="1606" spans="1:7" x14ac:dyDescent="0.2">
      <c r="A1606" s="1" t="s">
        <v>10784</v>
      </c>
      <c r="B1606" s="1" t="s">
        <v>10785</v>
      </c>
      <c r="C1606" s="1" t="s">
        <v>10786</v>
      </c>
      <c r="D1606" s="1" t="s">
        <v>10787</v>
      </c>
      <c r="E1606" s="1" t="s">
        <v>10788</v>
      </c>
      <c r="F1606" s="1" t="s">
        <v>10789</v>
      </c>
      <c r="G1606" s="1" t="s">
        <v>10790</v>
      </c>
    </row>
    <row r="1607" spans="1:7" x14ac:dyDescent="0.2">
      <c r="A1607" s="1" t="s">
        <v>10791</v>
      </c>
      <c r="B1607" s="1" t="s">
        <v>10792</v>
      </c>
      <c r="C1607" s="1" t="s">
        <v>10793</v>
      </c>
      <c r="D1607" s="1" t="s">
        <v>10794</v>
      </c>
      <c r="E1607" s="1" t="s">
        <v>10795</v>
      </c>
      <c r="F1607" s="1" t="s">
        <v>10796</v>
      </c>
      <c r="G1607" s="1" t="s">
        <v>10797</v>
      </c>
    </row>
    <row r="1608" spans="1:7" x14ac:dyDescent="0.2">
      <c r="A1608" s="1" t="s">
        <v>10798</v>
      </c>
      <c r="B1608" s="1" t="s">
        <v>10799</v>
      </c>
      <c r="C1608" s="1" t="s">
        <v>10800</v>
      </c>
      <c r="D1608" s="1" t="s">
        <v>10801</v>
      </c>
      <c r="E1608" s="1" t="s">
        <v>10802</v>
      </c>
      <c r="F1608" s="1" t="s">
        <v>10803</v>
      </c>
      <c r="G1608" s="1" t="s">
        <v>10804</v>
      </c>
    </row>
    <row r="1609" spans="1:7" x14ac:dyDescent="0.2">
      <c r="A1609" s="1" t="s">
        <v>10805</v>
      </c>
      <c r="B1609" s="1" t="s">
        <v>10806</v>
      </c>
      <c r="C1609" s="1" t="s">
        <v>10807</v>
      </c>
      <c r="D1609" s="1" t="s">
        <v>10808</v>
      </c>
      <c r="E1609" s="1" t="s">
        <v>10809</v>
      </c>
      <c r="F1609" s="1" t="s">
        <v>10810</v>
      </c>
      <c r="G1609" s="1" t="s">
        <v>10811</v>
      </c>
    </row>
    <row r="1610" spans="1:7" x14ac:dyDescent="0.2">
      <c r="A1610" s="1" t="s">
        <v>10812</v>
      </c>
      <c r="B1610" s="1" t="s">
        <v>10813</v>
      </c>
      <c r="C1610" s="1" t="s">
        <v>10814</v>
      </c>
      <c r="D1610" s="1" t="s">
        <v>10815</v>
      </c>
      <c r="E1610" s="1" t="s">
        <v>10816</v>
      </c>
      <c r="F1610" s="1" t="s">
        <v>10817</v>
      </c>
      <c r="G1610" s="1" t="s">
        <v>10818</v>
      </c>
    </row>
    <row r="1611" spans="1:7" x14ac:dyDescent="0.2">
      <c r="A1611" s="1" t="s">
        <v>10819</v>
      </c>
      <c r="B1611" s="1" t="s">
        <v>10820</v>
      </c>
      <c r="C1611" s="1" t="s">
        <v>10821</v>
      </c>
      <c r="D1611" s="1" t="s">
        <v>10822</v>
      </c>
      <c r="E1611" s="1" t="s">
        <v>10823</v>
      </c>
      <c r="F1611" s="1" t="s">
        <v>10824</v>
      </c>
      <c r="G1611" s="1" t="s">
        <v>10825</v>
      </c>
    </row>
    <row r="1612" spans="1:7" x14ac:dyDescent="0.2">
      <c r="A1612" s="1" t="s">
        <v>10826</v>
      </c>
      <c r="B1612" s="1" t="s">
        <v>10827</v>
      </c>
      <c r="C1612" s="1" t="s">
        <v>10828</v>
      </c>
      <c r="D1612" s="1" t="s">
        <v>10829</v>
      </c>
      <c r="E1612" s="1" t="s">
        <v>10830</v>
      </c>
      <c r="F1612" s="1" t="s">
        <v>10831</v>
      </c>
      <c r="G1612" s="1" t="s">
        <v>10832</v>
      </c>
    </row>
    <row r="1613" spans="1:7" x14ac:dyDescent="0.2">
      <c r="A1613" s="1" t="s">
        <v>10833</v>
      </c>
      <c r="B1613" s="1" t="s">
        <v>10834</v>
      </c>
      <c r="C1613" s="1" t="s">
        <v>10835</v>
      </c>
      <c r="D1613" s="1" t="s">
        <v>10836</v>
      </c>
      <c r="E1613" s="1" t="s">
        <v>10837</v>
      </c>
      <c r="F1613" s="1" t="s">
        <v>10838</v>
      </c>
      <c r="G1613" s="1" t="s">
        <v>10839</v>
      </c>
    </row>
    <row r="1614" spans="1:7" x14ac:dyDescent="0.2">
      <c r="A1614" s="1" t="s">
        <v>10840</v>
      </c>
      <c r="B1614" s="1" t="s">
        <v>10841</v>
      </c>
      <c r="C1614" s="1" t="s">
        <v>10842</v>
      </c>
      <c r="D1614" s="1" t="s">
        <v>10843</v>
      </c>
      <c r="E1614" s="1" t="s">
        <v>10844</v>
      </c>
      <c r="F1614" s="1" t="s">
        <v>10845</v>
      </c>
      <c r="G1614" s="1" t="s">
        <v>10846</v>
      </c>
    </row>
    <row r="1615" spans="1:7" x14ac:dyDescent="0.2">
      <c r="A1615" s="1" t="s">
        <v>10847</v>
      </c>
      <c r="B1615" s="1" t="s">
        <v>10848</v>
      </c>
      <c r="C1615" s="1" t="s">
        <v>10849</v>
      </c>
      <c r="D1615" s="1" t="s">
        <v>10850</v>
      </c>
      <c r="E1615" s="1" t="s">
        <v>10851</v>
      </c>
      <c r="F1615" s="1" t="s">
        <v>10852</v>
      </c>
      <c r="G1615" s="1" t="s">
        <v>10853</v>
      </c>
    </row>
    <row r="1616" spans="1:7" x14ac:dyDescent="0.2">
      <c r="A1616" s="1" t="s">
        <v>10854</v>
      </c>
      <c r="B1616" s="1" t="s">
        <v>10855</v>
      </c>
      <c r="C1616" s="1" t="s">
        <v>10856</v>
      </c>
      <c r="D1616" s="1" t="s">
        <v>10857</v>
      </c>
      <c r="E1616" s="1" t="s">
        <v>10858</v>
      </c>
      <c r="F1616" s="1" t="s">
        <v>10859</v>
      </c>
      <c r="G1616" s="1" t="s">
        <v>10860</v>
      </c>
    </row>
    <row r="1617" spans="1:7" x14ac:dyDescent="0.2">
      <c r="A1617" s="1" t="s">
        <v>10861</v>
      </c>
      <c r="B1617" s="1" t="s">
        <v>10862</v>
      </c>
      <c r="C1617" s="1" t="s">
        <v>10863</v>
      </c>
      <c r="D1617" s="1" t="s">
        <v>10864</v>
      </c>
      <c r="E1617" s="1" t="s">
        <v>10865</v>
      </c>
      <c r="F1617" s="1" t="s">
        <v>10866</v>
      </c>
      <c r="G1617" s="1" t="s">
        <v>10867</v>
      </c>
    </row>
    <row r="1618" spans="1:7" x14ac:dyDescent="0.2">
      <c r="A1618" s="1" t="s">
        <v>10868</v>
      </c>
      <c r="B1618" s="1" t="s">
        <v>10869</v>
      </c>
      <c r="C1618" s="1" t="s">
        <v>10870</v>
      </c>
      <c r="D1618" s="1" t="s">
        <v>10871</v>
      </c>
      <c r="E1618" s="1" t="s">
        <v>10872</v>
      </c>
      <c r="F1618" s="1" t="s">
        <v>10873</v>
      </c>
      <c r="G1618" s="1" t="s">
        <v>10874</v>
      </c>
    </row>
    <row r="1619" spans="1:7" x14ac:dyDescent="0.2">
      <c r="A1619" s="1" t="s">
        <v>10875</v>
      </c>
      <c r="B1619" s="1" t="s">
        <v>10876</v>
      </c>
      <c r="C1619" s="1" t="s">
        <v>10877</v>
      </c>
      <c r="D1619" s="1" t="s">
        <v>10877</v>
      </c>
      <c r="E1619" s="1" t="s">
        <v>10878</v>
      </c>
      <c r="F1619" s="1" t="s">
        <v>10879</v>
      </c>
      <c r="G1619" s="1" t="s">
        <v>10880</v>
      </c>
    </row>
    <row r="1620" spans="1:7" x14ac:dyDescent="0.2">
      <c r="A1620" s="1" t="s">
        <v>10881</v>
      </c>
      <c r="B1620" s="1" t="s">
        <v>10882</v>
      </c>
      <c r="C1620" s="1" t="s">
        <v>10883</v>
      </c>
      <c r="D1620" s="1" t="s">
        <v>10884</v>
      </c>
      <c r="E1620" s="1" t="s">
        <v>10885</v>
      </c>
      <c r="F1620" s="1" t="s">
        <v>10886</v>
      </c>
      <c r="G1620" s="1" t="s">
        <v>10887</v>
      </c>
    </row>
    <row r="1621" spans="1:7" x14ac:dyDescent="0.2">
      <c r="A1621" s="1" t="s">
        <v>10888</v>
      </c>
      <c r="B1621" s="1" t="s">
        <v>10889</v>
      </c>
      <c r="C1621" s="1" t="s">
        <v>10890</v>
      </c>
      <c r="D1621" s="1" t="s">
        <v>10891</v>
      </c>
      <c r="E1621" s="1" t="s">
        <v>10892</v>
      </c>
      <c r="F1621" s="1" t="s">
        <v>10893</v>
      </c>
      <c r="G1621" s="1" t="s">
        <v>10894</v>
      </c>
    </row>
    <row r="1622" spans="1:7" x14ac:dyDescent="0.2">
      <c r="A1622" s="1" t="s">
        <v>10895</v>
      </c>
      <c r="B1622" s="1" t="s">
        <v>10896</v>
      </c>
      <c r="C1622" s="1" t="s">
        <v>10897</v>
      </c>
      <c r="D1622" s="1" t="s">
        <v>10898</v>
      </c>
      <c r="E1622" s="1" t="s">
        <v>10899</v>
      </c>
      <c r="F1622" s="1" t="s">
        <v>10900</v>
      </c>
      <c r="G1622" s="1" t="s">
        <v>10901</v>
      </c>
    </row>
    <row r="1623" spans="1:7" x14ac:dyDescent="0.2">
      <c r="A1623" s="1" t="s">
        <v>10902</v>
      </c>
      <c r="B1623" s="1" t="s">
        <v>10903</v>
      </c>
      <c r="C1623" s="1" t="s">
        <v>10904</v>
      </c>
      <c r="D1623" s="1" t="s">
        <v>10905</v>
      </c>
      <c r="E1623" s="1" t="s">
        <v>10906</v>
      </c>
      <c r="F1623" s="1" t="s">
        <v>10907</v>
      </c>
      <c r="G1623" s="1" t="s">
        <v>10908</v>
      </c>
    </row>
    <row r="1624" spans="1:7" x14ac:dyDescent="0.2">
      <c r="A1624" s="1" t="s">
        <v>10909</v>
      </c>
      <c r="B1624" s="1" t="s">
        <v>10910</v>
      </c>
      <c r="C1624" s="1" t="s">
        <v>10911</v>
      </c>
      <c r="D1624" s="1" t="s">
        <v>10912</v>
      </c>
      <c r="E1624" s="1" t="s">
        <v>10913</v>
      </c>
      <c r="F1624" s="1" t="s">
        <v>10914</v>
      </c>
      <c r="G1624" s="1" t="s">
        <v>10915</v>
      </c>
    </row>
    <row r="1625" spans="1:7" x14ac:dyDescent="0.2">
      <c r="A1625" s="1" t="s">
        <v>10916</v>
      </c>
      <c r="B1625" s="1" t="s">
        <v>10917</v>
      </c>
      <c r="C1625" s="1" t="s">
        <v>10918</v>
      </c>
      <c r="D1625" s="1" t="s">
        <v>10919</v>
      </c>
      <c r="E1625" s="1" t="s">
        <v>10920</v>
      </c>
      <c r="F1625" s="1" t="s">
        <v>10921</v>
      </c>
      <c r="G1625" s="1" t="s">
        <v>10922</v>
      </c>
    </row>
    <row r="1626" spans="1:7" x14ac:dyDescent="0.2">
      <c r="A1626" s="1" t="s">
        <v>10923</v>
      </c>
      <c r="B1626" s="1" t="s">
        <v>10924</v>
      </c>
      <c r="C1626" s="1" t="s">
        <v>10925</v>
      </c>
      <c r="D1626" s="1" t="s">
        <v>10926</v>
      </c>
      <c r="E1626" s="1" t="s">
        <v>10927</v>
      </c>
      <c r="F1626" s="1" t="s">
        <v>10928</v>
      </c>
      <c r="G1626" s="1" t="s">
        <v>10929</v>
      </c>
    </row>
    <row r="1627" spans="1:7" x14ac:dyDescent="0.2">
      <c r="A1627" s="1" t="s">
        <v>10930</v>
      </c>
      <c r="B1627" s="1" t="s">
        <v>10931</v>
      </c>
      <c r="C1627" s="1" t="s">
        <v>10932</v>
      </c>
      <c r="D1627" s="1" t="s">
        <v>10933</v>
      </c>
      <c r="E1627" s="1" t="s">
        <v>10934</v>
      </c>
      <c r="F1627" s="1" t="s">
        <v>10935</v>
      </c>
      <c r="G1627" s="1" t="s">
        <v>10936</v>
      </c>
    </row>
    <row r="1628" spans="1:7" x14ac:dyDescent="0.2">
      <c r="A1628" s="1" t="s">
        <v>10937</v>
      </c>
      <c r="B1628" s="1" t="s">
        <v>10938</v>
      </c>
      <c r="C1628" s="1" t="s">
        <v>10939</v>
      </c>
      <c r="D1628" s="1" t="s">
        <v>10940</v>
      </c>
      <c r="E1628" s="1" t="s">
        <v>10941</v>
      </c>
      <c r="F1628" s="1" t="s">
        <v>10942</v>
      </c>
      <c r="G1628" s="1" t="s">
        <v>10943</v>
      </c>
    </row>
    <row r="1629" spans="1:7" x14ac:dyDescent="0.2">
      <c r="A1629" s="1" t="s">
        <v>10944</v>
      </c>
      <c r="B1629" s="1" t="s">
        <v>10945</v>
      </c>
      <c r="C1629" s="1" t="s">
        <v>10946</v>
      </c>
      <c r="D1629" s="1" t="s">
        <v>10947</v>
      </c>
      <c r="E1629" s="1" t="s">
        <v>10948</v>
      </c>
      <c r="F1629" s="1" t="s">
        <v>10949</v>
      </c>
      <c r="G1629" s="1" t="s">
        <v>10950</v>
      </c>
    </row>
    <row r="1630" spans="1:7" x14ac:dyDescent="0.2">
      <c r="A1630" s="1" t="s">
        <v>10951</v>
      </c>
      <c r="B1630" s="1" t="s">
        <v>10952</v>
      </c>
      <c r="C1630" s="1" t="s">
        <v>10953</v>
      </c>
      <c r="D1630" s="1" t="s">
        <v>10954</v>
      </c>
      <c r="E1630" s="1" t="s">
        <v>10955</v>
      </c>
      <c r="F1630" s="1" t="s">
        <v>10956</v>
      </c>
      <c r="G1630" s="1" t="s">
        <v>10957</v>
      </c>
    </row>
    <row r="1631" spans="1:7" x14ac:dyDescent="0.2">
      <c r="A1631" s="1" t="s">
        <v>10958</v>
      </c>
      <c r="B1631" s="1" t="s">
        <v>10959</v>
      </c>
      <c r="C1631" s="1" t="s">
        <v>10960</v>
      </c>
      <c r="D1631" s="1" t="s">
        <v>10961</v>
      </c>
      <c r="E1631" s="1" t="s">
        <v>10962</v>
      </c>
      <c r="F1631" s="1" t="s">
        <v>10963</v>
      </c>
      <c r="G1631" s="1" t="s">
        <v>10964</v>
      </c>
    </row>
    <row r="1632" spans="1:7" x14ac:dyDescent="0.2">
      <c r="A1632" s="1" t="s">
        <v>10965</v>
      </c>
      <c r="B1632" s="1" t="s">
        <v>10966</v>
      </c>
      <c r="C1632" s="1" t="s">
        <v>10967</v>
      </c>
      <c r="D1632" s="1" t="s">
        <v>10968</v>
      </c>
      <c r="E1632" s="1" t="s">
        <v>10969</v>
      </c>
      <c r="F1632" s="1" t="s">
        <v>10970</v>
      </c>
      <c r="G1632" s="1" t="s">
        <v>10971</v>
      </c>
    </row>
    <row r="1633" spans="1:7" x14ac:dyDescent="0.2">
      <c r="A1633" s="1" t="s">
        <v>10972</v>
      </c>
      <c r="B1633" s="1" t="s">
        <v>10973</v>
      </c>
      <c r="C1633" s="1" t="s">
        <v>10974</v>
      </c>
      <c r="D1633" s="1" t="s">
        <v>10975</v>
      </c>
      <c r="E1633" s="1" t="s">
        <v>10976</v>
      </c>
      <c r="F1633" s="1" t="s">
        <v>10977</v>
      </c>
      <c r="G1633" s="1" t="s">
        <v>10978</v>
      </c>
    </row>
    <row r="1634" spans="1:7" x14ac:dyDescent="0.2">
      <c r="A1634" s="1" t="s">
        <v>10979</v>
      </c>
      <c r="B1634" s="1" t="s">
        <v>10980</v>
      </c>
      <c r="C1634" s="1" t="s">
        <v>10981</v>
      </c>
      <c r="D1634" s="1" t="s">
        <v>10982</v>
      </c>
      <c r="E1634" s="1" t="s">
        <v>10983</v>
      </c>
      <c r="F1634" s="1" t="s">
        <v>10984</v>
      </c>
      <c r="G1634" s="1" t="s">
        <v>10985</v>
      </c>
    </row>
    <row r="1635" spans="1:7" x14ac:dyDescent="0.2">
      <c r="A1635" s="1" t="s">
        <v>10986</v>
      </c>
      <c r="B1635" s="1" t="s">
        <v>10987</v>
      </c>
      <c r="C1635" s="1" t="s">
        <v>10988</v>
      </c>
      <c r="D1635" s="1" t="s">
        <v>10989</v>
      </c>
      <c r="E1635" s="1" t="s">
        <v>10990</v>
      </c>
      <c r="F1635" s="1" t="s">
        <v>10991</v>
      </c>
      <c r="G1635" s="1" t="s">
        <v>10992</v>
      </c>
    </row>
    <row r="1636" spans="1:7" x14ac:dyDescent="0.2">
      <c r="A1636" s="1" t="s">
        <v>10993</v>
      </c>
      <c r="B1636" s="1" t="s">
        <v>10994</v>
      </c>
      <c r="C1636" s="1" t="s">
        <v>10995</v>
      </c>
      <c r="D1636" s="1" t="s">
        <v>10996</v>
      </c>
      <c r="E1636" s="1" t="s">
        <v>10997</v>
      </c>
      <c r="F1636" s="1" t="s">
        <v>10998</v>
      </c>
      <c r="G1636" s="1" t="s">
        <v>10999</v>
      </c>
    </row>
    <row r="1637" spans="1:7" x14ac:dyDescent="0.2">
      <c r="A1637" s="1" t="s">
        <v>11000</v>
      </c>
      <c r="B1637" s="1" t="s">
        <v>11001</v>
      </c>
      <c r="C1637" s="1" t="s">
        <v>11002</v>
      </c>
      <c r="D1637" s="1" t="s">
        <v>11003</v>
      </c>
      <c r="E1637" s="1" t="s">
        <v>11004</v>
      </c>
      <c r="F1637" s="1" t="s">
        <v>11005</v>
      </c>
      <c r="G1637" s="1" t="s">
        <v>11006</v>
      </c>
    </row>
    <row r="1638" spans="1:7" x14ac:dyDescent="0.2">
      <c r="A1638" s="1" t="s">
        <v>11007</v>
      </c>
      <c r="B1638" s="1" t="s">
        <v>11008</v>
      </c>
      <c r="C1638" s="1" t="s">
        <v>10969</v>
      </c>
      <c r="D1638" s="1" t="s">
        <v>11009</v>
      </c>
      <c r="E1638" s="1" t="s">
        <v>11010</v>
      </c>
      <c r="F1638" s="1" t="s">
        <v>11011</v>
      </c>
      <c r="G1638" s="1" t="s">
        <v>11012</v>
      </c>
    </row>
    <row r="1639" spans="1:7" x14ac:dyDescent="0.2">
      <c r="A1639" s="1" t="s">
        <v>11013</v>
      </c>
      <c r="B1639" s="1" t="s">
        <v>11014</v>
      </c>
      <c r="C1639" s="1" t="s">
        <v>11015</v>
      </c>
      <c r="D1639" s="1" t="s">
        <v>11016</v>
      </c>
      <c r="E1639" s="1" t="s">
        <v>11017</v>
      </c>
      <c r="F1639" s="1" t="s">
        <v>11018</v>
      </c>
      <c r="G1639" s="1" t="s">
        <v>11019</v>
      </c>
    </row>
    <row r="1640" spans="1:7" x14ac:dyDescent="0.2">
      <c r="A1640" s="1" t="s">
        <v>11020</v>
      </c>
      <c r="B1640" s="1" t="s">
        <v>11021</v>
      </c>
      <c r="C1640" s="1" t="s">
        <v>11022</v>
      </c>
      <c r="D1640" s="1" t="s">
        <v>11022</v>
      </c>
      <c r="E1640" s="1" t="s">
        <v>11023</v>
      </c>
      <c r="F1640" s="1" t="s">
        <v>11024</v>
      </c>
      <c r="G1640" s="1" t="s">
        <v>11025</v>
      </c>
    </row>
    <row r="1641" spans="1:7" x14ac:dyDescent="0.2">
      <c r="A1641" s="1" t="s">
        <v>11026</v>
      </c>
      <c r="B1641" s="1" t="s">
        <v>11027</v>
      </c>
      <c r="C1641" s="1" t="s">
        <v>11028</v>
      </c>
      <c r="D1641" s="1" t="s">
        <v>11029</v>
      </c>
      <c r="E1641" s="1" t="s">
        <v>11030</v>
      </c>
      <c r="F1641" s="1" t="s">
        <v>11031</v>
      </c>
      <c r="G1641" s="1" t="s">
        <v>11032</v>
      </c>
    </row>
    <row r="1642" spans="1:7" x14ac:dyDescent="0.2">
      <c r="A1642" s="1" t="s">
        <v>11033</v>
      </c>
      <c r="B1642" s="1" t="s">
        <v>11034</v>
      </c>
      <c r="C1642" s="1" t="s">
        <v>11035</v>
      </c>
      <c r="D1642" s="1" t="s">
        <v>11036</v>
      </c>
      <c r="E1642" s="1" t="s">
        <v>11037</v>
      </c>
      <c r="F1642" s="1" t="s">
        <v>11038</v>
      </c>
      <c r="G1642" s="1" t="s">
        <v>11039</v>
      </c>
    </row>
    <row r="1643" spans="1:7" x14ac:dyDescent="0.2">
      <c r="A1643" s="1" t="s">
        <v>11040</v>
      </c>
      <c r="B1643" s="1" t="s">
        <v>11041</v>
      </c>
      <c r="C1643" s="1" t="s">
        <v>11042</v>
      </c>
      <c r="D1643" s="1" t="s">
        <v>11043</v>
      </c>
      <c r="E1643" s="1" t="s">
        <v>11044</v>
      </c>
      <c r="F1643" s="1" t="s">
        <v>11045</v>
      </c>
      <c r="G1643" s="1" t="s">
        <v>11046</v>
      </c>
    </row>
    <row r="1644" spans="1:7" x14ac:dyDescent="0.2">
      <c r="A1644" s="1" t="s">
        <v>11047</v>
      </c>
      <c r="B1644" s="1" t="s">
        <v>11048</v>
      </c>
      <c r="C1644" s="1" t="s">
        <v>11049</v>
      </c>
      <c r="D1644" s="1" t="s">
        <v>11050</v>
      </c>
      <c r="E1644" s="1" t="s">
        <v>11051</v>
      </c>
      <c r="F1644" s="1" t="s">
        <v>11052</v>
      </c>
      <c r="G1644" s="1" t="s">
        <v>11053</v>
      </c>
    </row>
    <row r="1645" spans="1:7" x14ac:dyDescent="0.2">
      <c r="A1645" s="1" t="s">
        <v>11054</v>
      </c>
      <c r="B1645" s="1" t="s">
        <v>11055</v>
      </c>
      <c r="C1645" s="1" t="s">
        <v>11056</v>
      </c>
      <c r="D1645" s="1" t="s">
        <v>11057</v>
      </c>
      <c r="E1645" s="1" t="s">
        <v>11058</v>
      </c>
      <c r="F1645" s="1" t="s">
        <v>11059</v>
      </c>
      <c r="G1645" s="1" t="s">
        <v>11060</v>
      </c>
    </row>
    <row r="1646" spans="1:7" x14ac:dyDescent="0.2">
      <c r="A1646" s="1" t="s">
        <v>11061</v>
      </c>
      <c r="B1646" s="1" t="s">
        <v>11062</v>
      </c>
      <c r="C1646" s="1" t="s">
        <v>11063</v>
      </c>
      <c r="D1646" s="1" t="s">
        <v>11064</v>
      </c>
      <c r="E1646" s="1" t="s">
        <v>11065</v>
      </c>
      <c r="F1646" s="1" t="s">
        <v>11066</v>
      </c>
      <c r="G1646" s="1" t="s">
        <v>11067</v>
      </c>
    </row>
    <row r="1647" spans="1:7" x14ac:dyDescent="0.2">
      <c r="A1647" s="1" t="s">
        <v>11068</v>
      </c>
      <c r="B1647" s="1" t="s">
        <v>11069</v>
      </c>
      <c r="C1647" s="1" t="s">
        <v>11070</v>
      </c>
      <c r="D1647" s="1" t="s">
        <v>11071</v>
      </c>
      <c r="E1647" s="1" t="s">
        <v>11072</v>
      </c>
      <c r="F1647" s="1" t="s">
        <v>11073</v>
      </c>
      <c r="G1647" s="1" t="s">
        <v>11074</v>
      </c>
    </row>
    <row r="1648" spans="1:7" x14ac:dyDescent="0.2">
      <c r="A1648" s="1" t="s">
        <v>11075</v>
      </c>
      <c r="B1648" s="1" t="s">
        <v>11076</v>
      </c>
      <c r="C1648" s="1" t="s">
        <v>11077</v>
      </c>
      <c r="D1648" s="1" t="s">
        <v>11078</v>
      </c>
      <c r="E1648" s="1" t="s">
        <v>11005</v>
      </c>
      <c r="F1648" s="1" t="s">
        <v>11070</v>
      </c>
      <c r="G1648" s="1" t="s">
        <v>11079</v>
      </c>
    </row>
    <row r="1649" spans="1:7" x14ac:dyDescent="0.2">
      <c r="A1649" s="1" t="s">
        <v>11080</v>
      </c>
      <c r="B1649" s="1" t="s">
        <v>11081</v>
      </c>
      <c r="C1649" s="1" t="s">
        <v>11082</v>
      </c>
      <c r="D1649" s="1" t="s">
        <v>11083</v>
      </c>
      <c r="E1649" s="1" t="s">
        <v>11084</v>
      </c>
      <c r="F1649" s="1" t="s">
        <v>11085</v>
      </c>
      <c r="G1649" s="1" t="s">
        <v>11086</v>
      </c>
    </row>
    <row r="1650" spans="1:7" x14ac:dyDescent="0.2">
      <c r="A1650" s="1" t="s">
        <v>11087</v>
      </c>
      <c r="B1650" s="1" t="s">
        <v>11088</v>
      </c>
      <c r="C1650" s="1" t="s">
        <v>11089</v>
      </c>
      <c r="D1650" s="1" t="s">
        <v>11090</v>
      </c>
      <c r="E1650" s="1" t="s">
        <v>11091</v>
      </c>
      <c r="F1650" s="1" t="s">
        <v>11083</v>
      </c>
      <c r="G1650" s="1" t="s">
        <v>11092</v>
      </c>
    </row>
    <row r="1651" spans="1:7" x14ac:dyDescent="0.2">
      <c r="A1651" s="1" t="s">
        <v>11093</v>
      </c>
      <c r="B1651" s="1" t="s">
        <v>11094</v>
      </c>
      <c r="C1651" s="1" t="s">
        <v>11095</v>
      </c>
      <c r="D1651" s="1" t="s">
        <v>11096</v>
      </c>
      <c r="E1651" s="1" t="s">
        <v>11097</v>
      </c>
      <c r="F1651" s="1" t="s">
        <v>11098</v>
      </c>
      <c r="G1651" s="1" t="s">
        <v>11099</v>
      </c>
    </row>
    <row r="1652" spans="1:7" x14ac:dyDescent="0.2">
      <c r="A1652" s="1" t="s">
        <v>11100</v>
      </c>
      <c r="B1652" s="1" t="s">
        <v>11001</v>
      </c>
      <c r="C1652" s="1" t="s">
        <v>11002</v>
      </c>
      <c r="D1652" s="1" t="s">
        <v>11101</v>
      </c>
      <c r="E1652" s="1" t="s">
        <v>11102</v>
      </c>
      <c r="F1652" s="1" t="s">
        <v>11098</v>
      </c>
      <c r="G1652" s="1" t="s">
        <v>11103</v>
      </c>
    </row>
    <row r="1653" spans="1:7" x14ac:dyDescent="0.2">
      <c r="A1653" s="1" t="s">
        <v>11104</v>
      </c>
      <c r="B1653" s="1" t="s">
        <v>11105</v>
      </c>
      <c r="C1653" s="1" t="s">
        <v>11106</v>
      </c>
      <c r="D1653" s="1" t="s">
        <v>11107</v>
      </c>
      <c r="E1653" s="1" t="s">
        <v>11108</v>
      </c>
      <c r="F1653" s="1" t="s">
        <v>11109</v>
      </c>
      <c r="G1653" s="1" t="s">
        <v>11110</v>
      </c>
    </row>
    <row r="1654" spans="1:7" x14ac:dyDescent="0.2">
      <c r="A1654" s="1" t="s">
        <v>11111</v>
      </c>
      <c r="B1654" s="1" t="s">
        <v>11112</v>
      </c>
      <c r="C1654" s="1" t="s">
        <v>11113</v>
      </c>
      <c r="D1654" s="1" t="s">
        <v>11114</v>
      </c>
      <c r="E1654" s="1" t="s">
        <v>11115</v>
      </c>
      <c r="F1654" s="1" t="s">
        <v>11116</v>
      </c>
      <c r="G1654" s="1" t="s">
        <v>11117</v>
      </c>
    </row>
    <row r="1655" spans="1:7" x14ac:dyDescent="0.2">
      <c r="A1655" s="1" t="s">
        <v>11118</v>
      </c>
      <c r="B1655" s="1" t="s">
        <v>11119</v>
      </c>
      <c r="C1655" s="1" t="s">
        <v>11120</v>
      </c>
      <c r="D1655" s="1" t="s">
        <v>11121</v>
      </c>
      <c r="E1655" s="1" t="s">
        <v>11122</v>
      </c>
      <c r="F1655" s="1" t="s">
        <v>11123</v>
      </c>
      <c r="G1655" s="1" t="s">
        <v>11124</v>
      </c>
    </row>
    <row r="1656" spans="1:7" x14ac:dyDescent="0.2">
      <c r="A1656" s="1" t="s">
        <v>11125</v>
      </c>
      <c r="B1656" s="1" t="s">
        <v>11126</v>
      </c>
      <c r="C1656" s="1" t="s">
        <v>11127</v>
      </c>
      <c r="D1656" s="1" t="s">
        <v>11128</v>
      </c>
      <c r="E1656" s="1" t="s">
        <v>11129</v>
      </c>
      <c r="F1656" s="1" t="s">
        <v>11130</v>
      </c>
      <c r="G1656" s="1" t="s">
        <v>11131</v>
      </c>
    </row>
    <row r="1657" spans="1:7" x14ac:dyDescent="0.2">
      <c r="A1657" s="1" t="s">
        <v>11132</v>
      </c>
      <c r="B1657" s="1" t="s">
        <v>11133</v>
      </c>
      <c r="C1657" s="1" t="s">
        <v>11134</v>
      </c>
      <c r="D1657" s="1" t="s">
        <v>11135</v>
      </c>
      <c r="E1657" s="1" t="s">
        <v>11136</v>
      </c>
      <c r="F1657" s="1" t="s">
        <v>11137</v>
      </c>
      <c r="G1657" s="1" t="s">
        <v>11138</v>
      </c>
    </row>
    <row r="1658" spans="1:7" x14ac:dyDescent="0.2">
      <c r="A1658" s="1" t="s">
        <v>11139</v>
      </c>
      <c r="B1658" s="1" t="s">
        <v>11140</v>
      </c>
      <c r="C1658" s="1" t="s">
        <v>11141</v>
      </c>
      <c r="D1658" s="1" t="s">
        <v>11142</v>
      </c>
      <c r="E1658" s="1" t="s">
        <v>11143</v>
      </c>
      <c r="F1658" s="1" t="s">
        <v>11144</v>
      </c>
      <c r="G1658" s="1" t="s">
        <v>11145</v>
      </c>
    </row>
    <row r="1659" spans="1:7" x14ac:dyDescent="0.2">
      <c r="A1659" s="1" t="s">
        <v>11146</v>
      </c>
      <c r="B1659" s="1" t="s">
        <v>11147</v>
      </c>
      <c r="C1659" s="1" t="s">
        <v>11148</v>
      </c>
      <c r="D1659" s="1" t="s">
        <v>11149</v>
      </c>
      <c r="E1659" s="1" t="s">
        <v>11150</v>
      </c>
      <c r="F1659" s="1" t="s">
        <v>11151</v>
      </c>
      <c r="G1659" s="1" t="s">
        <v>11152</v>
      </c>
    </row>
    <row r="1660" spans="1:7" x14ac:dyDescent="0.2">
      <c r="A1660" s="1" t="s">
        <v>11153</v>
      </c>
      <c r="B1660" s="1" t="s">
        <v>11154</v>
      </c>
      <c r="C1660" s="1" t="s">
        <v>11155</v>
      </c>
      <c r="D1660" s="1" t="s">
        <v>11156</v>
      </c>
      <c r="E1660" s="1" t="s">
        <v>11157</v>
      </c>
      <c r="F1660" s="1" t="s">
        <v>11158</v>
      </c>
      <c r="G1660" s="1" t="s">
        <v>11159</v>
      </c>
    </row>
    <row r="1661" spans="1:7" x14ac:dyDescent="0.2">
      <c r="A1661" s="1" t="s">
        <v>11160</v>
      </c>
      <c r="B1661" s="1" t="s">
        <v>11161</v>
      </c>
      <c r="C1661" s="1" t="s">
        <v>11162</v>
      </c>
      <c r="D1661" s="1" t="s">
        <v>11163</v>
      </c>
      <c r="E1661" s="1" t="s">
        <v>11164</v>
      </c>
      <c r="F1661" s="1" t="s">
        <v>11165</v>
      </c>
      <c r="G1661" s="1" t="s">
        <v>11166</v>
      </c>
    </row>
    <row r="1662" spans="1:7" x14ac:dyDescent="0.2">
      <c r="A1662" s="1" t="s">
        <v>11167</v>
      </c>
      <c r="B1662" s="1" t="s">
        <v>11168</v>
      </c>
      <c r="C1662" s="1" t="s">
        <v>11169</v>
      </c>
      <c r="D1662" s="1" t="s">
        <v>11170</v>
      </c>
      <c r="E1662" s="1" t="s">
        <v>11171</v>
      </c>
      <c r="F1662" s="1" t="s">
        <v>11172</v>
      </c>
      <c r="G1662" s="1" t="s">
        <v>11173</v>
      </c>
    </row>
    <row r="1663" spans="1:7" x14ac:dyDescent="0.2">
      <c r="A1663" s="1" t="s">
        <v>11174</v>
      </c>
      <c r="B1663" s="1" t="s">
        <v>11175</v>
      </c>
      <c r="C1663" s="1" t="s">
        <v>11176</v>
      </c>
      <c r="D1663" s="1" t="s">
        <v>11177</v>
      </c>
      <c r="E1663" s="1" t="s">
        <v>11178</v>
      </c>
      <c r="F1663" s="1" t="s">
        <v>11179</v>
      </c>
      <c r="G1663" s="1" t="s">
        <v>11180</v>
      </c>
    </row>
    <row r="1664" spans="1:7" x14ac:dyDescent="0.2">
      <c r="A1664" s="1" t="s">
        <v>11181</v>
      </c>
      <c r="B1664" s="1" t="s">
        <v>11182</v>
      </c>
      <c r="C1664" s="1" t="s">
        <v>11183</v>
      </c>
      <c r="D1664" s="1" t="s">
        <v>11184</v>
      </c>
      <c r="E1664" s="1" t="s">
        <v>11185</v>
      </c>
      <c r="F1664" s="1" t="s">
        <v>11186</v>
      </c>
      <c r="G1664" s="1" t="s">
        <v>11187</v>
      </c>
    </row>
    <row r="1665" spans="1:7" x14ac:dyDescent="0.2">
      <c r="A1665" s="1" t="s">
        <v>11188</v>
      </c>
      <c r="B1665" s="1" t="s">
        <v>11189</v>
      </c>
      <c r="C1665" s="1" t="s">
        <v>11190</v>
      </c>
      <c r="D1665" s="1" t="s">
        <v>11191</v>
      </c>
      <c r="E1665" s="1" t="s">
        <v>11192</v>
      </c>
      <c r="F1665" s="1" t="s">
        <v>11193</v>
      </c>
      <c r="G1665" s="1" t="s">
        <v>11194</v>
      </c>
    </row>
    <row r="1666" spans="1:7" x14ac:dyDescent="0.2">
      <c r="A1666" s="1" t="s">
        <v>11195</v>
      </c>
      <c r="B1666" s="1" t="s">
        <v>11196</v>
      </c>
      <c r="C1666" s="1" t="s">
        <v>11197</v>
      </c>
      <c r="D1666" s="1" t="s">
        <v>11198</v>
      </c>
      <c r="E1666" s="1" t="s">
        <v>11199</v>
      </c>
      <c r="F1666" s="1" t="s">
        <v>11200</v>
      </c>
      <c r="G1666" s="1" t="s">
        <v>11201</v>
      </c>
    </row>
    <row r="1667" spans="1:7" x14ac:dyDescent="0.2">
      <c r="A1667" s="1" t="s">
        <v>11202</v>
      </c>
      <c r="B1667" s="1" t="s">
        <v>11203</v>
      </c>
      <c r="C1667" s="1" t="s">
        <v>11204</v>
      </c>
      <c r="D1667" s="1" t="s">
        <v>11205</v>
      </c>
      <c r="E1667" s="1" t="s">
        <v>11206</v>
      </c>
      <c r="F1667" s="1" t="s">
        <v>10836</v>
      </c>
      <c r="G1667" s="1" t="s">
        <v>11207</v>
      </c>
    </row>
    <row r="1668" spans="1:7" x14ac:dyDescent="0.2">
      <c r="A1668" s="1" t="s">
        <v>11208</v>
      </c>
      <c r="B1668" s="1" t="s">
        <v>11209</v>
      </c>
      <c r="C1668" s="1" t="s">
        <v>11210</v>
      </c>
      <c r="D1668" s="1" t="s">
        <v>11211</v>
      </c>
      <c r="E1668" s="1" t="s">
        <v>11129</v>
      </c>
      <c r="F1668" s="1" t="s">
        <v>11212</v>
      </c>
      <c r="G1668" s="1" t="s">
        <v>11213</v>
      </c>
    </row>
    <row r="1669" spans="1:7" x14ac:dyDescent="0.2">
      <c r="A1669" s="1" t="s">
        <v>11214</v>
      </c>
      <c r="B1669" s="1" t="s">
        <v>11215</v>
      </c>
      <c r="C1669" s="1" t="s">
        <v>11216</v>
      </c>
      <c r="D1669" s="1" t="s">
        <v>11217</v>
      </c>
      <c r="E1669" s="1" t="s">
        <v>11218</v>
      </c>
      <c r="F1669" s="1" t="s">
        <v>11219</v>
      </c>
      <c r="G1669" s="1" t="s">
        <v>11220</v>
      </c>
    </row>
    <row r="1670" spans="1:7" x14ac:dyDescent="0.2">
      <c r="A1670" s="1" t="s">
        <v>11221</v>
      </c>
      <c r="B1670" s="1" t="s">
        <v>11222</v>
      </c>
      <c r="C1670" s="1" t="s">
        <v>11223</v>
      </c>
      <c r="D1670" s="1" t="s">
        <v>10977</v>
      </c>
      <c r="E1670" s="1" t="s">
        <v>11224</v>
      </c>
      <c r="F1670" s="1" t="s">
        <v>11225</v>
      </c>
      <c r="G1670" s="1" t="s">
        <v>11226</v>
      </c>
    </row>
    <row r="1671" spans="1:7" x14ac:dyDescent="0.2">
      <c r="A1671" s="1" t="s">
        <v>11227</v>
      </c>
      <c r="B1671" s="1" t="s">
        <v>11228</v>
      </c>
      <c r="C1671" s="1" t="s">
        <v>11005</v>
      </c>
      <c r="D1671" s="1" t="s">
        <v>11229</v>
      </c>
      <c r="E1671" s="1" t="s">
        <v>11230</v>
      </c>
      <c r="F1671" s="1" t="s">
        <v>11231</v>
      </c>
      <c r="G1671" s="1" t="s">
        <v>11232</v>
      </c>
    </row>
    <row r="1672" spans="1:7" x14ac:dyDescent="0.2">
      <c r="A1672" s="1" t="s">
        <v>11233</v>
      </c>
      <c r="B1672" s="1" t="s">
        <v>11234</v>
      </c>
      <c r="C1672" s="1" t="s">
        <v>11235</v>
      </c>
      <c r="D1672" s="1" t="s">
        <v>11235</v>
      </c>
      <c r="E1672" s="1" t="s">
        <v>11236</v>
      </c>
      <c r="F1672" s="1" t="s">
        <v>11237</v>
      </c>
      <c r="G1672" s="1" t="s">
        <v>11238</v>
      </c>
    </row>
    <row r="1673" spans="1:7" x14ac:dyDescent="0.2">
      <c r="A1673" s="1" t="s">
        <v>11239</v>
      </c>
      <c r="B1673" s="1" t="s">
        <v>11240</v>
      </c>
      <c r="C1673" s="1" t="s">
        <v>11241</v>
      </c>
      <c r="D1673" s="1" t="s">
        <v>11242</v>
      </c>
      <c r="E1673" s="1" t="s">
        <v>11243</v>
      </c>
      <c r="F1673" s="1" t="s">
        <v>11244</v>
      </c>
      <c r="G1673" s="1" t="s">
        <v>11245</v>
      </c>
    </row>
    <row r="1674" spans="1:7" x14ac:dyDescent="0.2">
      <c r="A1674" s="1" t="s">
        <v>11246</v>
      </c>
      <c r="B1674" s="1" t="s">
        <v>11247</v>
      </c>
      <c r="C1674" s="1" t="s">
        <v>11248</v>
      </c>
      <c r="D1674" s="1" t="s">
        <v>11249</v>
      </c>
      <c r="E1674" s="1" t="s">
        <v>11250</v>
      </c>
      <c r="F1674" s="1" t="s">
        <v>11251</v>
      </c>
      <c r="G1674" s="1" t="s">
        <v>11252</v>
      </c>
    </row>
    <row r="1675" spans="1:7" x14ac:dyDescent="0.2">
      <c r="A1675" s="1" t="s">
        <v>11253</v>
      </c>
      <c r="B1675" s="1" t="s">
        <v>11254</v>
      </c>
      <c r="C1675" s="1" t="s">
        <v>11255</v>
      </c>
      <c r="D1675" s="1" t="s">
        <v>11256</v>
      </c>
      <c r="E1675" s="1" t="s">
        <v>10912</v>
      </c>
      <c r="F1675" s="1" t="s">
        <v>11257</v>
      </c>
      <c r="G1675" s="1" t="s">
        <v>11258</v>
      </c>
    </row>
    <row r="1676" spans="1:7" x14ac:dyDescent="0.2">
      <c r="A1676" s="1" t="s">
        <v>11259</v>
      </c>
      <c r="B1676" s="1" t="s">
        <v>11260</v>
      </c>
      <c r="C1676" s="1" t="s">
        <v>11261</v>
      </c>
      <c r="D1676" s="1" t="s">
        <v>11262</v>
      </c>
      <c r="E1676" s="1" t="s">
        <v>11263</v>
      </c>
      <c r="F1676" s="1" t="s">
        <v>11264</v>
      </c>
      <c r="G1676" s="1" t="s">
        <v>11265</v>
      </c>
    </row>
    <row r="1677" spans="1:7" x14ac:dyDescent="0.2">
      <c r="A1677" s="1" t="s">
        <v>11266</v>
      </c>
      <c r="B1677" s="1" t="s">
        <v>11267</v>
      </c>
      <c r="C1677" s="1" t="s">
        <v>11268</v>
      </c>
      <c r="D1677" s="1" t="s">
        <v>11269</v>
      </c>
      <c r="E1677" s="1" t="s">
        <v>11270</v>
      </c>
      <c r="F1677" s="1" t="s">
        <v>11271</v>
      </c>
      <c r="G1677" s="1" t="s">
        <v>11272</v>
      </c>
    </row>
    <row r="1678" spans="1:7" x14ac:dyDescent="0.2">
      <c r="A1678" s="1" t="s">
        <v>11273</v>
      </c>
      <c r="B1678" s="1" t="s">
        <v>11274</v>
      </c>
      <c r="C1678" s="1" t="s">
        <v>11275</v>
      </c>
      <c r="D1678" s="1" t="s">
        <v>11276</v>
      </c>
      <c r="E1678" s="1" t="s">
        <v>11277</v>
      </c>
      <c r="F1678" s="1" t="s">
        <v>11278</v>
      </c>
      <c r="G1678" s="1" t="s">
        <v>11279</v>
      </c>
    </row>
    <row r="1679" spans="1:7" x14ac:dyDescent="0.2">
      <c r="A1679" s="1" t="s">
        <v>11280</v>
      </c>
      <c r="B1679" s="1" t="s">
        <v>11281</v>
      </c>
      <c r="C1679" s="1" t="s">
        <v>11282</v>
      </c>
      <c r="D1679" s="1" t="s">
        <v>11283</v>
      </c>
      <c r="E1679" s="1" t="s">
        <v>11284</v>
      </c>
      <c r="F1679" s="1" t="s">
        <v>10989</v>
      </c>
      <c r="G1679" s="1" t="s">
        <v>11285</v>
      </c>
    </row>
    <row r="1680" spans="1:7" x14ac:dyDescent="0.2">
      <c r="A1680" s="1" t="s">
        <v>11286</v>
      </c>
      <c r="B1680" s="1" t="s">
        <v>11287</v>
      </c>
      <c r="C1680" s="1" t="s">
        <v>11288</v>
      </c>
      <c r="D1680" s="1" t="s">
        <v>11289</v>
      </c>
      <c r="E1680" s="1" t="s">
        <v>11290</v>
      </c>
      <c r="F1680" s="1" t="s">
        <v>11023</v>
      </c>
      <c r="G1680" s="1" t="s">
        <v>11291</v>
      </c>
    </row>
    <row r="1681" spans="1:7" x14ac:dyDescent="0.2">
      <c r="A1681" s="1" t="s">
        <v>11292</v>
      </c>
      <c r="B1681" s="1" t="s">
        <v>11293</v>
      </c>
      <c r="C1681" s="1" t="s">
        <v>11294</v>
      </c>
      <c r="D1681" s="1" t="s">
        <v>11295</v>
      </c>
      <c r="E1681" s="1" t="s">
        <v>11296</v>
      </c>
      <c r="F1681" s="1" t="s">
        <v>11297</v>
      </c>
      <c r="G1681" s="1" t="s">
        <v>11298</v>
      </c>
    </row>
    <row r="1682" spans="1:7" x14ac:dyDescent="0.2">
      <c r="A1682" s="1" t="s">
        <v>11299</v>
      </c>
      <c r="B1682" s="1" t="s">
        <v>11300</v>
      </c>
      <c r="C1682" s="1" t="s">
        <v>11301</v>
      </c>
      <c r="D1682" s="1" t="s">
        <v>11302</v>
      </c>
      <c r="E1682" s="1" t="s">
        <v>11303</v>
      </c>
      <c r="F1682" s="1" t="s">
        <v>11304</v>
      </c>
      <c r="G1682" s="1" t="s">
        <v>11305</v>
      </c>
    </row>
    <row r="1683" spans="1:7" x14ac:dyDescent="0.2">
      <c r="A1683" s="1" t="s">
        <v>11306</v>
      </c>
      <c r="B1683" s="1" t="s">
        <v>11307</v>
      </c>
      <c r="C1683" s="1" t="s">
        <v>11308</v>
      </c>
      <c r="D1683" s="1" t="s">
        <v>11309</v>
      </c>
      <c r="E1683" s="1" t="s">
        <v>11310</v>
      </c>
      <c r="F1683" s="1" t="s">
        <v>11311</v>
      </c>
      <c r="G1683" s="1" t="s">
        <v>11312</v>
      </c>
    </row>
    <row r="1684" spans="1:7" x14ac:dyDescent="0.2">
      <c r="A1684" s="1" t="s">
        <v>11313</v>
      </c>
      <c r="B1684" s="1" t="s">
        <v>11314</v>
      </c>
      <c r="C1684" s="1" t="s">
        <v>11315</v>
      </c>
      <c r="D1684" s="1" t="s">
        <v>11316</v>
      </c>
      <c r="E1684" s="1" t="s">
        <v>11317</v>
      </c>
      <c r="F1684" s="1" t="s">
        <v>11318</v>
      </c>
      <c r="G1684" s="1" t="s">
        <v>11319</v>
      </c>
    </row>
    <row r="1685" spans="1:7" x14ac:dyDescent="0.2">
      <c r="A1685" s="1" t="s">
        <v>11320</v>
      </c>
      <c r="B1685" s="1" t="s">
        <v>11321</v>
      </c>
      <c r="C1685" s="1" t="s">
        <v>11322</v>
      </c>
      <c r="D1685" s="1" t="s">
        <v>11323</v>
      </c>
      <c r="E1685" s="1" t="s">
        <v>11324</v>
      </c>
      <c r="F1685" s="1" t="s">
        <v>11325</v>
      </c>
      <c r="G1685" s="1" t="s">
        <v>11326</v>
      </c>
    </row>
    <row r="1686" spans="1:7" x14ac:dyDescent="0.2">
      <c r="A1686" s="1" t="s">
        <v>11327</v>
      </c>
      <c r="B1686" s="1" t="s">
        <v>11328</v>
      </c>
      <c r="C1686" s="1" t="s">
        <v>11329</v>
      </c>
      <c r="D1686" s="1" t="s">
        <v>11330</v>
      </c>
      <c r="E1686" s="1" t="s">
        <v>11331</v>
      </c>
      <c r="F1686" s="1" t="s">
        <v>11332</v>
      </c>
      <c r="G1686" s="1" t="s">
        <v>11333</v>
      </c>
    </row>
    <row r="1687" spans="1:7" x14ac:dyDescent="0.2">
      <c r="A1687" s="1" t="s">
        <v>11334</v>
      </c>
      <c r="B1687" s="1" t="s">
        <v>11335</v>
      </c>
      <c r="C1687" s="1" t="s">
        <v>11336</v>
      </c>
      <c r="D1687" s="1" t="s">
        <v>11337</v>
      </c>
      <c r="E1687" s="1" t="s">
        <v>11338</v>
      </c>
      <c r="F1687" s="1" t="s">
        <v>11186</v>
      </c>
      <c r="G1687" s="1" t="s">
        <v>11339</v>
      </c>
    </row>
    <row r="1688" spans="1:7" x14ac:dyDescent="0.2">
      <c r="A1688" s="1" t="s">
        <v>11340</v>
      </c>
      <c r="B1688" s="1" t="s">
        <v>11341</v>
      </c>
      <c r="C1688" s="1" t="s">
        <v>11342</v>
      </c>
      <c r="D1688" s="1" t="s">
        <v>11343</v>
      </c>
      <c r="E1688" s="1" t="s">
        <v>11344</v>
      </c>
      <c r="F1688" s="1" t="s">
        <v>11345</v>
      </c>
      <c r="G1688" s="1" t="s">
        <v>11346</v>
      </c>
    </row>
    <row r="1689" spans="1:7" x14ac:dyDescent="0.2">
      <c r="A1689" s="1" t="s">
        <v>11347</v>
      </c>
      <c r="B1689" s="1" t="s">
        <v>11348</v>
      </c>
      <c r="C1689" s="1" t="s">
        <v>11349</v>
      </c>
      <c r="D1689" s="1" t="s">
        <v>11350</v>
      </c>
      <c r="E1689" s="1" t="s">
        <v>11351</v>
      </c>
      <c r="F1689" s="1" t="s">
        <v>11352</v>
      </c>
      <c r="G1689" s="1" t="s">
        <v>11353</v>
      </c>
    </row>
    <row r="1690" spans="1:7" x14ac:dyDescent="0.2">
      <c r="A1690" s="1" t="s">
        <v>11354</v>
      </c>
      <c r="B1690" s="1" t="s">
        <v>11355</v>
      </c>
      <c r="C1690" s="1" t="s">
        <v>11356</v>
      </c>
      <c r="D1690" s="1" t="s">
        <v>11357</v>
      </c>
      <c r="E1690" s="1" t="s">
        <v>11358</v>
      </c>
      <c r="F1690" s="1" t="s">
        <v>11359</v>
      </c>
      <c r="G1690" s="1" t="s">
        <v>11360</v>
      </c>
    </row>
    <row r="1691" spans="1:7" x14ac:dyDescent="0.2">
      <c r="A1691" s="1" t="s">
        <v>11361</v>
      </c>
      <c r="B1691" s="1" t="s">
        <v>11362</v>
      </c>
      <c r="C1691" s="1" t="s">
        <v>11363</v>
      </c>
      <c r="D1691" s="1" t="s">
        <v>11364</v>
      </c>
      <c r="E1691" s="1" t="s">
        <v>11365</v>
      </c>
      <c r="F1691" s="1" t="s">
        <v>11366</v>
      </c>
      <c r="G1691" s="1" t="s">
        <v>11367</v>
      </c>
    </row>
    <row r="1692" spans="1:7" x14ac:dyDescent="0.2">
      <c r="A1692" s="1" t="s">
        <v>11368</v>
      </c>
      <c r="B1692" s="1" t="s">
        <v>11369</v>
      </c>
      <c r="C1692" s="1" t="s">
        <v>11370</v>
      </c>
      <c r="D1692" s="1" t="s">
        <v>11371</v>
      </c>
      <c r="E1692" s="1" t="s">
        <v>11372</v>
      </c>
      <c r="F1692" s="1" t="s">
        <v>11373</v>
      </c>
      <c r="G1692" s="1" t="s">
        <v>11374</v>
      </c>
    </row>
    <row r="1693" spans="1:7" x14ac:dyDescent="0.2">
      <c r="A1693" s="1" t="s">
        <v>11375</v>
      </c>
      <c r="B1693" s="1" t="s">
        <v>11376</v>
      </c>
      <c r="C1693" s="1" t="s">
        <v>11377</v>
      </c>
      <c r="D1693" s="1" t="s">
        <v>11378</v>
      </c>
      <c r="E1693" s="1" t="s">
        <v>11379</v>
      </c>
      <c r="F1693" s="1" t="s">
        <v>11380</v>
      </c>
      <c r="G1693" s="1" t="s">
        <v>11381</v>
      </c>
    </row>
    <row r="1694" spans="1:7" x14ac:dyDescent="0.2">
      <c r="A1694" s="1" t="s">
        <v>11382</v>
      </c>
      <c r="B1694" s="1" t="s">
        <v>11383</v>
      </c>
      <c r="C1694" s="1" t="s">
        <v>11384</v>
      </c>
      <c r="D1694" s="1" t="s">
        <v>11385</v>
      </c>
      <c r="E1694" s="1" t="s">
        <v>11386</v>
      </c>
      <c r="F1694" s="1" t="s">
        <v>11387</v>
      </c>
      <c r="G1694" s="1" t="s">
        <v>11388</v>
      </c>
    </row>
    <row r="1695" spans="1:7" x14ac:dyDescent="0.2">
      <c r="A1695" s="1" t="s">
        <v>11389</v>
      </c>
      <c r="B1695" s="1" t="s">
        <v>11390</v>
      </c>
      <c r="C1695" s="1" t="s">
        <v>11391</v>
      </c>
      <c r="D1695" s="1" t="s">
        <v>11392</v>
      </c>
      <c r="E1695" s="1" t="s">
        <v>11393</v>
      </c>
      <c r="F1695" s="1" t="s">
        <v>11394</v>
      </c>
      <c r="G1695" s="1" t="s">
        <v>11395</v>
      </c>
    </row>
    <row r="1696" spans="1:7" x14ac:dyDescent="0.2">
      <c r="A1696" s="1" t="s">
        <v>11396</v>
      </c>
      <c r="B1696" s="1" t="s">
        <v>11397</v>
      </c>
      <c r="C1696" s="1" t="s">
        <v>11398</v>
      </c>
      <c r="D1696" s="1" t="s">
        <v>11399</v>
      </c>
      <c r="E1696" s="1" t="s">
        <v>11400</v>
      </c>
      <c r="F1696" s="1" t="s">
        <v>11401</v>
      </c>
      <c r="G1696" s="1" t="s">
        <v>11402</v>
      </c>
    </row>
    <row r="1697" spans="1:7" x14ac:dyDescent="0.2">
      <c r="A1697" s="1" t="s">
        <v>11403</v>
      </c>
      <c r="B1697" s="1" t="s">
        <v>11404</v>
      </c>
      <c r="C1697" s="1" t="s">
        <v>11405</v>
      </c>
      <c r="D1697" s="1" t="s">
        <v>11406</v>
      </c>
      <c r="E1697" s="1" t="s">
        <v>11351</v>
      </c>
      <c r="F1697" s="1" t="s">
        <v>11407</v>
      </c>
      <c r="G1697" s="1" t="s">
        <v>11408</v>
      </c>
    </row>
    <row r="1698" spans="1:7" x14ac:dyDescent="0.2">
      <c r="A1698" s="1" t="s">
        <v>11409</v>
      </c>
      <c r="B1698" s="1" t="s">
        <v>11410</v>
      </c>
      <c r="C1698" s="1" t="s">
        <v>11411</v>
      </c>
      <c r="D1698" s="1" t="s">
        <v>11412</v>
      </c>
      <c r="E1698" s="1" t="s">
        <v>11413</v>
      </c>
      <c r="F1698" s="1" t="s">
        <v>11414</v>
      </c>
      <c r="G1698" s="1" t="s">
        <v>11415</v>
      </c>
    </row>
    <row r="1699" spans="1:7" x14ac:dyDescent="0.2">
      <c r="A1699" s="1" t="s">
        <v>11416</v>
      </c>
      <c r="B1699" s="1" t="s">
        <v>11417</v>
      </c>
      <c r="C1699" s="1" t="s">
        <v>11418</v>
      </c>
      <c r="D1699" s="1" t="s">
        <v>11419</v>
      </c>
      <c r="E1699" s="1" t="s">
        <v>11406</v>
      </c>
      <c r="F1699" s="1" t="s">
        <v>11420</v>
      </c>
      <c r="G1699" s="1" t="s">
        <v>11421</v>
      </c>
    </row>
    <row r="1700" spans="1:7" x14ac:dyDescent="0.2">
      <c r="A1700" s="1" t="s">
        <v>11422</v>
      </c>
      <c r="B1700" s="1" t="s">
        <v>11423</v>
      </c>
      <c r="C1700" s="1" t="s">
        <v>11424</v>
      </c>
      <c r="D1700" s="1" t="s">
        <v>11425</v>
      </c>
      <c r="E1700" s="1" t="s">
        <v>11426</v>
      </c>
      <c r="F1700" s="1" t="s">
        <v>11427</v>
      </c>
      <c r="G1700" s="1" t="s">
        <v>11428</v>
      </c>
    </row>
    <row r="1701" spans="1:7" x14ac:dyDescent="0.2">
      <c r="A1701" s="1" t="s">
        <v>11429</v>
      </c>
      <c r="B1701" s="1" t="s">
        <v>11430</v>
      </c>
      <c r="C1701" s="1" t="s">
        <v>11431</v>
      </c>
      <c r="D1701" s="1" t="s">
        <v>11432</v>
      </c>
      <c r="E1701" s="1" t="s">
        <v>11433</v>
      </c>
      <c r="F1701" s="1" t="s">
        <v>11434</v>
      </c>
      <c r="G1701" s="1" t="s">
        <v>11435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40EB-3A7F-D449-810D-7631625C1A17}">
  <dimension ref="A1:P1510"/>
  <sheetViews>
    <sheetView tabSelected="1" zoomScale="90" workbookViewId="0">
      <selection activeCell="N14" sqref="N14"/>
    </sheetView>
  </sheetViews>
  <sheetFormatPr baseColWidth="10" defaultRowHeight="16" x14ac:dyDescent="0.2"/>
  <cols>
    <col min="2" max="2" width="18.83203125" bestFit="1" customWidth="1"/>
    <col min="3" max="3" width="17.83203125" bestFit="1" customWidth="1"/>
    <col min="4" max="4" width="17" bestFit="1" customWidth="1"/>
    <col min="5" max="5" width="15.6640625" bestFit="1" customWidth="1"/>
    <col min="6" max="6" width="16.83203125" bestFit="1" customWidth="1"/>
    <col min="7" max="7" width="16.33203125" bestFit="1" customWidth="1"/>
    <col min="8" max="8" width="20.83203125" bestFit="1" customWidth="1"/>
    <col min="15" max="15" width="11.6640625" customWidth="1"/>
    <col min="16" max="16" width="16.1640625" bestFit="1" customWidth="1"/>
  </cols>
  <sheetData>
    <row r="1" spans="1:16" x14ac:dyDescent="0.2">
      <c r="A1" s="9" t="s">
        <v>11436</v>
      </c>
      <c r="B1" s="9" t="s">
        <v>11437</v>
      </c>
      <c r="C1" s="9" t="s">
        <v>11438</v>
      </c>
      <c r="D1" s="9" t="s">
        <v>11439</v>
      </c>
      <c r="E1" s="9" t="s">
        <v>11440</v>
      </c>
      <c r="F1" s="9" t="s">
        <v>11441</v>
      </c>
      <c r="G1" s="9" t="s">
        <v>11442</v>
      </c>
      <c r="H1" s="9" t="s">
        <v>11443</v>
      </c>
    </row>
    <row r="2" spans="1:16" x14ac:dyDescent="0.2">
      <c r="A2" s="11" t="s">
        <v>18</v>
      </c>
      <c r="B2" s="4" t="s">
        <v>20</v>
      </c>
      <c r="C2" s="5"/>
      <c r="D2" s="5" t="str">
        <f ca="1">IF(ROW()&gt;253,B3/OFFSET(B3,-252,0)-1,"")</f>
        <v/>
      </c>
      <c r="E2" s="5"/>
      <c r="F2" s="5">
        <f>IF(Tabela3[[#This Row],[Retorno_Diário]]&gt;0,1,-1)</f>
        <v>-1</v>
      </c>
      <c r="G2" s="5">
        <f>Tabela3[[#This Row],[Sinal_TSMOM]]*(0.4*Tabela3[[#This Row],[Volatilidade]])</f>
        <v>0</v>
      </c>
      <c r="H2" s="5">
        <f>Tabela3[[#This Row],[Position_Size]]*Tabela3[[#This Row],[Retorno_Diário]]</f>
        <v>0</v>
      </c>
    </row>
    <row r="3" spans="1:16" x14ac:dyDescent="0.2">
      <c r="A3" s="11" t="s">
        <v>25</v>
      </c>
      <c r="B3" s="4" t="s">
        <v>27</v>
      </c>
      <c r="C3" s="5">
        <f>B3/B2-1</f>
        <v>6.5813910700106337E-2</v>
      </c>
      <c r="D3" s="5" t="str">
        <f t="shared" ref="D3:D66" ca="1" si="0">IF(ROW()&gt;253,B4/OFFSET(B4,-252,0)-1,"")</f>
        <v/>
      </c>
      <c r="E3" s="5"/>
      <c r="F3" s="5">
        <f>IF(Tabela3[[#This Row],[Retorno_Diário]]&gt;0,1,-1)</f>
        <v>1</v>
      </c>
      <c r="G3" s="5">
        <f>Tabela3[[#This Row],[Sinal_TSMOM]]*(0.4*Tabela3[[#This Row],[Volatilidade]])</f>
        <v>0</v>
      </c>
      <c r="H3" s="5">
        <f>Tabela3[[#This Row],[Position_Size]]*Tabela3[[#This Row],[Retorno_Diário]]</f>
        <v>0</v>
      </c>
    </row>
    <row r="4" spans="1:16" x14ac:dyDescent="0.2">
      <c r="A4" s="11" t="s">
        <v>32</v>
      </c>
      <c r="B4" s="4" t="s">
        <v>34</v>
      </c>
      <c r="C4" s="5">
        <f t="shared" ref="C4:C67" si="1">B4/B3-1</f>
        <v>5.2713095065719529E-3</v>
      </c>
      <c r="D4" s="5" t="str">
        <f t="shared" ca="1" si="0"/>
        <v/>
      </c>
      <c r="E4" s="5"/>
      <c r="F4" s="5">
        <f>IF(Tabela3[[#This Row],[Retorno_Diário]]&gt;0,1,-1)</f>
        <v>1</v>
      </c>
      <c r="G4" s="5">
        <f>Tabela3[[#This Row],[Sinal_TSMOM]]*(0.4*Tabela3[[#This Row],[Volatilidade]])</f>
        <v>0</v>
      </c>
      <c r="H4" s="5">
        <f>Tabela3[[#This Row],[Position_Size]]*Tabela3[[#This Row],[Retorno_Diário]]</f>
        <v>0</v>
      </c>
    </row>
    <row r="5" spans="1:16" x14ac:dyDescent="0.2">
      <c r="A5" s="11" t="s">
        <v>39</v>
      </c>
      <c r="B5" s="4" t="s">
        <v>41</v>
      </c>
      <c r="C5" s="5">
        <f t="shared" si="1"/>
        <v>8.4742576686192006E-3</v>
      </c>
      <c r="D5" s="5" t="str">
        <f t="shared" ca="1" si="0"/>
        <v/>
      </c>
      <c r="E5" s="5"/>
      <c r="F5" s="5">
        <f>IF(Tabela3[[#This Row],[Retorno_Diário]]&gt;0,1,-1)</f>
        <v>1</v>
      </c>
      <c r="G5" s="5">
        <f>Tabela3[[#This Row],[Sinal_TSMOM]]*(0.4*Tabela3[[#This Row],[Volatilidade]])</f>
        <v>0</v>
      </c>
      <c r="H5" s="5">
        <f>Tabela3[[#This Row],[Position_Size]]*Tabela3[[#This Row],[Retorno_Diário]]</f>
        <v>0</v>
      </c>
      <c r="K5" s="15" t="s">
        <v>11436</v>
      </c>
      <c r="L5" s="15" t="s">
        <v>11439</v>
      </c>
      <c r="M5" s="15" t="s">
        <v>11440</v>
      </c>
      <c r="N5" s="15" t="s">
        <v>11441</v>
      </c>
      <c r="O5" s="15" t="s">
        <v>11442</v>
      </c>
      <c r="P5" s="15" t="s">
        <v>11443</v>
      </c>
    </row>
    <row r="6" spans="1:16" x14ac:dyDescent="0.2">
      <c r="A6" s="11" t="s">
        <v>46</v>
      </c>
      <c r="B6" s="4" t="s">
        <v>48</v>
      </c>
      <c r="C6" s="5">
        <f t="shared" si="1"/>
        <v>3.0640660137407627E-2</v>
      </c>
      <c r="D6" s="5" t="str">
        <f t="shared" ca="1" si="0"/>
        <v/>
      </c>
      <c r="E6" s="5"/>
      <c r="F6" s="5">
        <f>IF(Tabela3[[#This Row],[Retorno_Diário]]&gt;0,1,-1)</f>
        <v>1</v>
      </c>
      <c r="G6" s="5">
        <f>Tabela3[[#This Row],[Sinal_TSMOM]]*(0.4*Tabela3[[#This Row],[Volatilidade]])</f>
        <v>0</v>
      </c>
      <c r="H6" s="5">
        <f>Tabela3[[#This Row],[Position_Size]]*Tabela3[[#This Row],[Retorno_Diário]]</f>
        <v>0</v>
      </c>
      <c r="K6" s="16" t="s">
        <v>1696</v>
      </c>
      <c r="L6" s="17">
        <v>-0.3303235144662372</v>
      </c>
      <c r="M6" s="17">
        <v>0.48984375281798331</v>
      </c>
      <c r="N6" s="17">
        <v>-1</v>
      </c>
      <c r="O6" s="18">
        <v>-0.19593750112719333</v>
      </c>
      <c r="P6" s="18">
        <v>2.1989846438304103E-4</v>
      </c>
    </row>
    <row r="7" spans="1:16" x14ac:dyDescent="0.2">
      <c r="A7" s="11" t="s">
        <v>53</v>
      </c>
      <c r="B7" s="4" t="s">
        <v>55</v>
      </c>
      <c r="C7" s="5">
        <f t="shared" si="1"/>
        <v>-2.7029363029829057E-4</v>
      </c>
      <c r="D7" s="5" t="str">
        <f t="shared" ca="1" si="0"/>
        <v/>
      </c>
      <c r="E7" s="5"/>
      <c r="F7" s="5">
        <f>IF(Tabela3[[#This Row],[Retorno_Diário]]&gt;0,1,-1)</f>
        <v>-1</v>
      </c>
      <c r="G7" s="5">
        <f>Tabela3[[#This Row],[Sinal_TSMOM]]*(0.4*Tabela3[[#This Row],[Volatilidade]])</f>
        <v>0</v>
      </c>
      <c r="H7" s="5">
        <f>Tabela3[[#This Row],[Position_Size]]*Tabela3[[#This Row],[Retorno_Diário]]</f>
        <v>0</v>
      </c>
      <c r="K7" s="16" t="s">
        <v>3348</v>
      </c>
      <c r="L7" s="17">
        <v>0.72735289492878086</v>
      </c>
      <c r="M7" s="17">
        <v>0.40609173718341124</v>
      </c>
      <c r="N7" s="17">
        <v>1</v>
      </c>
      <c r="O7" s="18">
        <v>0.16243669487336451</v>
      </c>
      <c r="P7" s="18">
        <v>2.0835997275283607E-3</v>
      </c>
    </row>
    <row r="8" spans="1:16" x14ac:dyDescent="0.2">
      <c r="A8" s="11" t="s">
        <v>60</v>
      </c>
      <c r="B8" s="4" t="s">
        <v>62</v>
      </c>
      <c r="C8" s="5">
        <f t="shared" si="1"/>
        <v>7.8399470335637211E-3</v>
      </c>
      <c r="D8" s="5" t="str">
        <f t="shared" ca="1" si="0"/>
        <v/>
      </c>
      <c r="E8" s="5"/>
      <c r="F8" s="5">
        <f>IF(Tabela3[[#This Row],[Retorno_Diário]]&gt;0,1,-1)</f>
        <v>1</v>
      </c>
      <c r="G8" s="5">
        <f>Tabela3[[#This Row],[Sinal_TSMOM]]*(0.4*Tabela3[[#This Row],[Volatilidade]])</f>
        <v>0</v>
      </c>
      <c r="H8" s="5">
        <f>Tabela3[[#This Row],[Position_Size]]*Tabela3[[#This Row],[Retorno_Diário]]</f>
        <v>0</v>
      </c>
      <c r="K8" s="16" t="s">
        <v>5028</v>
      </c>
      <c r="L8" s="17">
        <v>1.1766496984105643</v>
      </c>
      <c r="M8" s="17">
        <v>0.57824019982606922</v>
      </c>
      <c r="N8" s="17">
        <v>-1</v>
      </c>
      <c r="O8" s="18">
        <v>-0.23129607993042769</v>
      </c>
      <c r="P8" s="18">
        <v>1.5967182688344185E-3</v>
      </c>
    </row>
    <row r="9" spans="1:16" x14ac:dyDescent="0.2">
      <c r="A9" s="11" t="s">
        <v>66</v>
      </c>
      <c r="B9" s="4" t="s">
        <v>68</v>
      </c>
      <c r="C9" s="5">
        <f t="shared" si="1"/>
        <v>1.7883098834399203E-3</v>
      </c>
      <c r="D9" s="5" t="str">
        <f t="shared" ca="1" si="0"/>
        <v/>
      </c>
      <c r="E9" s="5"/>
      <c r="F9" s="5">
        <f>IF(Tabela3[[#This Row],[Retorno_Diário]]&gt;0,1,-1)</f>
        <v>1</v>
      </c>
      <c r="G9" s="5">
        <f>Tabela3[[#This Row],[Sinal_TSMOM]]*(0.4*Tabela3[[#This Row],[Volatilidade]])</f>
        <v>0</v>
      </c>
      <c r="H9" s="5">
        <f>Tabela3[[#This Row],[Position_Size]]*Tabela3[[#This Row],[Retorno_Diário]]</f>
        <v>0</v>
      </c>
      <c r="K9" s="16" t="s">
        <v>6749</v>
      </c>
      <c r="L9" s="17">
        <v>1.2428032258606527</v>
      </c>
      <c r="M9" s="17">
        <v>0.44894027511228213</v>
      </c>
      <c r="N9" s="17">
        <v>-1</v>
      </c>
      <c r="O9" s="18">
        <v>-0.17957611004491286</v>
      </c>
      <c r="P9" s="18">
        <v>1.0621923983089728E-3</v>
      </c>
    </row>
    <row r="10" spans="1:16" x14ac:dyDescent="0.2">
      <c r="A10" s="11" t="s">
        <v>72</v>
      </c>
      <c r="B10" s="4" t="s">
        <v>74</v>
      </c>
      <c r="C10" s="5">
        <f t="shared" si="1"/>
        <v>-4.9089881161833437E-3</v>
      </c>
      <c r="D10" s="5" t="str">
        <f t="shared" ca="1" si="0"/>
        <v/>
      </c>
      <c r="E10" s="5"/>
      <c r="F10" s="5">
        <f>IF(Tabela3[[#This Row],[Retorno_Diário]]&gt;0,1,-1)</f>
        <v>-1</v>
      </c>
      <c r="G10" s="5">
        <f>Tabela3[[#This Row],[Sinal_TSMOM]]*(0.4*Tabela3[[#This Row],[Volatilidade]])</f>
        <v>0</v>
      </c>
      <c r="H10" s="5">
        <f>Tabela3[[#This Row],[Position_Size]]*Tabela3[[#This Row],[Retorno_Diário]]</f>
        <v>0</v>
      </c>
      <c r="K10" s="16" t="s">
        <v>8443</v>
      </c>
      <c r="L10" s="17">
        <v>-0.51482353906664313</v>
      </c>
      <c r="M10" s="17">
        <v>0.62961036202376586</v>
      </c>
      <c r="N10" s="17">
        <v>1</v>
      </c>
      <c r="O10" s="18">
        <v>0.25184414480950634</v>
      </c>
      <c r="P10" s="18">
        <v>1.8971753269598652E-4</v>
      </c>
    </row>
    <row r="11" spans="1:16" x14ac:dyDescent="0.2">
      <c r="A11" s="11" t="s">
        <v>79</v>
      </c>
      <c r="B11" s="4" t="s">
        <v>81</v>
      </c>
      <c r="C11" s="5">
        <f t="shared" si="1"/>
        <v>-1.287113874819279E-2</v>
      </c>
      <c r="D11" s="5" t="str">
        <f t="shared" ca="1" si="0"/>
        <v/>
      </c>
      <c r="E11" s="5"/>
      <c r="F11" s="5">
        <f>IF(Tabela3[[#This Row],[Retorno_Diário]]&gt;0,1,-1)</f>
        <v>-1</v>
      </c>
      <c r="G11" s="5">
        <f>Tabela3[[#This Row],[Sinal_TSMOM]]*(0.4*Tabela3[[#This Row],[Volatilidade]])</f>
        <v>0</v>
      </c>
      <c r="H11" s="5">
        <f>Tabela3[[#This Row],[Position_Size]]*Tabela3[[#This Row],[Retorno_Diário]]</f>
        <v>0</v>
      </c>
      <c r="K11" s="16" t="s">
        <v>10130</v>
      </c>
      <c r="L11" s="17">
        <v>-1.1038503297377531</v>
      </c>
      <c r="M11" s="17">
        <v>0.48138553277690438</v>
      </c>
      <c r="N11" s="17">
        <v>1</v>
      </c>
      <c r="O11" s="18">
        <v>0.19255421311076176</v>
      </c>
      <c r="P11" s="18">
        <v>4.0913257193302637E-4</v>
      </c>
    </row>
    <row r="12" spans="1:16" x14ac:dyDescent="0.2">
      <c r="A12" s="11" t="s">
        <v>86</v>
      </c>
      <c r="B12" s="4" t="s">
        <v>88</v>
      </c>
      <c r="C12" s="5">
        <f t="shared" si="1"/>
        <v>2.0944093826545496E-2</v>
      </c>
      <c r="D12" s="5" t="str">
        <f t="shared" ca="1" si="0"/>
        <v/>
      </c>
      <c r="E12" s="5"/>
      <c r="F12" s="5">
        <f>IF(Tabela3[[#This Row],[Retorno_Diário]]&gt;0,1,-1)</f>
        <v>1</v>
      </c>
      <c r="G12" s="5">
        <f>Tabela3[[#This Row],[Sinal_TSMOM]]*(0.4*Tabela3[[#This Row],[Volatilidade]])</f>
        <v>0</v>
      </c>
      <c r="H12" s="5">
        <f>Tabela3[[#This Row],[Position_Size]]*Tabela3[[#This Row],[Retorno_Diário]]</f>
        <v>0</v>
      </c>
    </row>
    <row r="13" spans="1:16" x14ac:dyDescent="0.2">
      <c r="A13" s="11" t="s">
        <v>93</v>
      </c>
      <c r="B13" s="4" t="s">
        <v>95</v>
      </c>
      <c r="C13" s="5">
        <f t="shared" si="1"/>
        <v>-1.2459895771440577E-3</v>
      </c>
      <c r="D13" s="5" t="str">
        <f t="shared" ca="1" si="0"/>
        <v/>
      </c>
      <c r="E13" s="5"/>
      <c r="F13" s="5">
        <f>IF(Tabela3[[#This Row],[Retorno_Diário]]&gt;0,1,-1)</f>
        <v>-1</v>
      </c>
      <c r="G13" s="5">
        <f>Tabela3[[#This Row],[Sinal_TSMOM]]*(0.4*Tabela3[[#This Row],[Volatilidade]])</f>
        <v>0</v>
      </c>
      <c r="H13" s="5">
        <f>Tabela3[[#This Row],[Position_Size]]*Tabela3[[#This Row],[Retorno_Diário]]</f>
        <v>0</v>
      </c>
    </row>
    <row r="14" spans="1:16" x14ac:dyDescent="0.2">
      <c r="A14" s="11" t="s">
        <v>100</v>
      </c>
      <c r="B14" s="4" t="s">
        <v>102</v>
      </c>
      <c r="C14" s="5">
        <f t="shared" si="1"/>
        <v>2.5262851062961778E-2</v>
      </c>
      <c r="D14" s="5" t="str">
        <f t="shared" ca="1" si="0"/>
        <v/>
      </c>
      <c r="E14" s="5"/>
      <c r="F14" s="5">
        <f>IF(Tabela3[[#This Row],[Retorno_Diário]]&gt;0,1,-1)</f>
        <v>1</v>
      </c>
      <c r="G14" s="5">
        <f>Tabela3[[#This Row],[Sinal_TSMOM]]*(0.4*Tabela3[[#This Row],[Volatilidade]])</f>
        <v>0</v>
      </c>
      <c r="H14" s="5">
        <f>Tabela3[[#This Row],[Position_Size]]*Tabela3[[#This Row],[Retorno_Diário]]</f>
        <v>0</v>
      </c>
    </row>
    <row r="15" spans="1:16" x14ac:dyDescent="0.2">
      <c r="A15" s="11" t="s">
        <v>107</v>
      </c>
      <c r="B15" s="4" t="s">
        <v>109</v>
      </c>
      <c r="C15" s="5">
        <f t="shared" si="1"/>
        <v>1.5557768311720732E-2</v>
      </c>
      <c r="D15" s="5" t="str">
        <f t="shared" ca="1" si="0"/>
        <v/>
      </c>
      <c r="E15" s="5"/>
      <c r="F15" s="5">
        <f>IF(Tabela3[[#This Row],[Retorno_Diário]]&gt;0,1,-1)</f>
        <v>1</v>
      </c>
      <c r="G15" s="5">
        <f>Tabela3[[#This Row],[Sinal_TSMOM]]*(0.4*Tabela3[[#This Row],[Volatilidade]])</f>
        <v>0</v>
      </c>
      <c r="H15" s="5">
        <f>Tabela3[[#This Row],[Position_Size]]*Tabela3[[#This Row],[Retorno_Diário]]</f>
        <v>0</v>
      </c>
    </row>
    <row r="16" spans="1:16" x14ac:dyDescent="0.2">
      <c r="A16" s="11" t="s">
        <v>114</v>
      </c>
      <c r="B16" s="4" t="s">
        <v>116</v>
      </c>
      <c r="C16" s="5">
        <f t="shared" si="1"/>
        <v>2.2337339127393774E-2</v>
      </c>
      <c r="D16" s="5" t="str">
        <f t="shared" ca="1" si="0"/>
        <v/>
      </c>
      <c r="E16" s="5"/>
      <c r="F16" s="5">
        <f>IF(Tabela3[[#This Row],[Retorno_Diário]]&gt;0,1,-1)</f>
        <v>1</v>
      </c>
      <c r="G16" s="5">
        <f>Tabela3[[#This Row],[Sinal_TSMOM]]*(0.4*Tabela3[[#This Row],[Volatilidade]])</f>
        <v>0</v>
      </c>
      <c r="H16" s="5">
        <f>Tabela3[[#This Row],[Position_Size]]*Tabela3[[#This Row],[Retorno_Diário]]</f>
        <v>0</v>
      </c>
    </row>
    <row r="17" spans="1:8" x14ac:dyDescent="0.2">
      <c r="A17" s="11" t="s">
        <v>121</v>
      </c>
      <c r="B17" s="4" t="s">
        <v>123</v>
      </c>
      <c r="C17" s="5">
        <f t="shared" si="1"/>
        <v>-1.3017488353006312E-2</v>
      </c>
      <c r="D17" s="5" t="str">
        <f t="shared" ca="1" si="0"/>
        <v/>
      </c>
      <c r="E17" s="5"/>
      <c r="F17" s="5">
        <f>IF(Tabela3[[#This Row],[Retorno_Diário]]&gt;0,1,-1)</f>
        <v>-1</v>
      </c>
      <c r="G17" s="5">
        <f>Tabela3[[#This Row],[Sinal_TSMOM]]*(0.4*Tabela3[[#This Row],[Volatilidade]])</f>
        <v>0</v>
      </c>
      <c r="H17" s="5">
        <f>Tabela3[[#This Row],[Position_Size]]*Tabela3[[#This Row],[Retorno_Diário]]</f>
        <v>0</v>
      </c>
    </row>
    <row r="18" spans="1:8" x14ac:dyDescent="0.2">
      <c r="A18" s="11" t="s">
        <v>128</v>
      </c>
      <c r="B18" s="4" t="s">
        <v>130</v>
      </c>
      <c r="C18" s="5">
        <f t="shared" si="1"/>
        <v>2.332498106603742E-3</v>
      </c>
      <c r="D18" s="5" t="str">
        <f t="shared" ca="1" si="0"/>
        <v/>
      </c>
      <c r="E18" s="5"/>
      <c r="F18" s="5">
        <f>IF(Tabela3[[#This Row],[Retorno_Diário]]&gt;0,1,-1)</f>
        <v>1</v>
      </c>
      <c r="G18" s="5">
        <f>Tabela3[[#This Row],[Sinal_TSMOM]]*(0.4*Tabela3[[#This Row],[Volatilidade]])</f>
        <v>0</v>
      </c>
      <c r="H18" s="5">
        <f>Tabela3[[#This Row],[Position_Size]]*Tabela3[[#This Row],[Retorno_Diário]]</f>
        <v>0</v>
      </c>
    </row>
    <row r="19" spans="1:8" x14ac:dyDescent="0.2">
      <c r="A19" s="11" t="s">
        <v>135</v>
      </c>
      <c r="B19" s="4" t="s">
        <v>137</v>
      </c>
      <c r="C19" s="5">
        <f t="shared" si="1"/>
        <v>2.9532470804493061E-2</v>
      </c>
      <c r="D19" s="5" t="str">
        <f t="shared" ca="1" si="0"/>
        <v/>
      </c>
      <c r="E19" s="5"/>
      <c r="F19" s="5">
        <f>IF(Tabela3[[#This Row],[Retorno_Diário]]&gt;0,1,-1)</f>
        <v>1</v>
      </c>
      <c r="G19" s="5">
        <f>Tabela3[[#This Row],[Sinal_TSMOM]]*(0.4*Tabela3[[#This Row],[Volatilidade]])</f>
        <v>0</v>
      </c>
      <c r="H19" s="5">
        <f>Tabela3[[#This Row],[Position_Size]]*Tabela3[[#This Row],[Retorno_Diário]]</f>
        <v>0</v>
      </c>
    </row>
    <row r="20" spans="1:8" x14ac:dyDescent="0.2">
      <c r="A20" s="11" t="s">
        <v>142</v>
      </c>
      <c r="B20" s="4" t="s">
        <v>144</v>
      </c>
      <c r="C20" s="5">
        <f t="shared" si="1"/>
        <v>1.4465922006662968E-2</v>
      </c>
      <c r="D20" s="5" t="str">
        <f t="shared" ca="1" si="0"/>
        <v/>
      </c>
      <c r="E20" s="5"/>
      <c r="F20" s="5">
        <f>IF(Tabela3[[#This Row],[Retorno_Diário]]&gt;0,1,-1)</f>
        <v>1</v>
      </c>
      <c r="G20" s="5">
        <f>Tabela3[[#This Row],[Sinal_TSMOM]]*(0.4*Tabela3[[#This Row],[Volatilidade]])</f>
        <v>0</v>
      </c>
      <c r="H20" s="5">
        <f>Tabela3[[#This Row],[Position_Size]]*Tabela3[[#This Row],[Retorno_Diário]]</f>
        <v>0</v>
      </c>
    </row>
    <row r="21" spans="1:8" x14ac:dyDescent="0.2">
      <c r="A21" s="11" t="s">
        <v>149</v>
      </c>
      <c r="B21" s="4" t="s">
        <v>151</v>
      </c>
      <c r="C21" s="5">
        <f t="shared" si="1"/>
        <v>-1.6730812872057466E-2</v>
      </c>
      <c r="D21" s="5" t="str">
        <f t="shared" ca="1" si="0"/>
        <v/>
      </c>
      <c r="E21" s="5"/>
      <c r="F21" s="5">
        <f>IF(Tabela3[[#This Row],[Retorno_Diário]]&gt;0,1,-1)</f>
        <v>-1</v>
      </c>
      <c r="G21" s="5">
        <f>Tabela3[[#This Row],[Sinal_TSMOM]]*(0.4*Tabela3[[#This Row],[Volatilidade]])</f>
        <v>0</v>
      </c>
      <c r="H21" s="5">
        <f>Tabela3[[#This Row],[Position_Size]]*Tabela3[[#This Row],[Retorno_Diário]]</f>
        <v>0</v>
      </c>
    </row>
    <row r="22" spans="1:8" x14ac:dyDescent="0.2">
      <c r="A22" s="11" t="s">
        <v>156</v>
      </c>
      <c r="B22" s="4" t="s">
        <v>158</v>
      </c>
      <c r="C22" s="5">
        <f t="shared" si="1"/>
        <v>1.2689542382479102E-2</v>
      </c>
      <c r="D22" s="5" t="str">
        <f t="shared" ca="1" si="0"/>
        <v/>
      </c>
      <c r="E22" s="5"/>
      <c r="F22" s="5">
        <f>IF(Tabela3[[#This Row],[Retorno_Diário]]&gt;0,1,-1)</f>
        <v>1</v>
      </c>
      <c r="G22" s="5">
        <f>Tabela3[[#This Row],[Sinal_TSMOM]]*(0.4*Tabela3[[#This Row],[Volatilidade]])</f>
        <v>0</v>
      </c>
      <c r="H22" s="5">
        <f>Tabela3[[#This Row],[Position_Size]]*Tabela3[[#This Row],[Retorno_Diário]]</f>
        <v>0</v>
      </c>
    </row>
    <row r="23" spans="1:8" x14ac:dyDescent="0.2">
      <c r="A23" s="11" t="s">
        <v>163</v>
      </c>
      <c r="B23" s="4" t="s">
        <v>165</v>
      </c>
      <c r="C23" s="5">
        <f t="shared" si="1"/>
        <v>-2.1562273730292625E-2</v>
      </c>
      <c r="D23" s="5" t="str">
        <f t="shared" ca="1" si="0"/>
        <v/>
      </c>
      <c r="E23" s="5"/>
      <c r="F23" s="5">
        <f>IF(Tabela3[[#This Row],[Retorno_Diário]]&gt;0,1,-1)</f>
        <v>-1</v>
      </c>
      <c r="G23" s="5">
        <f>Tabela3[[#This Row],[Sinal_TSMOM]]*(0.4*Tabela3[[#This Row],[Volatilidade]])</f>
        <v>0</v>
      </c>
      <c r="H23" s="5">
        <f>Tabela3[[#This Row],[Position_Size]]*Tabela3[[#This Row],[Retorno_Diário]]</f>
        <v>0</v>
      </c>
    </row>
    <row r="24" spans="1:8" x14ac:dyDescent="0.2">
      <c r="A24" s="11" t="s">
        <v>170</v>
      </c>
      <c r="B24" s="4" t="s">
        <v>172</v>
      </c>
      <c r="C24" s="5">
        <f t="shared" si="1"/>
        <v>-2.9022868040180172E-2</v>
      </c>
      <c r="D24" s="5" t="str">
        <f t="shared" ca="1" si="0"/>
        <v/>
      </c>
      <c r="E24" s="5"/>
      <c r="F24" s="5">
        <f>IF(Tabela3[[#This Row],[Retorno_Diário]]&gt;0,1,-1)</f>
        <v>-1</v>
      </c>
      <c r="G24" s="5">
        <f>Tabela3[[#This Row],[Sinal_TSMOM]]*(0.4*Tabela3[[#This Row],[Volatilidade]])</f>
        <v>0</v>
      </c>
      <c r="H24" s="5">
        <f>Tabela3[[#This Row],[Position_Size]]*Tabela3[[#This Row],[Retorno_Diário]]</f>
        <v>0</v>
      </c>
    </row>
    <row r="25" spans="1:8" x14ac:dyDescent="0.2">
      <c r="A25" s="11" t="s">
        <v>177</v>
      </c>
      <c r="B25" s="4" t="s">
        <v>28</v>
      </c>
      <c r="C25" s="5">
        <f t="shared" si="1"/>
        <v>-8.4874893134319285E-2</v>
      </c>
      <c r="D25" s="5" t="str">
        <f t="shared" ca="1" si="0"/>
        <v/>
      </c>
      <c r="E25" s="5"/>
      <c r="F25" s="5">
        <f>IF(Tabela3[[#This Row],[Retorno_Diário]]&gt;0,1,-1)</f>
        <v>-1</v>
      </c>
      <c r="G25" s="5">
        <f>Tabela3[[#This Row],[Sinal_TSMOM]]*(0.4*Tabela3[[#This Row],[Volatilidade]])</f>
        <v>0</v>
      </c>
      <c r="H25" s="5">
        <f>Tabela3[[#This Row],[Position_Size]]*Tabela3[[#This Row],[Retorno_Diário]]</f>
        <v>0</v>
      </c>
    </row>
    <row r="26" spans="1:8" x14ac:dyDescent="0.2">
      <c r="A26" s="11" t="s">
        <v>182</v>
      </c>
      <c r="B26" s="4" t="s">
        <v>184</v>
      </c>
      <c r="C26" s="5">
        <f t="shared" si="1"/>
        <v>5.559193629794823E-2</v>
      </c>
      <c r="D26" s="5" t="str">
        <f t="shared" ca="1" si="0"/>
        <v/>
      </c>
      <c r="E26" s="5"/>
      <c r="F26" s="5">
        <f>IF(Tabela3[[#This Row],[Retorno_Diário]]&gt;0,1,-1)</f>
        <v>1</v>
      </c>
      <c r="G26" s="5">
        <f>Tabela3[[#This Row],[Sinal_TSMOM]]*(0.4*Tabela3[[#This Row],[Volatilidade]])</f>
        <v>0</v>
      </c>
      <c r="H26" s="5">
        <f>Tabela3[[#This Row],[Position_Size]]*Tabela3[[#This Row],[Retorno_Diário]]</f>
        <v>0</v>
      </c>
    </row>
    <row r="27" spans="1:8" x14ac:dyDescent="0.2">
      <c r="A27" s="11" t="s">
        <v>189</v>
      </c>
      <c r="B27" s="4" t="s">
        <v>191</v>
      </c>
      <c r="C27" s="5">
        <f t="shared" si="1"/>
        <v>1.4274252510530827E-2</v>
      </c>
      <c r="D27" s="5" t="str">
        <f t="shared" ca="1" si="0"/>
        <v/>
      </c>
      <c r="E27" s="5"/>
      <c r="F27" s="5">
        <f>IF(Tabela3[[#This Row],[Retorno_Diário]]&gt;0,1,-1)</f>
        <v>1</v>
      </c>
      <c r="G27" s="5">
        <f>Tabela3[[#This Row],[Sinal_TSMOM]]*(0.4*Tabela3[[#This Row],[Volatilidade]])</f>
        <v>0</v>
      </c>
      <c r="H27" s="5">
        <f>Tabela3[[#This Row],[Position_Size]]*Tabela3[[#This Row],[Retorno_Diário]]</f>
        <v>0</v>
      </c>
    </row>
    <row r="28" spans="1:8" x14ac:dyDescent="0.2">
      <c r="A28" s="11" t="s">
        <v>196</v>
      </c>
      <c r="B28" s="4" t="s">
        <v>198</v>
      </c>
      <c r="C28" s="5">
        <f t="shared" si="1"/>
        <v>-4.930062908328392E-2</v>
      </c>
      <c r="D28" s="5" t="str">
        <f t="shared" ca="1" si="0"/>
        <v/>
      </c>
      <c r="E28" s="5"/>
      <c r="F28" s="5">
        <f>IF(Tabela3[[#This Row],[Retorno_Diário]]&gt;0,1,-1)</f>
        <v>-1</v>
      </c>
      <c r="G28" s="5">
        <f>Tabela3[[#This Row],[Sinal_TSMOM]]*(0.4*Tabela3[[#This Row],[Volatilidade]])</f>
        <v>0</v>
      </c>
      <c r="H28" s="5">
        <f>Tabela3[[#This Row],[Position_Size]]*Tabela3[[#This Row],[Retorno_Diário]]</f>
        <v>0</v>
      </c>
    </row>
    <row r="29" spans="1:8" x14ac:dyDescent="0.2">
      <c r="A29" s="11" t="s">
        <v>203</v>
      </c>
      <c r="B29" s="4" t="s">
        <v>205</v>
      </c>
      <c r="C29" s="5">
        <f t="shared" si="1"/>
        <v>6.6936342417118544E-2</v>
      </c>
      <c r="D29" s="5" t="str">
        <f t="shared" ca="1" si="0"/>
        <v/>
      </c>
      <c r="E29" s="5"/>
      <c r="F29" s="5">
        <f>IF(Tabela3[[#This Row],[Retorno_Diário]]&gt;0,1,-1)</f>
        <v>1</v>
      </c>
      <c r="G29" s="5">
        <f>Tabela3[[#This Row],[Sinal_TSMOM]]*(0.4*Tabela3[[#This Row],[Volatilidade]])</f>
        <v>0</v>
      </c>
      <c r="H29" s="5">
        <f>Tabela3[[#This Row],[Position_Size]]*Tabela3[[#This Row],[Retorno_Diário]]</f>
        <v>0</v>
      </c>
    </row>
    <row r="30" spans="1:8" x14ac:dyDescent="0.2">
      <c r="A30" s="11" t="s">
        <v>209</v>
      </c>
      <c r="B30" s="4" t="s">
        <v>211</v>
      </c>
      <c r="C30" s="5">
        <f t="shared" si="1"/>
        <v>-1.7450908456141168E-2</v>
      </c>
      <c r="D30" s="5" t="str">
        <f t="shared" ca="1" si="0"/>
        <v/>
      </c>
      <c r="E30" s="5"/>
      <c r="F30" s="5">
        <f>IF(Tabela3[[#This Row],[Retorno_Diário]]&gt;0,1,-1)</f>
        <v>-1</v>
      </c>
      <c r="G30" s="5">
        <f>Tabela3[[#This Row],[Sinal_TSMOM]]*(0.4*Tabela3[[#This Row],[Volatilidade]])</f>
        <v>0</v>
      </c>
      <c r="H30" s="5">
        <f>Tabela3[[#This Row],[Position_Size]]*Tabela3[[#This Row],[Retorno_Diário]]</f>
        <v>0</v>
      </c>
    </row>
    <row r="31" spans="1:8" x14ac:dyDescent="0.2">
      <c r="A31" s="11" t="s">
        <v>216</v>
      </c>
      <c r="B31" s="4" t="s">
        <v>218</v>
      </c>
      <c r="C31" s="5">
        <f t="shared" si="1"/>
        <v>2.0172828223440131E-2</v>
      </c>
      <c r="D31" s="5" t="str">
        <f t="shared" ca="1" si="0"/>
        <v/>
      </c>
      <c r="E31" s="5"/>
      <c r="F31" s="5">
        <f>IF(Tabela3[[#This Row],[Retorno_Diário]]&gt;0,1,-1)</f>
        <v>1</v>
      </c>
      <c r="G31" s="5">
        <f>Tabela3[[#This Row],[Sinal_TSMOM]]*(0.4*Tabela3[[#This Row],[Volatilidade]])</f>
        <v>0</v>
      </c>
      <c r="H31" s="5">
        <f>Tabela3[[#This Row],[Position_Size]]*Tabela3[[#This Row],[Retorno_Diário]]</f>
        <v>0</v>
      </c>
    </row>
    <row r="32" spans="1:8" x14ac:dyDescent="0.2">
      <c r="A32" s="11" t="s">
        <v>223</v>
      </c>
      <c r="B32" s="4" t="s">
        <v>225</v>
      </c>
      <c r="C32" s="5">
        <f t="shared" si="1"/>
        <v>3.7785311079101769E-2</v>
      </c>
      <c r="D32" s="5" t="str">
        <f t="shared" ca="1" si="0"/>
        <v/>
      </c>
      <c r="E32" s="5"/>
      <c r="F32" s="5">
        <f>IF(Tabela3[[#This Row],[Retorno_Diário]]&gt;0,1,-1)</f>
        <v>1</v>
      </c>
      <c r="G32" s="5">
        <f>Tabela3[[#This Row],[Sinal_TSMOM]]*(0.4*Tabela3[[#This Row],[Volatilidade]])</f>
        <v>0</v>
      </c>
      <c r="H32" s="5">
        <f>Tabela3[[#This Row],[Position_Size]]*Tabela3[[#This Row],[Retorno_Diário]]</f>
        <v>0</v>
      </c>
    </row>
    <row r="33" spans="1:8" x14ac:dyDescent="0.2">
      <c r="A33" s="11" t="s">
        <v>230</v>
      </c>
      <c r="B33" s="4" t="s">
        <v>232</v>
      </c>
      <c r="C33" s="5">
        <f t="shared" si="1"/>
        <v>2.1042142986993362E-2</v>
      </c>
      <c r="D33" s="5" t="str">
        <f t="shared" ca="1" si="0"/>
        <v/>
      </c>
      <c r="E33" s="5"/>
      <c r="F33" s="5">
        <f>IF(Tabela3[[#This Row],[Retorno_Diário]]&gt;0,1,-1)</f>
        <v>1</v>
      </c>
      <c r="G33" s="5">
        <f>Tabela3[[#This Row],[Sinal_TSMOM]]*(0.4*Tabela3[[#This Row],[Volatilidade]])</f>
        <v>0</v>
      </c>
      <c r="H33" s="5">
        <f>Tabela3[[#This Row],[Position_Size]]*Tabela3[[#This Row],[Retorno_Diário]]</f>
        <v>0</v>
      </c>
    </row>
    <row r="34" spans="1:8" x14ac:dyDescent="0.2">
      <c r="A34" s="11" t="s">
        <v>237</v>
      </c>
      <c r="B34" s="4" t="s">
        <v>239</v>
      </c>
      <c r="C34" s="5">
        <f t="shared" si="1"/>
        <v>-1.0791028172351114E-2</v>
      </c>
      <c r="D34" s="5" t="str">
        <f t="shared" ca="1" si="0"/>
        <v/>
      </c>
      <c r="E34" s="5"/>
      <c r="F34" s="5">
        <f>IF(Tabela3[[#This Row],[Retorno_Diário]]&gt;0,1,-1)</f>
        <v>-1</v>
      </c>
      <c r="G34" s="5">
        <f>Tabela3[[#This Row],[Sinal_TSMOM]]*(0.4*Tabela3[[#This Row],[Volatilidade]])</f>
        <v>0</v>
      </c>
      <c r="H34" s="5">
        <f>Tabela3[[#This Row],[Position_Size]]*Tabela3[[#This Row],[Retorno_Diário]]</f>
        <v>0</v>
      </c>
    </row>
    <row r="35" spans="1:8" x14ac:dyDescent="0.2">
      <c r="A35" s="11" t="s">
        <v>244</v>
      </c>
      <c r="B35" s="4" t="s">
        <v>246</v>
      </c>
      <c r="C35" s="5">
        <f t="shared" si="1"/>
        <v>2.1489507509989458E-2</v>
      </c>
      <c r="D35" s="5" t="str">
        <f t="shared" ca="1" si="0"/>
        <v/>
      </c>
      <c r="E35" s="5"/>
      <c r="F35" s="5">
        <f>IF(Tabela3[[#This Row],[Retorno_Diário]]&gt;0,1,-1)</f>
        <v>1</v>
      </c>
      <c r="G35" s="5">
        <f>Tabela3[[#This Row],[Sinal_TSMOM]]*(0.4*Tabela3[[#This Row],[Volatilidade]])</f>
        <v>0</v>
      </c>
      <c r="H35" s="5">
        <f>Tabela3[[#This Row],[Position_Size]]*Tabela3[[#This Row],[Retorno_Diário]]</f>
        <v>0</v>
      </c>
    </row>
    <row r="36" spans="1:8" x14ac:dyDescent="0.2">
      <c r="A36" s="11" t="s">
        <v>251</v>
      </c>
      <c r="B36" s="4" t="s">
        <v>253</v>
      </c>
      <c r="C36" s="5">
        <f t="shared" si="1"/>
        <v>-3.0391916174681288E-2</v>
      </c>
      <c r="D36" s="5" t="str">
        <f t="shared" ca="1" si="0"/>
        <v/>
      </c>
      <c r="E36" s="5"/>
      <c r="F36" s="5">
        <f>IF(Tabela3[[#This Row],[Retorno_Diário]]&gt;0,1,-1)</f>
        <v>-1</v>
      </c>
      <c r="G36" s="5">
        <f>Tabela3[[#This Row],[Sinal_TSMOM]]*(0.4*Tabela3[[#This Row],[Volatilidade]])</f>
        <v>0</v>
      </c>
      <c r="H36" s="5">
        <f>Tabela3[[#This Row],[Position_Size]]*Tabela3[[#This Row],[Retorno_Diário]]</f>
        <v>0</v>
      </c>
    </row>
    <row r="37" spans="1:8" x14ac:dyDescent="0.2">
      <c r="A37" s="11" t="s">
        <v>258</v>
      </c>
      <c r="B37" s="4" t="s">
        <v>260</v>
      </c>
      <c r="C37" s="5">
        <f t="shared" si="1"/>
        <v>2.6500387495616007E-3</v>
      </c>
      <c r="D37" s="5" t="str">
        <f t="shared" ca="1" si="0"/>
        <v/>
      </c>
      <c r="E37" s="5"/>
      <c r="F37" s="5">
        <f>IF(Tabela3[[#This Row],[Retorno_Diário]]&gt;0,1,-1)</f>
        <v>1</v>
      </c>
      <c r="G37" s="5">
        <f>Tabela3[[#This Row],[Sinal_TSMOM]]*(0.4*Tabela3[[#This Row],[Volatilidade]])</f>
        <v>0</v>
      </c>
      <c r="H37" s="5">
        <f>Tabela3[[#This Row],[Position_Size]]*Tabela3[[#This Row],[Retorno_Diário]]</f>
        <v>0</v>
      </c>
    </row>
    <row r="38" spans="1:8" x14ac:dyDescent="0.2">
      <c r="A38" s="11" t="s">
        <v>265</v>
      </c>
      <c r="B38" s="4" t="s">
        <v>267</v>
      </c>
      <c r="C38" s="5">
        <f t="shared" si="1"/>
        <v>1.5610169606338209E-2</v>
      </c>
      <c r="D38" s="5" t="str">
        <f t="shared" ca="1" si="0"/>
        <v/>
      </c>
      <c r="E38" s="5"/>
      <c r="F38" s="5">
        <f>IF(Tabela3[[#This Row],[Retorno_Diário]]&gt;0,1,-1)</f>
        <v>1</v>
      </c>
      <c r="G38" s="5">
        <f>Tabela3[[#This Row],[Sinal_TSMOM]]*(0.4*Tabela3[[#This Row],[Volatilidade]])</f>
        <v>0</v>
      </c>
      <c r="H38" s="5">
        <f>Tabela3[[#This Row],[Position_Size]]*Tabela3[[#This Row],[Retorno_Diário]]</f>
        <v>0</v>
      </c>
    </row>
    <row r="39" spans="1:8" x14ac:dyDescent="0.2">
      <c r="A39" s="11" t="s">
        <v>271</v>
      </c>
      <c r="B39" s="4" t="s">
        <v>273</v>
      </c>
      <c r="C39" s="5">
        <f t="shared" si="1"/>
        <v>2.6430501756082858E-3</v>
      </c>
      <c r="D39" s="5" t="str">
        <f t="shared" ca="1" si="0"/>
        <v/>
      </c>
      <c r="E39" s="5"/>
      <c r="F39" s="5">
        <f>IF(Tabela3[[#This Row],[Retorno_Diário]]&gt;0,1,-1)</f>
        <v>1</v>
      </c>
      <c r="G39" s="5">
        <f>Tabela3[[#This Row],[Sinal_TSMOM]]*(0.4*Tabela3[[#This Row],[Volatilidade]])</f>
        <v>0</v>
      </c>
      <c r="H39" s="5">
        <f>Tabela3[[#This Row],[Position_Size]]*Tabela3[[#This Row],[Retorno_Diário]]</f>
        <v>0</v>
      </c>
    </row>
    <row r="40" spans="1:8" x14ac:dyDescent="0.2">
      <c r="A40" s="11" t="s">
        <v>278</v>
      </c>
      <c r="B40" s="4" t="s">
        <v>280</v>
      </c>
      <c r="C40" s="5">
        <f t="shared" si="1"/>
        <v>-2.1088508306160714E-3</v>
      </c>
      <c r="D40" s="5" t="str">
        <f t="shared" ca="1" si="0"/>
        <v/>
      </c>
      <c r="E40" s="5"/>
      <c r="F40" s="5">
        <f>IF(Tabela3[[#This Row],[Retorno_Diário]]&gt;0,1,-1)</f>
        <v>-1</v>
      </c>
      <c r="G40" s="5">
        <f>Tabela3[[#This Row],[Sinal_TSMOM]]*(0.4*Tabela3[[#This Row],[Volatilidade]])</f>
        <v>0</v>
      </c>
      <c r="H40" s="5">
        <f>Tabela3[[#This Row],[Position_Size]]*Tabela3[[#This Row],[Retorno_Diário]]</f>
        <v>0</v>
      </c>
    </row>
    <row r="41" spans="1:8" x14ac:dyDescent="0.2">
      <c r="A41" s="11" t="s">
        <v>285</v>
      </c>
      <c r="B41" s="4" t="s">
        <v>287</v>
      </c>
      <c r="C41" s="5">
        <f t="shared" si="1"/>
        <v>-1.6500045617922843E-2</v>
      </c>
      <c r="D41" s="5" t="str">
        <f t="shared" ca="1" si="0"/>
        <v/>
      </c>
      <c r="E41" s="5"/>
      <c r="F41" s="5">
        <f>IF(Tabela3[[#This Row],[Retorno_Diário]]&gt;0,1,-1)</f>
        <v>-1</v>
      </c>
      <c r="G41" s="5">
        <f>Tabela3[[#This Row],[Sinal_TSMOM]]*(0.4*Tabela3[[#This Row],[Volatilidade]])</f>
        <v>0</v>
      </c>
      <c r="H41" s="5">
        <f>Tabela3[[#This Row],[Position_Size]]*Tabela3[[#This Row],[Retorno_Diário]]</f>
        <v>0</v>
      </c>
    </row>
    <row r="42" spans="1:8" x14ac:dyDescent="0.2">
      <c r="A42" s="11" t="s">
        <v>291</v>
      </c>
      <c r="B42" s="4" t="s">
        <v>293</v>
      </c>
      <c r="C42" s="5">
        <f t="shared" si="1"/>
        <v>-4.0454547962328502E-2</v>
      </c>
      <c r="D42" s="5" t="str">
        <f t="shared" ca="1" si="0"/>
        <v/>
      </c>
      <c r="E42" s="5"/>
      <c r="F42" s="5">
        <f>IF(Tabela3[[#This Row],[Retorno_Diário]]&gt;0,1,-1)</f>
        <v>-1</v>
      </c>
      <c r="G42" s="5">
        <f>Tabela3[[#This Row],[Sinal_TSMOM]]*(0.4*Tabela3[[#This Row],[Volatilidade]])</f>
        <v>0</v>
      </c>
      <c r="H42" s="5">
        <f>Tabela3[[#This Row],[Position_Size]]*Tabela3[[#This Row],[Retorno_Diário]]</f>
        <v>0</v>
      </c>
    </row>
    <row r="43" spans="1:8" x14ac:dyDescent="0.2">
      <c r="A43" s="11" t="s">
        <v>298</v>
      </c>
      <c r="B43" s="4" t="s">
        <v>300</v>
      </c>
      <c r="C43" s="5">
        <f t="shared" si="1"/>
        <v>1.8646856065945183E-2</v>
      </c>
      <c r="D43" s="5" t="str">
        <f t="shared" ca="1" si="0"/>
        <v/>
      </c>
      <c r="E43" s="5"/>
      <c r="F43" s="5">
        <f>IF(Tabela3[[#This Row],[Retorno_Diário]]&gt;0,1,-1)</f>
        <v>1</v>
      </c>
      <c r="G43" s="5">
        <f>Tabela3[[#This Row],[Sinal_TSMOM]]*(0.4*Tabela3[[#This Row],[Volatilidade]])</f>
        <v>0</v>
      </c>
      <c r="H43" s="5">
        <f>Tabela3[[#This Row],[Position_Size]]*Tabela3[[#This Row],[Retorno_Diário]]</f>
        <v>0</v>
      </c>
    </row>
    <row r="44" spans="1:8" x14ac:dyDescent="0.2">
      <c r="A44" s="11" t="s">
        <v>305</v>
      </c>
      <c r="B44" s="4" t="s">
        <v>307</v>
      </c>
      <c r="C44" s="5">
        <f t="shared" si="1"/>
        <v>-3.7625262992218023E-3</v>
      </c>
      <c r="D44" s="5" t="str">
        <f t="shared" ca="1" si="0"/>
        <v/>
      </c>
      <c r="E44" s="5"/>
      <c r="F44" s="5">
        <f>IF(Tabela3[[#This Row],[Retorno_Diário]]&gt;0,1,-1)</f>
        <v>-1</v>
      </c>
      <c r="G44" s="5">
        <f>Tabela3[[#This Row],[Sinal_TSMOM]]*(0.4*Tabela3[[#This Row],[Volatilidade]])</f>
        <v>0</v>
      </c>
      <c r="H44" s="5">
        <f>Tabela3[[#This Row],[Position_Size]]*Tabela3[[#This Row],[Retorno_Diário]]</f>
        <v>0</v>
      </c>
    </row>
    <row r="45" spans="1:8" x14ac:dyDescent="0.2">
      <c r="A45" s="11" t="s">
        <v>312</v>
      </c>
      <c r="B45" s="4" t="s">
        <v>314</v>
      </c>
      <c r="C45" s="5">
        <f t="shared" si="1"/>
        <v>2.7625675979638498E-2</v>
      </c>
      <c r="D45" s="5" t="str">
        <f t="shared" ca="1" si="0"/>
        <v/>
      </c>
      <c r="E45" s="5"/>
      <c r="F45" s="5">
        <f>IF(Tabela3[[#This Row],[Retorno_Diário]]&gt;0,1,-1)</f>
        <v>1</v>
      </c>
      <c r="G45" s="5">
        <f>Tabela3[[#This Row],[Sinal_TSMOM]]*(0.4*Tabela3[[#This Row],[Volatilidade]])</f>
        <v>0</v>
      </c>
      <c r="H45" s="5">
        <f>Tabela3[[#This Row],[Position_Size]]*Tabela3[[#This Row],[Retorno_Diário]]</f>
        <v>0</v>
      </c>
    </row>
    <row r="46" spans="1:8" x14ac:dyDescent="0.2">
      <c r="A46" s="11" t="s">
        <v>319</v>
      </c>
      <c r="B46" s="4" t="s">
        <v>321</v>
      </c>
      <c r="C46" s="5">
        <f t="shared" si="1"/>
        <v>-1.3214233786326135E-3</v>
      </c>
      <c r="D46" s="5" t="str">
        <f t="shared" ca="1" si="0"/>
        <v/>
      </c>
      <c r="E46" s="5"/>
      <c r="F46" s="5">
        <f>IF(Tabela3[[#This Row],[Retorno_Diário]]&gt;0,1,-1)</f>
        <v>-1</v>
      </c>
      <c r="G46" s="5">
        <f>Tabela3[[#This Row],[Sinal_TSMOM]]*(0.4*Tabela3[[#This Row],[Volatilidade]])</f>
        <v>0</v>
      </c>
      <c r="H46" s="5">
        <f>Tabela3[[#This Row],[Position_Size]]*Tabela3[[#This Row],[Retorno_Diário]]</f>
        <v>0</v>
      </c>
    </row>
    <row r="47" spans="1:8" x14ac:dyDescent="0.2">
      <c r="A47" s="11" t="s">
        <v>325</v>
      </c>
      <c r="B47" s="4" t="s">
        <v>327</v>
      </c>
      <c r="C47" s="5">
        <f t="shared" si="1"/>
        <v>-2.7290764430846215E-3</v>
      </c>
      <c r="D47" s="5" t="str">
        <f t="shared" ca="1" si="0"/>
        <v/>
      </c>
      <c r="E47" s="5"/>
      <c r="F47" s="5">
        <f>IF(Tabela3[[#This Row],[Retorno_Diário]]&gt;0,1,-1)</f>
        <v>-1</v>
      </c>
      <c r="G47" s="5">
        <f>Tabela3[[#This Row],[Sinal_TSMOM]]*(0.4*Tabela3[[#This Row],[Volatilidade]])</f>
        <v>0</v>
      </c>
      <c r="H47" s="5">
        <f>Tabela3[[#This Row],[Position_Size]]*Tabela3[[#This Row],[Retorno_Diário]]</f>
        <v>0</v>
      </c>
    </row>
    <row r="48" spans="1:8" x14ac:dyDescent="0.2">
      <c r="A48" s="11" t="s">
        <v>331</v>
      </c>
      <c r="B48" s="4" t="s">
        <v>333</v>
      </c>
      <c r="C48" s="5">
        <f t="shared" si="1"/>
        <v>1.7207103201021701E-2</v>
      </c>
      <c r="D48" s="5" t="str">
        <f t="shared" ca="1" si="0"/>
        <v/>
      </c>
      <c r="E48" s="5"/>
      <c r="F48" s="5">
        <f>IF(Tabela3[[#This Row],[Retorno_Diário]]&gt;0,1,-1)</f>
        <v>1</v>
      </c>
      <c r="G48" s="5">
        <f>Tabela3[[#This Row],[Sinal_TSMOM]]*(0.4*Tabela3[[#This Row],[Volatilidade]])</f>
        <v>0</v>
      </c>
      <c r="H48" s="5">
        <f>Tabela3[[#This Row],[Position_Size]]*Tabela3[[#This Row],[Retorno_Diário]]</f>
        <v>0</v>
      </c>
    </row>
    <row r="49" spans="1:8" x14ac:dyDescent="0.2">
      <c r="A49" s="11" t="s">
        <v>338</v>
      </c>
      <c r="B49" s="4" t="s">
        <v>340</v>
      </c>
      <c r="C49" s="5">
        <f t="shared" si="1"/>
        <v>1.8057264461150968E-2</v>
      </c>
      <c r="D49" s="5" t="str">
        <f t="shared" ca="1" si="0"/>
        <v/>
      </c>
      <c r="E49" s="5"/>
      <c r="F49" s="5">
        <f>IF(Tabela3[[#This Row],[Retorno_Diário]]&gt;0,1,-1)</f>
        <v>1</v>
      </c>
      <c r="G49" s="5">
        <f>Tabela3[[#This Row],[Sinal_TSMOM]]*(0.4*Tabela3[[#This Row],[Volatilidade]])</f>
        <v>0</v>
      </c>
      <c r="H49" s="5">
        <f>Tabela3[[#This Row],[Position_Size]]*Tabela3[[#This Row],[Retorno_Diário]]</f>
        <v>0</v>
      </c>
    </row>
    <row r="50" spans="1:8" x14ac:dyDescent="0.2">
      <c r="A50" s="11" t="s">
        <v>345</v>
      </c>
      <c r="B50" s="4" t="s">
        <v>347</v>
      </c>
      <c r="C50" s="5">
        <f t="shared" si="1"/>
        <v>-8.2078765648520013E-3</v>
      </c>
      <c r="D50" s="5" t="str">
        <f t="shared" ca="1" si="0"/>
        <v/>
      </c>
      <c r="E50" s="5"/>
      <c r="F50" s="5">
        <f>IF(Tabela3[[#This Row],[Retorno_Diário]]&gt;0,1,-1)</f>
        <v>-1</v>
      </c>
      <c r="G50" s="5">
        <f>Tabela3[[#This Row],[Sinal_TSMOM]]*(0.4*Tabela3[[#This Row],[Volatilidade]])</f>
        <v>0</v>
      </c>
      <c r="H50" s="5">
        <f>Tabela3[[#This Row],[Position_Size]]*Tabela3[[#This Row],[Retorno_Diário]]</f>
        <v>0</v>
      </c>
    </row>
    <row r="51" spans="1:8" x14ac:dyDescent="0.2">
      <c r="A51" s="11" t="s">
        <v>352</v>
      </c>
      <c r="B51" s="4" t="s">
        <v>354</v>
      </c>
      <c r="C51" s="5">
        <f t="shared" si="1"/>
        <v>4.1581139739956807E-3</v>
      </c>
      <c r="D51" s="5" t="str">
        <f t="shared" ca="1" si="0"/>
        <v/>
      </c>
      <c r="E51" s="5"/>
      <c r="F51" s="5">
        <f>IF(Tabela3[[#This Row],[Retorno_Diário]]&gt;0,1,-1)</f>
        <v>1</v>
      </c>
      <c r="G51" s="5">
        <f>Tabela3[[#This Row],[Sinal_TSMOM]]*(0.4*Tabela3[[#This Row],[Volatilidade]])</f>
        <v>0</v>
      </c>
      <c r="H51" s="5">
        <f>Tabela3[[#This Row],[Position_Size]]*Tabela3[[#This Row],[Retorno_Diário]]</f>
        <v>0</v>
      </c>
    </row>
    <row r="52" spans="1:8" x14ac:dyDescent="0.2">
      <c r="A52" s="11" t="s">
        <v>359</v>
      </c>
      <c r="B52" s="4" t="s">
        <v>361</v>
      </c>
      <c r="C52" s="5">
        <f t="shared" si="1"/>
        <v>2.412135748867783E-3</v>
      </c>
      <c r="D52" s="5" t="str">
        <f t="shared" ca="1" si="0"/>
        <v/>
      </c>
      <c r="E52" s="5"/>
      <c r="F52" s="5">
        <f>IF(Tabela3[[#This Row],[Retorno_Diário]]&gt;0,1,-1)</f>
        <v>1</v>
      </c>
      <c r="G52" s="5">
        <f>Tabela3[[#This Row],[Sinal_TSMOM]]*(0.4*Tabela3[[#This Row],[Volatilidade]])</f>
        <v>0</v>
      </c>
      <c r="H52" s="5">
        <f>Tabela3[[#This Row],[Position_Size]]*Tabela3[[#This Row],[Retorno_Diário]]</f>
        <v>0</v>
      </c>
    </row>
    <row r="53" spans="1:8" x14ac:dyDescent="0.2">
      <c r="A53" s="11" t="s">
        <v>366</v>
      </c>
      <c r="B53" s="4" t="s">
        <v>368</v>
      </c>
      <c r="C53" s="5">
        <f t="shared" si="1"/>
        <v>4.5720831140143581E-3</v>
      </c>
      <c r="D53" s="5" t="str">
        <f t="shared" ca="1" si="0"/>
        <v/>
      </c>
      <c r="E53" s="5"/>
      <c r="F53" s="5">
        <f>IF(Tabela3[[#This Row],[Retorno_Diário]]&gt;0,1,-1)</f>
        <v>1</v>
      </c>
      <c r="G53" s="5">
        <f>Tabela3[[#This Row],[Sinal_TSMOM]]*(0.4*Tabela3[[#This Row],[Volatilidade]])</f>
        <v>0</v>
      </c>
      <c r="H53" s="5">
        <f>Tabela3[[#This Row],[Position_Size]]*Tabela3[[#This Row],[Retorno_Diário]]</f>
        <v>0</v>
      </c>
    </row>
    <row r="54" spans="1:8" x14ac:dyDescent="0.2">
      <c r="A54" s="11" t="s">
        <v>372</v>
      </c>
      <c r="B54" s="4" t="s">
        <v>374</v>
      </c>
      <c r="C54" s="5">
        <f t="shared" si="1"/>
        <v>-3.7847330785633293E-2</v>
      </c>
      <c r="D54" s="5" t="str">
        <f t="shared" ca="1" si="0"/>
        <v/>
      </c>
      <c r="E54" s="5"/>
      <c r="F54" s="5">
        <f>IF(Tabela3[[#This Row],[Retorno_Diário]]&gt;0,1,-1)</f>
        <v>-1</v>
      </c>
      <c r="G54" s="5">
        <f>Tabela3[[#This Row],[Sinal_TSMOM]]*(0.4*Tabela3[[#This Row],[Volatilidade]])</f>
        <v>0</v>
      </c>
      <c r="H54" s="5">
        <f>Tabela3[[#This Row],[Position_Size]]*Tabela3[[#This Row],[Retorno_Diário]]</f>
        <v>0</v>
      </c>
    </row>
    <row r="55" spans="1:8" x14ac:dyDescent="0.2">
      <c r="A55" s="11" t="s">
        <v>378</v>
      </c>
      <c r="B55" s="4" t="s">
        <v>380</v>
      </c>
      <c r="C55" s="5">
        <f t="shared" si="1"/>
        <v>3.5601650956629483E-2</v>
      </c>
      <c r="D55" s="5" t="str">
        <f t="shared" ca="1" si="0"/>
        <v/>
      </c>
      <c r="E55" s="5"/>
      <c r="F55" s="5">
        <f>IF(Tabela3[[#This Row],[Retorno_Diário]]&gt;0,1,-1)</f>
        <v>1</v>
      </c>
      <c r="G55" s="5">
        <f>Tabela3[[#This Row],[Sinal_TSMOM]]*(0.4*Tabela3[[#This Row],[Volatilidade]])</f>
        <v>0</v>
      </c>
      <c r="H55" s="5">
        <f>Tabela3[[#This Row],[Position_Size]]*Tabela3[[#This Row],[Retorno_Diário]]</f>
        <v>0</v>
      </c>
    </row>
    <row r="56" spans="1:8" x14ac:dyDescent="0.2">
      <c r="A56" s="11" t="s">
        <v>384</v>
      </c>
      <c r="B56" s="4" t="s">
        <v>386</v>
      </c>
      <c r="C56" s="5">
        <f t="shared" si="1"/>
        <v>-4.0868371699895878E-3</v>
      </c>
      <c r="D56" s="5" t="str">
        <f t="shared" ca="1" si="0"/>
        <v/>
      </c>
      <c r="E56" s="5"/>
      <c r="F56" s="5">
        <f>IF(Tabela3[[#This Row],[Retorno_Diário]]&gt;0,1,-1)</f>
        <v>-1</v>
      </c>
      <c r="G56" s="5">
        <f>Tabela3[[#This Row],[Sinal_TSMOM]]*(0.4*Tabela3[[#This Row],[Volatilidade]])</f>
        <v>0</v>
      </c>
      <c r="H56" s="5">
        <f>Tabela3[[#This Row],[Position_Size]]*Tabela3[[#This Row],[Retorno_Diário]]</f>
        <v>0</v>
      </c>
    </row>
    <row r="57" spans="1:8" x14ac:dyDescent="0.2">
      <c r="A57" s="11" t="s">
        <v>391</v>
      </c>
      <c r="B57" s="4" t="s">
        <v>393</v>
      </c>
      <c r="C57" s="5">
        <f t="shared" si="1"/>
        <v>-2.6995550773371124E-2</v>
      </c>
      <c r="D57" s="5" t="str">
        <f t="shared" ca="1" si="0"/>
        <v/>
      </c>
      <c r="E57" s="5"/>
      <c r="F57" s="5">
        <f>IF(Tabela3[[#This Row],[Retorno_Diário]]&gt;0,1,-1)</f>
        <v>-1</v>
      </c>
      <c r="G57" s="5">
        <f>Tabela3[[#This Row],[Sinal_TSMOM]]*(0.4*Tabela3[[#This Row],[Volatilidade]])</f>
        <v>0</v>
      </c>
      <c r="H57" s="5">
        <f>Tabela3[[#This Row],[Position_Size]]*Tabela3[[#This Row],[Retorno_Diário]]</f>
        <v>0</v>
      </c>
    </row>
    <row r="58" spans="1:8" x14ac:dyDescent="0.2">
      <c r="A58" s="11" t="s">
        <v>398</v>
      </c>
      <c r="B58" s="4" t="s">
        <v>400</v>
      </c>
      <c r="C58" s="5">
        <f t="shared" si="1"/>
        <v>-3.6716915465848765E-2</v>
      </c>
      <c r="D58" s="5" t="str">
        <f t="shared" ca="1" si="0"/>
        <v/>
      </c>
      <c r="E58" s="5"/>
      <c r="F58" s="5">
        <f>IF(Tabela3[[#This Row],[Retorno_Diário]]&gt;0,1,-1)</f>
        <v>-1</v>
      </c>
      <c r="G58" s="5">
        <f>Tabela3[[#This Row],[Sinal_TSMOM]]*(0.4*Tabela3[[#This Row],[Volatilidade]])</f>
        <v>0</v>
      </c>
      <c r="H58" s="5">
        <f>Tabela3[[#This Row],[Position_Size]]*Tabela3[[#This Row],[Retorno_Diário]]</f>
        <v>0</v>
      </c>
    </row>
    <row r="59" spans="1:8" x14ac:dyDescent="0.2">
      <c r="A59" s="11" t="s">
        <v>405</v>
      </c>
      <c r="B59" s="4" t="s">
        <v>407</v>
      </c>
      <c r="C59" s="5">
        <f t="shared" si="1"/>
        <v>4.9405461024575104E-2</v>
      </c>
      <c r="D59" s="5" t="str">
        <f t="shared" ca="1" si="0"/>
        <v/>
      </c>
      <c r="E59" s="5"/>
      <c r="F59" s="5">
        <f>IF(Tabela3[[#This Row],[Retorno_Diário]]&gt;0,1,-1)</f>
        <v>1</v>
      </c>
      <c r="G59" s="5">
        <f>Tabela3[[#This Row],[Sinal_TSMOM]]*(0.4*Tabela3[[#This Row],[Volatilidade]])</f>
        <v>0</v>
      </c>
      <c r="H59" s="5">
        <f>Tabela3[[#This Row],[Position_Size]]*Tabela3[[#This Row],[Retorno_Diário]]</f>
        <v>0</v>
      </c>
    </row>
    <row r="60" spans="1:8" x14ac:dyDescent="0.2">
      <c r="A60" s="11" t="s">
        <v>411</v>
      </c>
      <c r="B60" s="4" t="s">
        <v>413</v>
      </c>
      <c r="C60" s="5">
        <f t="shared" si="1"/>
        <v>-7.755235242135583E-2</v>
      </c>
      <c r="D60" s="5" t="str">
        <f t="shared" ca="1" si="0"/>
        <v/>
      </c>
      <c r="E60" s="5"/>
      <c r="F60" s="5">
        <f>IF(Tabela3[[#This Row],[Retorno_Diário]]&gt;0,1,-1)</f>
        <v>-1</v>
      </c>
      <c r="G60" s="5">
        <f>Tabela3[[#This Row],[Sinal_TSMOM]]*(0.4*Tabela3[[#This Row],[Volatilidade]])</f>
        <v>0</v>
      </c>
      <c r="H60" s="5">
        <f>Tabela3[[#This Row],[Position_Size]]*Tabela3[[#This Row],[Retorno_Diário]]</f>
        <v>0</v>
      </c>
    </row>
    <row r="61" spans="1:8" x14ac:dyDescent="0.2">
      <c r="A61" s="11" t="s">
        <v>417</v>
      </c>
      <c r="B61" s="4" t="s">
        <v>419</v>
      </c>
      <c r="C61" s="5">
        <f t="shared" si="1"/>
        <v>-1.8490591346582486E-2</v>
      </c>
      <c r="D61" s="5" t="str">
        <f t="shared" ca="1" si="0"/>
        <v/>
      </c>
      <c r="E61" s="5"/>
      <c r="F61" s="5">
        <f>IF(Tabela3[[#This Row],[Retorno_Diário]]&gt;0,1,-1)</f>
        <v>-1</v>
      </c>
      <c r="G61" s="5">
        <f>Tabela3[[#This Row],[Sinal_TSMOM]]*(0.4*Tabela3[[#This Row],[Volatilidade]])</f>
        <v>0</v>
      </c>
      <c r="H61" s="5">
        <f>Tabela3[[#This Row],[Position_Size]]*Tabela3[[#This Row],[Retorno_Diário]]</f>
        <v>0</v>
      </c>
    </row>
    <row r="62" spans="1:8" x14ac:dyDescent="0.2">
      <c r="A62" s="11" t="s">
        <v>424</v>
      </c>
      <c r="B62" s="4" t="s">
        <v>426</v>
      </c>
      <c r="C62" s="5">
        <f t="shared" si="1"/>
        <v>4.6261583793008487E-2</v>
      </c>
      <c r="D62" s="5" t="str">
        <f t="shared" ca="1" si="0"/>
        <v/>
      </c>
      <c r="E62" s="5"/>
      <c r="F62" s="5">
        <f>IF(Tabela3[[#This Row],[Retorno_Diário]]&gt;0,1,-1)</f>
        <v>1</v>
      </c>
      <c r="G62" s="5">
        <f>Tabela3[[#This Row],[Sinal_TSMOM]]*(0.4*Tabela3[[#This Row],[Volatilidade]])</f>
        <v>0</v>
      </c>
      <c r="H62" s="5">
        <f>Tabela3[[#This Row],[Position_Size]]*Tabela3[[#This Row],[Retorno_Diário]]</f>
        <v>0</v>
      </c>
    </row>
    <row r="63" spans="1:8" x14ac:dyDescent="0.2">
      <c r="A63" s="11" t="s">
        <v>430</v>
      </c>
      <c r="B63" s="4" t="s">
        <v>432</v>
      </c>
      <c r="C63" s="5">
        <f t="shared" si="1"/>
        <v>-4.5511500342694022E-2</v>
      </c>
      <c r="D63" s="5" t="str">
        <f t="shared" ca="1" si="0"/>
        <v/>
      </c>
      <c r="E63" s="5"/>
      <c r="F63" s="5">
        <f>IF(Tabela3[[#This Row],[Retorno_Diário]]&gt;0,1,-1)</f>
        <v>-1</v>
      </c>
      <c r="G63" s="5">
        <f>Tabela3[[#This Row],[Sinal_TSMOM]]*(0.4*Tabela3[[#This Row],[Volatilidade]])</f>
        <v>0</v>
      </c>
      <c r="H63" s="5">
        <f>Tabela3[[#This Row],[Position_Size]]*Tabela3[[#This Row],[Retorno_Diário]]</f>
        <v>0</v>
      </c>
    </row>
    <row r="64" spans="1:8" x14ac:dyDescent="0.2">
      <c r="A64" s="11" t="s">
        <v>437</v>
      </c>
      <c r="B64" s="4" t="s">
        <v>439</v>
      </c>
      <c r="C64" s="5">
        <f t="shared" si="1"/>
        <v>1.9452626739672629E-2</v>
      </c>
      <c r="D64" s="5" t="str">
        <f t="shared" ca="1" si="0"/>
        <v/>
      </c>
      <c r="E64" s="5"/>
      <c r="F64" s="5">
        <f>IF(Tabela3[[#This Row],[Retorno_Diário]]&gt;0,1,-1)</f>
        <v>1</v>
      </c>
      <c r="G64" s="5">
        <f>Tabela3[[#This Row],[Sinal_TSMOM]]*(0.4*Tabela3[[#This Row],[Volatilidade]])</f>
        <v>0</v>
      </c>
      <c r="H64" s="5">
        <f>Tabela3[[#This Row],[Position_Size]]*Tabela3[[#This Row],[Retorno_Diário]]</f>
        <v>0</v>
      </c>
    </row>
    <row r="65" spans="1:8" x14ac:dyDescent="0.2">
      <c r="A65" s="11" t="s">
        <v>443</v>
      </c>
      <c r="B65" s="4" t="s">
        <v>445</v>
      </c>
      <c r="C65" s="5">
        <f t="shared" si="1"/>
        <v>3.9494431997761925E-3</v>
      </c>
      <c r="D65" s="5" t="str">
        <f t="shared" ca="1" si="0"/>
        <v/>
      </c>
      <c r="E65" s="5"/>
      <c r="F65" s="5">
        <f>IF(Tabela3[[#This Row],[Retorno_Diário]]&gt;0,1,-1)</f>
        <v>1</v>
      </c>
      <c r="G65" s="5">
        <f>Tabela3[[#This Row],[Sinal_TSMOM]]*(0.4*Tabela3[[#This Row],[Volatilidade]])</f>
        <v>0</v>
      </c>
      <c r="H65" s="5">
        <f>Tabela3[[#This Row],[Position_Size]]*Tabela3[[#This Row],[Retorno_Diário]]</f>
        <v>0</v>
      </c>
    </row>
    <row r="66" spans="1:8" x14ac:dyDescent="0.2">
      <c r="A66" s="11" t="s">
        <v>450</v>
      </c>
      <c r="B66" s="4" t="s">
        <v>452</v>
      </c>
      <c r="C66" s="5">
        <f t="shared" si="1"/>
        <v>-2.1481614623185874E-2</v>
      </c>
      <c r="D66" s="5" t="str">
        <f t="shared" ca="1" si="0"/>
        <v/>
      </c>
      <c r="E66" s="5"/>
      <c r="F66" s="5">
        <f>IF(Tabela3[[#This Row],[Retorno_Diário]]&gt;0,1,-1)</f>
        <v>-1</v>
      </c>
      <c r="G66" s="5">
        <f>Tabela3[[#This Row],[Sinal_TSMOM]]*(0.4*Tabela3[[#This Row],[Volatilidade]])</f>
        <v>0</v>
      </c>
      <c r="H66" s="5">
        <f>Tabela3[[#This Row],[Position_Size]]*Tabela3[[#This Row],[Retorno_Diário]]</f>
        <v>0</v>
      </c>
    </row>
    <row r="67" spans="1:8" x14ac:dyDescent="0.2">
      <c r="A67" s="11" t="s">
        <v>457</v>
      </c>
      <c r="B67" s="4" t="s">
        <v>459</v>
      </c>
      <c r="C67" s="5">
        <f t="shared" si="1"/>
        <v>-3.2207120584270887E-2</v>
      </c>
      <c r="D67" s="5" t="str">
        <f t="shared" ref="D67:D130" ca="1" si="2">IF(ROW()&gt;253,B68/OFFSET(B68,-252,0)-1,"")</f>
        <v/>
      </c>
      <c r="E67" s="5"/>
      <c r="F67" s="5">
        <f>IF(Tabela3[[#This Row],[Retorno_Diário]]&gt;0,1,-1)</f>
        <v>-1</v>
      </c>
      <c r="G67" s="5">
        <f>Tabela3[[#This Row],[Sinal_TSMOM]]*(0.4*Tabela3[[#This Row],[Volatilidade]])</f>
        <v>0</v>
      </c>
      <c r="H67" s="5">
        <f>Tabela3[[#This Row],[Position_Size]]*Tabela3[[#This Row],[Retorno_Diário]]</f>
        <v>0</v>
      </c>
    </row>
    <row r="68" spans="1:8" x14ac:dyDescent="0.2">
      <c r="A68" s="11" t="s">
        <v>464</v>
      </c>
      <c r="B68" s="4" t="s">
        <v>466</v>
      </c>
      <c r="C68" s="5">
        <f t="shared" ref="C68:C131" si="3">B68/B67-1</f>
        <v>5.4142886012218394E-3</v>
      </c>
      <c r="D68" s="5" t="str">
        <f t="shared" ca="1" si="2"/>
        <v/>
      </c>
      <c r="E68" s="5"/>
      <c r="F68" s="5">
        <f>IF(Tabela3[[#This Row],[Retorno_Diário]]&gt;0,1,-1)</f>
        <v>1</v>
      </c>
      <c r="G68" s="5">
        <f>Tabela3[[#This Row],[Sinal_TSMOM]]*(0.4*Tabela3[[#This Row],[Volatilidade]])</f>
        <v>0</v>
      </c>
      <c r="H68" s="5">
        <f>Tabela3[[#This Row],[Position_Size]]*Tabela3[[#This Row],[Retorno_Diário]]</f>
        <v>0</v>
      </c>
    </row>
    <row r="69" spans="1:8" x14ac:dyDescent="0.2">
      <c r="A69" s="11" t="s">
        <v>471</v>
      </c>
      <c r="B69" s="4" t="s">
        <v>473</v>
      </c>
      <c r="C69" s="5">
        <f t="shared" si="3"/>
        <v>5.8028874181755397E-2</v>
      </c>
      <c r="D69" s="5" t="str">
        <f t="shared" ca="1" si="2"/>
        <v/>
      </c>
      <c r="E69" s="5"/>
      <c r="F69" s="5">
        <f>IF(Tabela3[[#This Row],[Retorno_Diário]]&gt;0,1,-1)</f>
        <v>1</v>
      </c>
      <c r="G69" s="5">
        <f>Tabela3[[#This Row],[Sinal_TSMOM]]*(0.4*Tabela3[[#This Row],[Volatilidade]])</f>
        <v>0</v>
      </c>
      <c r="H69" s="5">
        <f>Tabela3[[#This Row],[Position_Size]]*Tabela3[[#This Row],[Retorno_Diário]]</f>
        <v>0</v>
      </c>
    </row>
    <row r="70" spans="1:8" x14ac:dyDescent="0.2">
      <c r="A70" s="11" t="s">
        <v>477</v>
      </c>
      <c r="B70" s="4" t="s">
        <v>445</v>
      </c>
      <c r="C70" s="5">
        <f t="shared" si="3"/>
        <v>-7.3274456676376554E-3</v>
      </c>
      <c r="D70" s="5" t="str">
        <f t="shared" ca="1" si="2"/>
        <v/>
      </c>
      <c r="E70" s="5"/>
      <c r="F70" s="5">
        <f>IF(Tabela3[[#This Row],[Retorno_Diário]]&gt;0,1,-1)</f>
        <v>-1</v>
      </c>
      <c r="G70" s="5">
        <f>Tabela3[[#This Row],[Sinal_TSMOM]]*(0.4*Tabela3[[#This Row],[Volatilidade]])</f>
        <v>0</v>
      </c>
      <c r="H70" s="5">
        <f>Tabela3[[#This Row],[Position_Size]]*Tabela3[[#This Row],[Retorno_Diário]]</f>
        <v>0</v>
      </c>
    </row>
    <row r="71" spans="1:8" x14ac:dyDescent="0.2">
      <c r="A71" s="11" t="s">
        <v>482</v>
      </c>
      <c r="B71" s="4" t="s">
        <v>484</v>
      </c>
      <c r="C71" s="5">
        <f t="shared" si="3"/>
        <v>3.6951843832124576E-2</v>
      </c>
      <c r="D71" s="5" t="str">
        <f t="shared" ca="1" si="2"/>
        <v/>
      </c>
      <c r="E71" s="5"/>
      <c r="F71" s="5">
        <f>IF(Tabela3[[#This Row],[Retorno_Diário]]&gt;0,1,-1)</f>
        <v>1</v>
      </c>
      <c r="G71" s="5">
        <f>Tabela3[[#This Row],[Sinal_TSMOM]]*(0.4*Tabela3[[#This Row],[Volatilidade]])</f>
        <v>0</v>
      </c>
      <c r="H71" s="5">
        <f>Tabela3[[#This Row],[Position_Size]]*Tabela3[[#This Row],[Retorno_Diário]]</f>
        <v>0</v>
      </c>
    </row>
    <row r="72" spans="1:8" x14ac:dyDescent="0.2">
      <c r="A72" s="11" t="s">
        <v>489</v>
      </c>
      <c r="B72" s="4" t="s">
        <v>491</v>
      </c>
      <c r="C72" s="5">
        <f t="shared" si="3"/>
        <v>-1.3213958995743291E-2</v>
      </c>
      <c r="D72" s="5" t="str">
        <f t="shared" ca="1" si="2"/>
        <v/>
      </c>
      <c r="E72" s="5"/>
      <c r="F72" s="5">
        <f>IF(Tabela3[[#This Row],[Retorno_Diário]]&gt;0,1,-1)</f>
        <v>-1</v>
      </c>
      <c r="G72" s="5">
        <f>Tabela3[[#This Row],[Sinal_TSMOM]]*(0.4*Tabela3[[#This Row],[Volatilidade]])</f>
        <v>0</v>
      </c>
      <c r="H72" s="5">
        <f>Tabela3[[#This Row],[Position_Size]]*Tabela3[[#This Row],[Retorno_Diário]]</f>
        <v>0</v>
      </c>
    </row>
    <row r="73" spans="1:8" x14ac:dyDescent="0.2">
      <c r="A73" s="11" t="s">
        <v>496</v>
      </c>
      <c r="B73" s="4" t="s">
        <v>498</v>
      </c>
      <c r="C73" s="5">
        <f t="shared" si="3"/>
        <v>-4.3172816415970594E-5</v>
      </c>
      <c r="D73" s="5" t="str">
        <f t="shared" ca="1" si="2"/>
        <v/>
      </c>
      <c r="E73" s="5"/>
      <c r="F73" s="5">
        <f>IF(Tabela3[[#This Row],[Retorno_Diário]]&gt;0,1,-1)</f>
        <v>-1</v>
      </c>
      <c r="G73" s="5">
        <f>Tabela3[[#This Row],[Sinal_TSMOM]]*(0.4*Tabela3[[#This Row],[Volatilidade]])</f>
        <v>0</v>
      </c>
      <c r="H73" s="5">
        <f>Tabela3[[#This Row],[Position_Size]]*Tabela3[[#This Row],[Retorno_Diário]]</f>
        <v>0</v>
      </c>
    </row>
    <row r="74" spans="1:8" x14ac:dyDescent="0.2">
      <c r="A74" s="11" t="s">
        <v>503</v>
      </c>
      <c r="B74" s="4" t="s">
        <v>505</v>
      </c>
      <c r="C74" s="5">
        <f t="shared" si="3"/>
        <v>2.6135018266432386E-2</v>
      </c>
      <c r="D74" s="5" t="str">
        <f t="shared" ca="1" si="2"/>
        <v/>
      </c>
      <c r="E74" s="5"/>
      <c r="F74" s="5">
        <f>IF(Tabela3[[#This Row],[Retorno_Diário]]&gt;0,1,-1)</f>
        <v>1</v>
      </c>
      <c r="G74" s="5">
        <f>Tabela3[[#This Row],[Sinal_TSMOM]]*(0.4*Tabela3[[#This Row],[Volatilidade]])</f>
        <v>0</v>
      </c>
      <c r="H74" s="5">
        <f>Tabela3[[#This Row],[Position_Size]]*Tabela3[[#This Row],[Retorno_Diário]]</f>
        <v>0</v>
      </c>
    </row>
    <row r="75" spans="1:8" x14ac:dyDescent="0.2">
      <c r="A75" s="11" t="s">
        <v>510</v>
      </c>
      <c r="B75" s="4" t="s">
        <v>512</v>
      </c>
      <c r="C75" s="5">
        <f t="shared" si="3"/>
        <v>-4.9255107039652968E-3</v>
      </c>
      <c r="D75" s="5" t="str">
        <f t="shared" ca="1" si="2"/>
        <v/>
      </c>
      <c r="E75" s="5"/>
      <c r="F75" s="5">
        <f>IF(Tabela3[[#This Row],[Retorno_Diário]]&gt;0,1,-1)</f>
        <v>-1</v>
      </c>
      <c r="G75" s="5">
        <f>Tabela3[[#This Row],[Sinal_TSMOM]]*(0.4*Tabela3[[#This Row],[Volatilidade]])</f>
        <v>0</v>
      </c>
      <c r="H75" s="5">
        <f>Tabela3[[#This Row],[Position_Size]]*Tabela3[[#This Row],[Retorno_Diário]]</f>
        <v>0</v>
      </c>
    </row>
    <row r="76" spans="1:8" x14ac:dyDescent="0.2">
      <c r="A76" s="11" t="s">
        <v>516</v>
      </c>
      <c r="B76" s="4" t="s">
        <v>518</v>
      </c>
      <c r="C76" s="5">
        <f t="shared" si="3"/>
        <v>-3.101069630694675E-2</v>
      </c>
      <c r="D76" s="5" t="str">
        <f t="shared" ca="1" si="2"/>
        <v/>
      </c>
      <c r="E76" s="5"/>
      <c r="F76" s="5">
        <f>IF(Tabela3[[#This Row],[Retorno_Diário]]&gt;0,1,-1)</f>
        <v>-1</v>
      </c>
      <c r="G76" s="5">
        <f>Tabela3[[#This Row],[Sinal_TSMOM]]*(0.4*Tabela3[[#This Row],[Volatilidade]])</f>
        <v>0</v>
      </c>
      <c r="H76" s="5">
        <f>Tabela3[[#This Row],[Position_Size]]*Tabela3[[#This Row],[Retorno_Diário]]</f>
        <v>0</v>
      </c>
    </row>
    <row r="77" spans="1:8" x14ac:dyDescent="0.2">
      <c r="A77" s="11" t="s">
        <v>523</v>
      </c>
      <c r="B77" s="4" t="s">
        <v>525</v>
      </c>
      <c r="C77" s="5">
        <f t="shared" si="3"/>
        <v>-1.4407544386842996E-3</v>
      </c>
      <c r="D77" s="5" t="str">
        <f t="shared" ca="1" si="2"/>
        <v/>
      </c>
      <c r="E77" s="5"/>
      <c r="F77" s="5">
        <f>IF(Tabela3[[#This Row],[Retorno_Diário]]&gt;0,1,-1)</f>
        <v>-1</v>
      </c>
      <c r="G77" s="5">
        <f>Tabela3[[#This Row],[Sinal_TSMOM]]*(0.4*Tabela3[[#This Row],[Volatilidade]])</f>
        <v>0</v>
      </c>
      <c r="H77" s="5">
        <f>Tabela3[[#This Row],[Position_Size]]*Tabela3[[#This Row],[Retorno_Diário]]</f>
        <v>0</v>
      </c>
    </row>
    <row r="78" spans="1:8" x14ac:dyDescent="0.2">
      <c r="A78" s="11" t="s">
        <v>530</v>
      </c>
      <c r="B78" s="4" t="s">
        <v>532</v>
      </c>
      <c r="C78" s="5">
        <f t="shared" si="3"/>
        <v>-2.1118438000661377E-2</v>
      </c>
      <c r="D78" s="5" t="str">
        <f t="shared" ca="1" si="2"/>
        <v/>
      </c>
      <c r="E78" s="5"/>
      <c r="F78" s="5">
        <f>IF(Tabela3[[#This Row],[Retorno_Diário]]&gt;0,1,-1)</f>
        <v>-1</v>
      </c>
      <c r="G78" s="5">
        <f>Tabela3[[#This Row],[Sinal_TSMOM]]*(0.4*Tabela3[[#This Row],[Volatilidade]])</f>
        <v>0</v>
      </c>
      <c r="H78" s="5">
        <f>Tabela3[[#This Row],[Position_Size]]*Tabela3[[#This Row],[Retorno_Diário]]</f>
        <v>0</v>
      </c>
    </row>
    <row r="79" spans="1:8" x14ac:dyDescent="0.2">
      <c r="A79" s="11" t="s">
        <v>536</v>
      </c>
      <c r="B79" s="4" t="s">
        <v>538</v>
      </c>
      <c r="C79" s="5">
        <f t="shared" si="3"/>
        <v>-1.1970682651544662E-2</v>
      </c>
      <c r="D79" s="5" t="str">
        <f t="shared" ca="1" si="2"/>
        <v/>
      </c>
      <c r="E79" s="5"/>
      <c r="F79" s="5">
        <f>IF(Tabela3[[#This Row],[Retorno_Diário]]&gt;0,1,-1)</f>
        <v>-1</v>
      </c>
      <c r="G79" s="5">
        <f>Tabela3[[#This Row],[Sinal_TSMOM]]*(0.4*Tabela3[[#This Row],[Volatilidade]])</f>
        <v>0</v>
      </c>
      <c r="H79" s="5">
        <f>Tabela3[[#This Row],[Position_Size]]*Tabela3[[#This Row],[Retorno_Diário]]</f>
        <v>0</v>
      </c>
    </row>
    <row r="80" spans="1:8" x14ac:dyDescent="0.2">
      <c r="A80" s="11" t="s">
        <v>541</v>
      </c>
      <c r="B80" s="4" t="s">
        <v>543</v>
      </c>
      <c r="C80" s="5">
        <f t="shared" si="3"/>
        <v>-2.052443290224637E-2</v>
      </c>
      <c r="D80" s="5" t="str">
        <f t="shared" ca="1" si="2"/>
        <v/>
      </c>
      <c r="E80" s="5"/>
      <c r="F80" s="5">
        <f>IF(Tabela3[[#This Row],[Retorno_Diário]]&gt;0,1,-1)</f>
        <v>-1</v>
      </c>
      <c r="G80" s="5">
        <f>Tabela3[[#This Row],[Sinal_TSMOM]]*(0.4*Tabela3[[#This Row],[Volatilidade]])</f>
        <v>0</v>
      </c>
      <c r="H80" s="5">
        <f>Tabela3[[#This Row],[Position_Size]]*Tabela3[[#This Row],[Retorno_Diário]]</f>
        <v>0</v>
      </c>
    </row>
    <row r="81" spans="1:8" x14ac:dyDescent="0.2">
      <c r="A81" s="11" t="s">
        <v>548</v>
      </c>
      <c r="B81" s="4" t="s">
        <v>550</v>
      </c>
      <c r="C81" s="5">
        <f t="shared" si="3"/>
        <v>3.9508860816548808E-2</v>
      </c>
      <c r="D81" s="5" t="str">
        <f t="shared" ca="1" si="2"/>
        <v/>
      </c>
      <c r="E81" s="5"/>
      <c r="F81" s="5">
        <f>IF(Tabela3[[#This Row],[Retorno_Diário]]&gt;0,1,-1)</f>
        <v>1</v>
      </c>
      <c r="G81" s="5">
        <f>Tabela3[[#This Row],[Sinal_TSMOM]]*(0.4*Tabela3[[#This Row],[Volatilidade]])</f>
        <v>0</v>
      </c>
      <c r="H81" s="5">
        <f>Tabela3[[#This Row],[Position_Size]]*Tabela3[[#This Row],[Retorno_Diário]]</f>
        <v>0</v>
      </c>
    </row>
    <row r="82" spans="1:8" x14ac:dyDescent="0.2">
      <c r="A82" s="11" t="s">
        <v>555</v>
      </c>
      <c r="B82" s="4" t="s">
        <v>557</v>
      </c>
      <c r="C82" s="5">
        <f t="shared" si="3"/>
        <v>4.9285171917989867E-3</v>
      </c>
      <c r="D82" s="5" t="str">
        <f t="shared" ca="1" si="2"/>
        <v/>
      </c>
      <c r="E82" s="5"/>
      <c r="F82" s="5">
        <f>IF(Tabela3[[#This Row],[Retorno_Diário]]&gt;0,1,-1)</f>
        <v>1</v>
      </c>
      <c r="G82" s="5">
        <f>Tabela3[[#This Row],[Sinal_TSMOM]]*(0.4*Tabela3[[#This Row],[Volatilidade]])</f>
        <v>0</v>
      </c>
      <c r="H82" s="5">
        <f>Tabela3[[#This Row],[Position_Size]]*Tabela3[[#This Row],[Retorno_Diário]]</f>
        <v>0</v>
      </c>
    </row>
    <row r="83" spans="1:8" x14ac:dyDescent="0.2">
      <c r="A83" s="11" t="s">
        <v>562</v>
      </c>
      <c r="B83" s="4" t="s">
        <v>564</v>
      </c>
      <c r="C83" s="5">
        <f t="shared" si="3"/>
        <v>-6.3181925821298446E-3</v>
      </c>
      <c r="D83" s="5" t="str">
        <f t="shared" ca="1" si="2"/>
        <v/>
      </c>
      <c r="E83" s="5"/>
      <c r="F83" s="5">
        <f>IF(Tabela3[[#This Row],[Retorno_Diário]]&gt;0,1,-1)</f>
        <v>-1</v>
      </c>
      <c r="G83" s="5">
        <f>Tabela3[[#This Row],[Sinal_TSMOM]]*(0.4*Tabela3[[#This Row],[Volatilidade]])</f>
        <v>0</v>
      </c>
      <c r="H83" s="5">
        <f>Tabela3[[#This Row],[Position_Size]]*Tabela3[[#This Row],[Retorno_Diário]]</f>
        <v>0</v>
      </c>
    </row>
    <row r="84" spans="1:8" x14ac:dyDescent="0.2">
      <c r="A84" s="11" t="s">
        <v>568</v>
      </c>
      <c r="B84" s="4" t="s">
        <v>570</v>
      </c>
      <c r="C84" s="5">
        <f t="shared" si="3"/>
        <v>9.9600237023471649E-3</v>
      </c>
      <c r="D84" s="5" t="str">
        <f t="shared" ca="1" si="2"/>
        <v/>
      </c>
      <c r="E84" s="5"/>
      <c r="F84" s="5">
        <f>IF(Tabela3[[#This Row],[Retorno_Diário]]&gt;0,1,-1)</f>
        <v>1</v>
      </c>
      <c r="G84" s="5">
        <f>Tabela3[[#This Row],[Sinal_TSMOM]]*(0.4*Tabela3[[#This Row],[Volatilidade]])</f>
        <v>0</v>
      </c>
      <c r="H84" s="5">
        <f>Tabela3[[#This Row],[Position_Size]]*Tabela3[[#This Row],[Retorno_Diário]]</f>
        <v>0</v>
      </c>
    </row>
    <row r="85" spans="1:8" x14ac:dyDescent="0.2">
      <c r="A85" s="11" t="s">
        <v>575</v>
      </c>
      <c r="B85" s="4" t="s">
        <v>577</v>
      </c>
      <c r="C85" s="5">
        <f t="shared" si="3"/>
        <v>-3.6541419626935356E-3</v>
      </c>
      <c r="D85" s="5" t="str">
        <f t="shared" ca="1" si="2"/>
        <v/>
      </c>
      <c r="E85" s="5"/>
      <c r="F85" s="5">
        <f>IF(Tabela3[[#This Row],[Retorno_Diário]]&gt;0,1,-1)</f>
        <v>-1</v>
      </c>
      <c r="G85" s="5">
        <f>Tabela3[[#This Row],[Sinal_TSMOM]]*(0.4*Tabela3[[#This Row],[Volatilidade]])</f>
        <v>0</v>
      </c>
      <c r="H85" s="5">
        <f>Tabela3[[#This Row],[Position_Size]]*Tabela3[[#This Row],[Retorno_Diário]]</f>
        <v>0</v>
      </c>
    </row>
    <row r="86" spans="1:8" x14ac:dyDescent="0.2">
      <c r="A86" s="11" t="s">
        <v>579</v>
      </c>
      <c r="B86" s="4" t="s">
        <v>581</v>
      </c>
      <c r="C86" s="5">
        <f t="shared" si="3"/>
        <v>2.951700111637745E-2</v>
      </c>
      <c r="D86" s="5" t="str">
        <f t="shared" ca="1" si="2"/>
        <v/>
      </c>
      <c r="E86" s="5"/>
      <c r="F86" s="5">
        <f>IF(Tabela3[[#This Row],[Retorno_Diário]]&gt;0,1,-1)</f>
        <v>1</v>
      </c>
      <c r="G86" s="5">
        <f>Tabela3[[#This Row],[Sinal_TSMOM]]*(0.4*Tabela3[[#This Row],[Volatilidade]])</f>
        <v>0</v>
      </c>
      <c r="H86" s="5">
        <f>Tabela3[[#This Row],[Position_Size]]*Tabela3[[#This Row],[Retorno_Diário]]</f>
        <v>0</v>
      </c>
    </row>
    <row r="87" spans="1:8" x14ac:dyDescent="0.2">
      <c r="A87" s="11" t="s">
        <v>586</v>
      </c>
      <c r="B87" s="4" t="s">
        <v>588</v>
      </c>
      <c r="C87" s="5">
        <f t="shared" si="3"/>
        <v>2.6052635585973816E-2</v>
      </c>
      <c r="D87" s="5" t="str">
        <f t="shared" ca="1" si="2"/>
        <v/>
      </c>
      <c r="E87" s="5"/>
      <c r="F87" s="5">
        <f>IF(Tabela3[[#This Row],[Retorno_Diário]]&gt;0,1,-1)</f>
        <v>1</v>
      </c>
      <c r="G87" s="5">
        <f>Tabela3[[#This Row],[Sinal_TSMOM]]*(0.4*Tabela3[[#This Row],[Volatilidade]])</f>
        <v>0</v>
      </c>
      <c r="H87" s="5">
        <f>Tabela3[[#This Row],[Position_Size]]*Tabela3[[#This Row],[Retorno_Diário]]</f>
        <v>0</v>
      </c>
    </row>
    <row r="88" spans="1:8" x14ac:dyDescent="0.2">
      <c r="A88" s="11" t="s">
        <v>593</v>
      </c>
      <c r="B88" s="4" t="s">
        <v>595</v>
      </c>
      <c r="C88" s="5">
        <f t="shared" si="3"/>
        <v>4.0240938996997766E-2</v>
      </c>
      <c r="D88" s="5" t="str">
        <f t="shared" ca="1" si="2"/>
        <v/>
      </c>
      <c r="E88" s="5"/>
      <c r="F88" s="5">
        <f>IF(Tabela3[[#This Row],[Retorno_Diário]]&gt;0,1,-1)</f>
        <v>1</v>
      </c>
      <c r="G88" s="5">
        <f>Tabela3[[#This Row],[Sinal_TSMOM]]*(0.4*Tabela3[[#This Row],[Volatilidade]])</f>
        <v>0</v>
      </c>
      <c r="H88" s="5">
        <f>Tabela3[[#This Row],[Position_Size]]*Tabela3[[#This Row],[Retorno_Diário]]</f>
        <v>0</v>
      </c>
    </row>
    <row r="89" spans="1:8" x14ac:dyDescent="0.2">
      <c r="A89" s="11" t="s">
        <v>600</v>
      </c>
      <c r="B89" s="4" t="s">
        <v>602</v>
      </c>
      <c r="C89" s="5">
        <f t="shared" si="3"/>
        <v>6.9165548012981581E-3</v>
      </c>
      <c r="D89" s="5" t="str">
        <f t="shared" ca="1" si="2"/>
        <v/>
      </c>
      <c r="E89" s="5"/>
      <c r="F89" s="5">
        <f>IF(Tabela3[[#This Row],[Retorno_Diário]]&gt;0,1,-1)</f>
        <v>1</v>
      </c>
      <c r="G89" s="5">
        <f>Tabela3[[#This Row],[Sinal_TSMOM]]*(0.4*Tabela3[[#This Row],[Volatilidade]])</f>
        <v>0</v>
      </c>
      <c r="H89" s="5">
        <f>Tabela3[[#This Row],[Position_Size]]*Tabela3[[#This Row],[Retorno_Diário]]</f>
        <v>0</v>
      </c>
    </row>
    <row r="90" spans="1:8" x14ac:dyDescent="0.2">
      <c r="A90" s="11" t="s">
        <v>607</v>
      </c>
      <c r="B90" s="4" t="s">
        <v>609</v>
      </c>
      <c r="C90" s="5">
        <f t="shared" si="3"/>
        <v>2.1485550311193036E-2</v>
      </c>
      <c r="D90" s="5" t="str">
        <f t="shared" ca="1" si="2"/>
        <v/>
      </c>
      <c r="E90" s="5"/>
      <c r="F90" s="5">
        <f>IF(Tabela3[[#This Row],[Retorno_Diário]]&gt;0,1,-1)</f>
        <v>1</v>
      </c>
      <c r="G90" s="5">
        <f>Tabela3[[#This Row],[Sinal_TSMOM]]*(0.4*Tabela3[[#This Row],[Volatilidade]])</f>
        <v>0</v>
      </c>
      <c r="H90" s="5">
        <f>Tabela3[[#This Row],[Position_Size]]*Tabela3[[#This Row],[Retorno_Diário]]</f>
        <v>0</v>
      </c>
    </row>
    <row r="91" spans="1:8" x14ac:dyDescent="0.2">
      <c r="A91" s="11" t="s">
        <v>614</v>
      </c>
      <c r="B91" s="4" t="s">
        <v>616</v>
      </c>
      <c r="C91" s="5">
        <f t="shared" si="3"/>
        <v>1.7006856999854492E-2</v>
      </c>
      <c r="D91" s="5" t="str">
        <f t="shared" ca="1" si="2"/>
        <v/>
      </c>
      <c r="E91" s="5"/>
      <c r="F91" s="5">
        <f>IF(Tabela3[[#This Row],[Retorno_Diário]]&gt;0,1,-1)</f>
        <v>1</v>
      </c>
      <c r="G91" s="5">
        <f>Tabela3[[#This Row],[Sinal_TSMOM]]*(0.4*Tabela3[[#This Row],[Volatilidade]])</f>
        <v>0</v>
      </c>
      <c r="H91" s="5">
        <f>Tabela3[[#This Row],[Position_Size]]*Tabela3[[#This Row],[Retorno_Diário]]</f>
        <v>0</v>
      </c>
    </row>
    <row r="92" spans="1:8" x14ac:dyDescent="0.2">
      <c r="A92" s="11" t="s">
        <v>621</v>
      </c>
      <c r="B92" s="4" t="s">
        <v>623</v>
      </c>
      <c r="C92" s="5">
        <f t="shared" si="3"/>
        <v>-2.152775007801655E-2</v>
      </c>
      <c r="D92" s="5" t="str">
        <f t="shared" ca="1" si="2"/>
        <v/>
      </c>
      <c r="E92" s="5"/>
      <c r="F92" s="5">
        <f>IF(Tabela3[[#This Row],[Retorno_Diário]]&gt;0,1,-1)</f>
        <v>-1</v>
      </c>
      <c r="G92" s="5">
        <f>Tabela3[[#This Row],[Sinal_TSMOM]]*(0.4*Tabela3[[#This Row],[Volatilidade]])</f>
        <v>0</v>
      </c>
      <c r="H92" s="5">
        <f>Tabela3[[#This Row],[Position_Size]]*Tabela3[[#This Row],[Retorno_Diário]]</f>
        <v>0</v>
      </c>
    </row>
    <row r="93" spans="1:8" x14ac:dyDescent="0.2">
      <c r="A93" s="11" t="s">
        <v>628</v>
      </c>
      <c r="B93" s="4" t="s">
        <v>630</v>
      </c>
      <c r="C93" s="5">
        <f t="shared" si="3"/>
        <v>3.2609195769230936E-3</v>
      </c>
      <c r="D93" s="5" t="str">
        <f t="shared" ca="1" si="2"/>
        <v/>
      </c>
      <c r="E93" s="5"/>
      <c r="F93" s="5">
        <f>IF(Tabela3[[#This Row],[Retorno_Diário]]&gt;0,1,-1)</f>
        <v>1</v>
      </c>
      <c r="G93" s="5">
        <f>Tabela3[[#This Row],[Sinal_TSMOM]]*(0.4*Tabela3[[#This Row],[Volatilidade]])</f>
        <v>0</v>
      </c>
      <c r="H93" s="5">
        <f>Tabela3[[#This Row],[Position_Size]]*Tabela3[[#This Row],[Retorno_Diário]]</f>
        <v>0</v>
      </c>
    </row>
    <row r="94" spans="1:8" x14ac:dyDescent="0.2">
      <c r="A94" s="11" t="s">
        <v>635</v>
      </c>
      <c r="B94" s="4" t="s">
        <v>637</v>
      </c>
      <c r="C94" s="5">
        <f t="shared" si="3"/>
        <v>-3.8377176111114686E-2</v>
      </c>
      <c r="D94" s="5" t="str">
        <f t="shared" ca="1" si="2"/>
        <v/>
      </c>
      <c r="E94" s="5"/>
      <c r="F94" s="5">
        <f>IF(Tabela3[[#This Row],[Retorno_Diário]]&gt;0,1,-1)</f>
        <v>-1</v>
      </c>
      <c r="G94" s="5">
        <f>Tabela3[[#This Row],[Sinal_TSMOM]]*(0.4*Tabela3[[#This Row],[Volatilidade]])</f>
        <v>0</v>
      </c>
      <c r="H94" s="5">
        <f>Tabela3[[#This Row],[Position_Size]]*Tabela3[[#This Row],[Retorno_Diário]]</f>
        <v>0</v>
      </c>
    </row>
    <row r="95" spans="1:8" x14ac:dyDescent="0.2">
      <c r="A95" s="11" t="s">
        <v>642</v>
      </c>
      <c r="B95" s="4" t="s">
        <v>644</v>
      </c>
      <c r="C95" s="5">
        <f t="shared" si="3"/>
        <v>1.8325491424238116E-3</v>
      </c>
      <c r="D95" s="5" t="str">
        <f t="shared" ca="1" si="2"/>
        <v/>
      </c>
      <c r="E95" s="5"/>
      <c r="F95" s="5">
        <f>IF(Tabela3[[#This Row],[Retorno_Diário]]&gt;0,1,-1)</f>
        <v>1</v>
      </c>
      <c r="G95" s="5">
        <f>Tabela3[[#This Row],[Sinal_TSMOM]]*(0.4*Tabela3[[#This Row],[Volatilidade]])</f>
        <v>0</v>
      </c>
      <c r="H95" s="5">
        <f>Tabela3[[#This Row],[Position_Size]]*Tabela3[[#This Row],[Retorno_Diário]]</f>
        <v>0</v>
      </c>
    </row>
    <row r="96" spans="1:8" x14ac:dyDescent="0.2">
      <c r="A96" s="11" t="s">
        <v>649</v>
      </c>
      <c r="B96" s="4" t="s">
        <v>347</v>
      </c>
      <c r="C96" s="5">
        <f t="shared" si="3"/>
        <v>6.9102913480667549E-3</v>
      </c>
      <c r="D96" s="5" t="str">
        <f t="shared" ca="1" si="2"/>
        <v/>
      </c>
      <c r="E96" s="5"/>
      <c r="F96" s="5">
        <f>IF(Tabela3[[#This Row],[Retorno_Diário]]&gt;0,1,-1)</f>
        <v>1</v>
      </c>
      <c r="G96" s="5">
        <f>Tabela3[[#This Row],[Sinal_TSMOM]]*(0.4*Tabela3[[#This Row],[Volatilidade]])</f>
        <v>0</v>
      </c>
      <c r="H96" s="5">
        <f>Tabela3[[#This Row],[Position_Size]]*Tabela3[[#This Row],[Retorno_Diário]]</f>
        <v>0</v>
      </c>
    </row>
    <row r="97" spans="1:8" x14ac:dyDescent="0.2">
      <c r="A97" s="11" t="s">
        <v>654</v>
      </c>
      <c r="B97" s="4" t="s">
        <v>656</v>
      </c>
      <c r="C97" s="5">
        <f t="shared" si="3"/>
        <v>-7.1454542178573943E-3</v>
      </c>
      <c r="D97" s="5" t="str">
        <f t="shared" ca="1" si="2"/>
        <v/>
      </c>
      <c r="E97" s="5"/>
      <c r="F97" s="5">
        <f>IF(Tabela3[[#This Row],[Retorno_Diário]]&gt;0,1,-1)</f>
        <v>-1</v>
      </c>
      <c r="G97" s="5">
        <f>Tabela3[[#This Row],[Sinal_TSMOM]]*(0.4*Tabela3[[#This Row],[Volatilidade]])</f>
        <v>0</v>
      </c>
      <c r="H97" s="5">
        <f>Tabela3[[#This Row],[Position_Size]]*Tabela3[[#This Row],[Retorno_Diário]]</f>
        <v>0</v>
      </c>
    </row>
    <row r="98" spans="1:8" x14ac:dyDescent="0.2">
      <c r="A98" s="11" t="s">
        <v>661</v>
      </c>
      <c r="B98" s="4" t="s">
        <v>663</v>
      </c>
      <c r="C98" s="5">
        <f t="shared" si="3"/>
        <v>-6.912258162284024E-3</v>
      </c>
      <c r="D98" s="5" t="str">
        <f t="shared" ca="1" si="2"/>
        <v/>
      </c>
      <c r="E98" s="5"/>
      <c r="F98" s="5">
        <f>IF(Tabela3[[#This Row],[Retorno_Diário]]&gt;0,1,-1)</f>
        <v>-1</v>
      </c>
      <c r="G98" s="5">
        <f>Tabela3[[#This Row],[Sinal_TSMOM]]*(0.4*Tabela3[[#This Row],[Volatilidade]])</f>
        <v>0</v>
      </c>
      <c r="H98" s="5">
        <f>Tabela3[[#This Row],[Position_Size]]*Tabela3[[#This Row],[Retorno_Diário]]</f>
        <v>0</v>
      </c>
    </row>
    <row r="99" spans="1:8" x14ac:dyDescent="0.2">
      <c r="A99" s="11" t="s">
        <v>667</v>
      </c>
      <c r="B99" s="4" t="s">
        <v>669</v>
      </c>
      <c r="C99" s="5">
        <f t="shared" si="3"/>
        <v>-6.3052460678114652E-3</v>
      </c>
      <c r="D99" s="5" t="str">
        <f t="shared" ca="1" si="2"/>
        <v/>
      </c>
      <c r="E99" s="5"/>
      <c r="F99" s="5">
        <f>IF(Tabela3[[#This Row],[Retorno_Diário]]&gt;0,1,-1)</f>
        <v>-1</v>
      </c>
      <c r="G99" s="5">
        <f>Tabela3[[#This Row],[Sinal_TSMOM]]*(0.4*Tabela3[[#This Row],[Volatilidade]])</f>
        <v>0</v>
      </c>
      <c r="H99" s="5">
        <f>Tabela3[[#This Row],[Position_Size]]*Tabela3[[#This Row],[Retorno_Diário]]</f>
        <v>0</v>
      </c>
    </row>
    <row r="100" spans="1:8" x14ac:dyDescent="0.2">
      <c r="A100" s="11" t="s">
        <v>673</v>
      </c>
      <c r="B100" s="4" t="s">
        <v>675</v>
      </c>
      <c r="C100" s="5">
        <f t="shared" si="3"/>
        <v>1.9942284433065893E-2</v>
      </c>
      <c r="D100" s="5" t="str">
        <f t="shared" ca="1" si="2"/>
        <v/>
      </c>
      <c r="E100" s="5"/>
      <c r="F100" s="5">
        <f>IF(Tabela3[[#This Row],[Retorno_Diário]]&gt;0,1,-1)</f>
        <v>1</v>
      </c>
      <c r="G100" s="5">
        <f>Tabela3[[#This Row],[Sinal_TSMOM]]*(0.4*Tabela3[[#This Row],[Volatilidade]])</f>
        <v>0</v>
      </c>
      <c r="H100" s="5">
        <f>Tabela3[[#This Row],[Position_Size]]*Tabela3[[#This Row],[Retorno_Diário]]</f>
        <v>0</v>
      </c>
    </row>
    <row r="101" spans="1:8" x14ac:dyDescent="0.2">
      <c r="A101" s="11" t="s">
        <v>679</v>
      </c>
      <c r="B101" s="4" t="s">
        <v>681</v>
      </c>
      <c r="C101" s="5">
        <f t="shared" si="3"/>
        <v>6.0593802311204037E-4</v>
      </c>
      <c r="D101" s="5" t="str">
        <f t="shared" ca="1" si="2"/>
        <v/>
      </c>
      <c r="E101" s="5"/>
      <c r="F101" s="5">
        <f>IF(Tabela3[[#This Row],[Retorno_Diário]]&gt;0,1,-1)</f>
        <v>1</v>
      </c>
      <c r="G101" s="5">
        <f>Tabela3[[#This Row],[Sinal_TSMOM]]*(0.4*Tabela3[[#This Row],[Volatilidade]])</f>
        <v>0</v>
      </c>
      <c r="H101" s="5">
        <f>Tabela3[[#This Row],[Position_Size]]*Tabela3[[#This Row],[Retorno_Diário]]</f>
        <v>0</v>
      </c>
    </row>
    <row r="102" spans="1:8" x14ac:dyDescent="0.2">
      <c r="A102" s="11" t="s">
        <v>686</v>
      </c>
      <c r="B102" s="4" t="s">
        <v>688</v>
      </c>
      <c r="C102" s="5">
        <f t="shared" si="3"/>
        <v>6.419330716122662E-3</v>
      </c>
      <c r="D102" s="5" t="str">
        <f t="shared" ca="1" si="2"/>
        <v/>
      </c>
      <c r="E102" s="5"/>
      <c r="F102" s="5">
        <f>IF(Tabela3[[#This Row],[Retorno_Diário]]&gt;0,1,-1)</f>
        <v>1</v>
      </c>
      <c r="G102" s="5">
        <f>Tabela3[[#This Row],[Sinal_TSMOM]]*(0.4*Tabela3[[#This Row],[Volatilidade]])</f>
        <v>0</v>
      </c>
      <c r="H102" s="5">
        <f>Tabela3[[#This Row],[Position_Size]]*Tabela3[[#This Row],[Retorno_Diário]]</f>
        <v>0</v>
      </c>
    </row>
    <row r="103" spans="1:8" x14ac:dyDescent="0.2">
      <c r="A103" s="11" t="s">
        <v>693</v>
      </c>
      <c r="B103" s="4" t="s">
        <v>695</v>
      </c>
      <c r="C103" s="5">
        <f t="shared" si="3"/>
        <v>-2.7679816084094089E-3</v>
      </c>
      <c r="D103" s="5" t="str">
        <f t="shared" ca="1" si="2"/>
        <v/>
      </c>
      <c r="E103" s="5"/>
      <c r="F103" s="5">
        <f>IF(Tabela3[[#This Row],[Retorno_Diário]]&gt;0,1,-1)</f>
        <v>-1</v>
      </c>
      <c r="G103" s="5">
        <f>Tabela3[[#This Row],[Sinal_TSMOM]]*(0.4*Tabela3[[#This Row],[Volatilidade]])</f>
        <v>0</v>
      </c>
      <c r="H103" s="5">
        <f>Tabela3[[#This Row],[Position_Size]]*Tabela3[[#This Row],[Retorno_Diário]]</f>
        <v>0</v>
      </c>
    </row>
    <row r="104" spans="1:8" x14ac:dyDescent="0.2">
      <c r="A104" s="11" t="s">
        <v>700</v>
      </c>
      <c r="B104" s="4" t="s">
        <v>702</v>
      </c>
      <c r="C104" s="5">
        <f t="shared" si="3"/>
        <v>1.7699849040244464E-2</v>
      </c>
      <c r="D104" s="5" t="str">
        <f t="shared" ca="1" si="2"/>
        <v/>
      </c>
      <c r="E104" s="5"/>
      <c r="F104" s="5">
        <f>IF(Tabela3[[#This Row],[Retorno_Diário]]&gt;0,1,-1)</f>
        <v>1</v>
      </c>
      <c r="G104" s="5">
        <f>Tabela3[[#This Row],[Sinal_TSMOM]]*(0.4*Tabela3[[#This Row],[Volatilidade]])</f>
        <v>0</v>
      </c>
      <c r="H104" s="5">
        <f>Tabela3[[#This Row],[Position_Size]]*Tabela3[[#This Row],[Retorno_Diário]]</f>
        <v>0</v>
      </c>
    </row>
    <row r="105" spans="1:8" x14ac:dyDescent="0.2">
      <c r="A105" s="11" t="s">
        <v>707</v>
      </c>
      <c r="B105" s="4" t="s">
        <v>709</v>
      </c>
      <c r="C105" s="5">
        <f t="shared" si="3"/>
        <v>-3.1621773343434301E-3</v>
      </c>
      <c r="D105" s="5" t="str">
        <f t="shared" ca="1" si="2"/>
        <v/>
      </c>
      <c r="E105" s="5"/>
      <c r="F105" s="5">
        <f>IF(Tabela3[[#This Row],[Retorno_Diário]]&gt;0,1,-1)</f>
        <v>-1</v>
      </c>
      <c r="G105" s="5">
        <f>Tabela3[[#This Row],[Sinal_TSMOM]]*(0.4*Tabela3[[#This Row],[Volatilidade]])</f>
        <v>0</v>
      </c>
      <c r="H105" s="5">
        <f>Tabela3[[#This Row],[Position_Size]]*Tabela3[[#This Row],[Retorno_Diário]]</f>
        <v>0</v>
      </c>
    </row>
    <row r="106" spans="1:8" x14ac:dyDescent="0.2">
      <c r="A106" s="11" t="s">
        <v>714</v>
      </c>
      <c r="B106" s="4" t="s">
        <v>716</v>
      </c>
      <c r="C106" s="5">
        <f t="shared" si="3"/>
        <v>2.1531356141599511E-2</v>
      </c>
      <c r="D106" s="5" t="str">
        <f t="shared" ca="1" si="2"/>
        <v/>
      </c>
      <c r="E106" s="5"/>
      <c r="F106" s="5">
        <f>IF(Tabela3[[#This Row],[Retorno_Diário]]&gt;0,1,-1)</f>
        <v>1</v>
      </c>
      <c r="G106" s="5">
        <f>Tabela3[[#This Row],[Sinal_TSMOM]]*(0.4*Tabela3[[#This Row],[Volatilidade]])</f>
        <v>0</v>
      </c>
      <c r="H106" s="5">
        <f>Tabela3[[#This Row],[Position_Size]]*Tabela3[[#This Row],[Retorno_Diário]]</f>
        <v>0</v>
      </c>
    </row>
    <row r="107" spans="1:8" x14ac:dyDescent="0.2">
      <c r="A107" s="11" t="s">
        <v>721</v>
      </c>
      <c r="B107" s="4" t="s">
        <v>723</v>
      </c>
      <c r="C107" s="5">
        <f t="shared" si="3"/>
        <v>2.8064649658870344E-2</v>
      </c>
      <c r="D107" s="5" t="str">
        <f t="shared" ca="1" si="2"/>
        <v/>
      </c>
      <c r="E107" s="5"/>
      <c r="F107" s="5">
        <f>IF(Tabela3[[#This Row],[Retorno_Diário]]&gt;0,1,-1)</f>
        <v>1</v>
      </c>
      <c r="G107" s="5">
        <f>Tabela3[[#This Row],[Sinal_TSMOM]]*(0.4*Tabela3[[#This Row],[Volatilidade]])</f>
        <v>0</v>
      </c>
      <c r="H107" s="5">
        <f>Tabela3[[#This Row],[Position_Size]]*Tabela3[[#This Row],[Retorno_Diário]]</f>
        <v>0</v>
      </c>
    </row>
    <row r="108" spans="1:8" x14ac:dyDescent="0.2">
      <c r="A108" s="11" t="s">
        <v>728</v>
      </c>
      <c r="B108" s="4" t="s">
        <v>730</v>
      </c>
      <c r="C108" s="5">
        <f t="shared" si="3"/>
        <v>8.3063464692711975E-4</v>
      </c>
      <c r="D108" s="5" t="str">
        <f t="shared" ca="1" si="2"/>
        <v/>
      </c>
      <c r="E108" s="5"/>
      <c r="F108" s="5">
        <f>IF(Tabela3[[#This Row],[Retorno_Diário]]&gt;0,1,-1)</f>
        <v>1</v>
      </c>
      <c r="G108" s="5">
        <f>Tabela3[[#This Row],[Sinal_TSMOM]]*(0.4*Tabela3[[#This Row],[Volatilidade]])</f>
        <v>0</v>
      </c>
      <c r="H108" s="5">
        <f>Tabela3[[#This Row],[Position_Size]]*Tabela3[[#This Row],[Retorno_Diário]]</f>
        <v>0</v>
      </c>
    </row>
    <row r="109" spans="1:8" x14ac:dyDescent="0.2">
      <c r="A109" s="11" t="s">
        <v>735</v>
      </c>
      <c r="B109" s="4" t="s">
        <v>737</v>
      </c>
      <c r="C109" s="5">
        <f t="shared" si="3"/>
        <v>3.0178519542789495E-4</v>
      </c>
      <c r="D109" s="5" t="str">
        <f t="shared" ca="1" si="2"/>
        <v/>
      </c>
      <c r="E109" s="5"/>
      <c r="F109" s="5">
        <f>IF(Tabela3[[#This Row],[Retorno_Diário]]&gt;0,1,-1)</f>
        <v>1</v>
      </c>
      <c r="G109" s="5">
        <f>Tabela3[[#This Row],[Sinal_TSMOM]]*(0.4*Tabela3[[#This Row],[Volatilidade]])</f>
        <v>0</v>
      </c>
      <c r="H109" s="5">
        <f>Tabela3[[#This Row],[Position_Size]]*Tabela3[[#This Row],[Retorno_Diário]]</f>
        <v>0</v>
      </c>
    </row>
    <row r="110" spans="1:8" x14ac:dyDescent="0.2">
      <c r="A110" s="11" t="s">
        <v>742</v>
      </c>
      <c r="B110" s="4" t="s">
        <v>744</v>
      </c>
      <c r="C110" s="5">
        <f t="shared" si="3"/>
        <v>-8.4857054233582474E-3</v>
      </c>
      <c r="D110" s="5" t="str">
        <f t="shared" ca="1" si="2"/>
        <v/>
      </c>
      <c r="E110" s="5"/>
      <c r="F110" s="5">
        <f>IF(Tabela3[[#This Row],[Retorno_Diário]]&gt;0,1,-1)</f>
        <v>-1</v>
      </c>
      <c r="G110" s="5">
        <f>Tabela3[[#This Row],[Sinal_TSMOM]]*(0.4*Tabela3[[#This Row],[Volatilidade]])</f>
        <v>0</v>
      </c>
      <c r="H110" s="5">
        <f>Tabela3[[#This Row],[Position_Size]]*Tabela3[[#This Row],[Retorno_Diário]]</f>
        <v>0</v>
      </c>
    </row>
    <row r="111" spans="1:8" x14ac:dyDescent="0.2">
      <c r="A111" s="11" t="s">
        <v>749</v>
      </c>
      <c r="B111" s="4" t="s">
        <v>751</v>
      </c>
      <c r="C111" s="5">
        <f t="shared" si="3"/>
        <v>-2.3583215100453359E-3</v>
      </c>
      <c r="D111" s="5" t="str">
        <f t="shared" ca="1" si="2"/>
        <v/>
      </c>
      <c r="E111" s="5"/>
      <c r="F111" s="5">
        <f>IF(Tabela3[[#This Row],[Retorno_Diário]]&gt;0,1,-1)</f>
        <v>-1</v>
      </c>
      <c r="G111" s="5">
        <f>Tabela3[[#This Row],[Sinal_TSMOM]]*(0.4*Tabela3[[#This Row],[Volatilidade]])</f>
        <v>0</v>
      </c>
      <c r="H111" s="5">
        <f>Tabela3[[#This Row],[Position_Size]]*Tabela3[[#This Row],[Retorno_Diário]]</f>
        <v>0</v>
      </c>
    </row>
    <row r="112" spans="1:8" x14ac:dyDescent="0.2">
      <c r="A112" s="11" t="s">
        <v>756</v>
      </c>
      <c r="B112" s="4" t="s">
        <v>758</v>
      </c>
      <c r="C112" s="5">
        <f t="shared" si="3"/>
        <v>-6.3291277319954542E-3</v>
      </c>
      <c r="D112" s="5" t="str">
        <f t="shared" ca="1" si="2"/>
        <v/>
      </c>
      <c r="E112" s="5"/>
      <c r="F112" s="5">
        <f>IF(Tabela3[[#This Row],[Retorno_Diário]]&gt;0,1,-1)</f>
        <v>-1</v>
      </c>
      <c r="G112" s="5">
        <f>Tabela3[[#This Row],[Sinal_TSMOM]]*(0.4*Tabela3[[#This Row],[Volatilidade]])</f>
        <v>0</v>
      </c>
      <c r="H112" s="5">
        <f>Tabela3[[#This Row],[Position_Size]]*Tabela3[[#This Row],[Retorno_Diário]]</f>
        <v>0</v>
      </c>
    </row>
    <row r="113" spans="1:8" x14ac:dyDescent="0.2">
      <c r="A113" s="11" t="s">
        <v>763</v>
      </c>
      <c r="B113" s="4" t="s">
        <v>765</v>
      </c>
      <c r="C113" s="5">
        <f t="shared" si="3"/>
        <v>7.5204951056033753E-3</v>
      </c>
      <c r="D113" s="5" t="str">
        <f t="shared" ca="1" si="2"/>
        <v/>
      </c>
      <c r="E113" s="5"/>
      <c r="F113" s="5">
        <f>IF(Tabela3[[#This Row],[Retorno_Diário]]&gt;0,1,-1)</f>
        <v>1</v>
      </c>
      <c r="G113" s="5">
        <f>Tabela3[[#This Row],[Sinal_TSMOM]]*(0.4*Tabela3[[#This Row],[Volatilidade]])</f>
        <v>0</v>
      </c>
      <c r="H113" s="5">
        <f>Tabela3[[#This Row],[Position_Size]]*Tabela3[[#This Row],[Retorno_Diário]]</f>
        <v>0</v>
      </c>
    </row>
    <row r="114" spans="1:8" x14ac:dyDescent="0.2">
      <c r="A114" s="11" t="s">
        <v>770</v>
      </c>
      <c r="B114" s="4" t="s">
        <v>772</v>
      </c>
      <c r="C114" s="5">
        <f t="shared" si="3"/>
        <v>-6.8549201939649418E-4</v>
      </c>
      <c r="D114" s="5" t="str">
        <f t="shared" ca="1" si="2"/>
        <v/>
      </c>
      <c r="E114" s="5"/>
      <c r="F114" s="5">
        <f>IF(Tabela3[[#This Row],[Retorno_Diário]]&gt;0,1,-1)</f>
        <v>-1</v>
      </c>
      <c r="G114" s="5">
        <f>Tabela3[[#This Row],[Sinal_TSMOM]]*(0.4*Tabela3[[#This Row],[Volatilidade]])</f>
        <v>0</v>
      </c>
      <c r="H114" s="5">
        <f>Tabela3[[#This Row],[Position_Size]]*Tabela3[[#This Row],[Retorno_Diário]]</f>
        <v>0</v>
      </c>
    </row>
    <row r="115" spans="1:8" x14ac:dyDescent="0.2">
      <c r="A115" s="11" t="s">
        <v>777</v>
      </c>
      <c r="B115" s="4" t="s">
        <v>779</v>
      </c>
      <c r="C115" s="5">
        <f t="shared" si="3"/>
        <v>1.7187508291042208E-2</v>
      </c>
      <c r="D115" s="5" t="str">
        <f t="shared" ca="1" si="2"/>
        <v/>
      </c>
      <c r="E115" s="5"/>
      <c r="F115" s="5">
        <f>IF(Tabela3[[#This Row],[Retorno_Diário]]&gt;0,1,-1)</f>
        <v>1</v>
      </c>
      <c r="G115" s="5">
        <f>Tabela3[[#This Row],[Sinal_TSMOM]]*(0.4*Tabela3[[#This Row],[Volatilidade]])</f>
        <v>0</v>
      </c>
      <c r="H115" s="5">
        <f>Tabela3[[#This Row],[Position_Size]]*Tabela3[[#This Row],[Retorno_Diário]]</f>
        <v>0</v>
      </c>
    </row>
    <row r="116" spans="1:8" x14ac:dyDescent="0.2">
      <c r="A116" s="11" t="s">
        <v>784</v>
      </c>
      <c r="B116" s="4" t="s">
        <v>786</v>
      </c>
      <c r="C116" s="5">
        <f t="shared" si="3"/>
        <v>-6.1818933581240243E-3</v>
      </c>
      <c r="D116" s="5" t="str">
        <f t="shared" ca="1" si="2"/>
        <v/>
      </c>
      <c r="E116" s="5"/>
      <c r="F116" s="5">
        <f>IF(Tabela3[[#This Row],[Retorno_Diário]]&gt;0,1,-1)</f>
        <v>-1</v>
      </c>
      <c r="G116" s="5">
        <f>Tabela3[[#This Row],[Sinal_TSMOM]]*(0.4*Tabela3[[#This Row],[Volatilidade]])</f>
        <v>0</v>
      </c>
      <c r="H116" s="5">
        <f>Tabela3[[#This Row],[Position_Size]]*Tabela3[[#This Row],[Retorno_Diário]]</f>
        <v>0</v>
      </c>
    </row>
    <row r="117" spans="1:8" x14ac:dyDescent="0.2">
      <c r="A117" s="11" t="s">
        <v>791</v>
      </c>
      <c r="B117" s="4" t="s">
        <v>793</v>
      </c>
      <c r="C117" s="5">
        <f t="shared" si="3"/>
        <v>-6.4081624112433122E-4</v>
      </c>
      <c r="D117" s="5" t="str">
        <f t="shared" ca="1" si="2"/>
        <v/>
      </c>
      <c r="E117" s="5"/>
      <c r="F117" s="5">
        <f>IF(Tabela3[[#This Row],[Retorno_Diário]]&gt;0,1,-1)</f>
        <v>-1</v>
      </c>
      <c r="G117" s="5">
        <f>Tabela3[[#This Row],[Sinal_TSMOM]]*(0.4*Tabela3[[#This Row],[Volatilidade]])</f>
        <v>0</v>
      </c>
      <c r="H117" s="5">
        <f>Tabela3[[#This Row],[Position_Size]]*Tabela3[[#This Row],[Retorno_Diário]]</f>
        <v>0</v>
      </c>
    </row>
    <row r="118" spans="1:8" x14ac:dyDescent="0.2">
      <c r="A118" s="11" t="s">
        <v>798</v>
      </c>
      <c r="B118" s="4" t="s">
        <v>800</v>
      </c>
      <c r="C118" s="5">
        <f t="shared" si="3"/>
        <v>-1.8559755758075669E-2</v>
      </c>
      <c r="D118" s="5" t="str">
        <f t="shared" ca="1" si="2"/>
        <v/>
      </c>
      <c r="E118" s="5"/>
      <c r="F118" s="5">
        <f>IF(Tabela3[[#This Row],[Retorno_Diário]]&gt;0,1,-1)</f>
        <v>-1</v>
      </c>
      <c r="G118" s="5">
        <f>Tabela3[[#This Row],[Sinal_TSMOM]]*(0.4*Tabela3[[#This Row],[Volatilidade]])</f>
        <v>0</v>
      </c>
      <c r="H118" s="5">
        <f>Tabela3[[#This Row],[Position_Size]]*Tabela3[[#This Row],[Retorno_Diário]]</f>
        <v>0</v>
      </c>
    </row>
    <row r="119" spans="1:8" x14ac:dyDescent="0.2">
      <c r="A119" s="11" t="s">
        <v>805</v>
      </c>
      <c r="B119" s="4" t="s">
        <v>807</v>
      </c>
      <c r="C119" s="5">
        <f t="shared" si="3"/>
        <v>8.2254180064054161E-3</v>
      </c>
      <c r="D119" s="5" t="str">
        <f t="shared" ca="1" si="2"/>
        <v/>
      </c>
      <c r="E119" s="5"/>
      <c r="F119" s="5">
        <f>IF(Tabela3[[#This Row],[Retorno_Diário]]&gt;0,1,-1)</f>
        <v>1</v>
      </c>
      <c r="G119" s="5">
        <f>Tabela3[[#This Row],[Sinal_TSMOM]]*(0.4*Tabela3[[#This Row],[Volatilidade]])</f>
        <v>0</v>
      </c>
      <c r="H119" s="5">
        <f>Tabela3[[#This Row],[Position_Size]]*Tabela3[[#This Row],[Retorno_Diário]]</f>
        <v>0</v>
      </c>
    </row>
    <row r="120" spans="1:8" x14ac:dyDescent="0.2">
      <c r="A120" s="11" t="s">
        <v>812</v>
      </c>
      <c r="B120" s="4" t="s">
        <v>814</v>
      </c>
      <c r="C120" s="5">
        <f t="shared" si="3"/>
        <v>-1.9823889288125396E-2</v>
      </c>
      <c r="D120" s="5" t="str">
        <f t="shared" ca="1" si="2"/>
        <v/>
      </c>
      <c r="E120" s="5"/>
      <c r="F120" s="5">
        <f>IF(Tabela3[[#This Row],[Retorno_Diário]]&gt;0,1,-1)</f>
        <v>-1</v>
      </c>
      <c r="G120" s="5">
        <f>Tabela3[[#This Row],[Sinal_TSMOM]]*(0.4*Tabela3[[#This Row],[Volatilidade]])</f>
        <v>0</v>
      </c>
      <c r="H120" s="5">
        <f>Tabela3[[#This Row],[Position_Size]]*Tabela3[[#This Row],[Retorno_Diário]]</f>
        <v>0</v>
      </c>
    </row>
    <row r="121" spans="1:8" x14ac:dyDescent="0.2">
      <c r="A121" s="11" t="s">
        <v>819</v>
      </c>
      <c r="B121" s="4" t="s">
        <v>821</v>
      </c>
      <c r="C121" s="5">
        <f t="shared" si="3"/>
        <v>-2.3958660439056145E-2</v>
      </c>
      <c r="D121" s="5" t="str">
        <f t="shared" ca="1" si="2"/>
        <v/>
      </c>
      <c r="E121" s="5"/>
      <c r="F121" s="5">
        <f>IF(Tabela3[[#This Row],[Retorno_Diário]]&gt;0,1,-1)</f>
        <v>-1</v>
      </c>
      <c r="G121" s="5">
        <f>Tabela3[[#This Row],[Sinal_TSMOM]]*(0.4*Tabela3[[#This Row],[Volatilidade]])</f>
        <v>0</v>
      </c>
      <c r="H121" s="5">
        <f>Tabela3[[#This Row],[Position_Size]]*Tabela3[[#This Row],[Retorno_Diário]]</f>
        <v>0</v>
      </c>
    </row>
    <row r="122" spans="1:8" x14ac:dyDescent="0.2">
      <c r="A122" s="11" t="s">
        <v>825</v>
      </c>
      <c r="B122" s="4" t="s">
        <v>827</v>
      </c>
      <c r="C122" s="5">
        <f t="shared" si="3"/>
        <v>-4.7140812496337503E-2</v>
      </c>
      <c r="D122" s="5" t="str">
        <f t="shared" ca="1" si="2"/>
        <v/>
      </c>
      <c r="E122" s="5"/>
      <c r="F122" s="5">
        <f>IF(Tabela3[[#This Row],[Retorno_Diário]]&gt;0,1,-1)</f>
        <v>-1</v>
      </c>
      <c r="G122" s="5">
        <f>Tabela3[[#This Row],[Sinal_TSMOM]]*(0.4*Tabela3[[#This Row],[Volatilidade]])</f>
        <v>0</v>
      </c>
      <c r="H122" s="5">
        <f>Tabela3[[#This Row],[Position_Size]]*Tabela3[[#This Row],[Retorno_Diário]]</f>
        <v>0</v>
      </c>
    </row>
    <row r="123" spans="1:8" x14ac:dyDescent="0.2">
      <c r="A123" s="11" t="s">
        <v>832</v>
      </c>
      <c r="B123" s="4" t="s">
        <v>834</v>
      </c>
      <c r="C123" s="5">
        <f t="shared" si="3"/>
        <v>1.2002289264981814E-2</v>
      </c>
      <c r="D123" s="5" t="str">
        <f t="shared" ca="1" si="2"/>
        <v/>
      </c>
      <c r="E123" s="5"/>
      <c r="F123" s="5">
        <f>IF(Tabela3[[#This Row],[Retorno_Diário]]&gt;0,1,-1)</f>
        <v>1</v>
      </c>
      <c r="G123" s="5">
        <f>Tabela3[[#This Row],[Sinal_TSMOM]]*(0.4*Tabela3[[#This Row],[Volatilidade]])</f>
        <v>0</v>
      </c>
      <c r="H123" s="5">
        <f>Tabela3[[#This Row],[Position_Size]]*Tabela3[[#This Row],[Retorno_Diário]]</f>
        <v>0</v>
      </c>
    </row>
    <row r="124" spans="1:8" x14ac:dyDescent="0.2">
      <c r="A124" s="11" t="s">
        <v>839</v>
      </c>
      <c r="B124" s="4" t="s">
        <v>841</v>
      </c>
      <c r="C124" s="5">
        <f t="shared" si="3"/>
        <v>-2.5910116814169437E-2</v>
      </c>
      <c r="D124" s="5" t="str">
        <f t="shared" ca="1" si="2"/>
        <v/>
      </c>
      <c r="E124" s="5"/>
      <c r="F124" s="5">
        <f>IF(Tabela3[[#This Row],[Retorno_Diário]]&gt;0,1,-1)</f>
        <v>-1</v>
      </c>
      <c r="G124" s="5">
        <f>Tabela3[[#This Row],[Sinal_TSMOM]]*(0.4*Tabela3[[#This Row],[Volatilidade]])</f>
        <v>0</v>
      </c>
      <c r="H124" s="5">
        <f>Tabela3[[#This Row],[Position_Size]]*Tabela3[[#This Row],[Retorno_Diário]]</f>
        <v>0</v>
      </c>
    </row>
    <row r="125" spans="1:8" x14ac:dyDescent="0.2">
      <c r="A125" s="11" t="s">
        <v>845</v>
      </c>
      <c r="B125" s="4" t="s">
        <v>847</v>
      </c>
      <c r="C125" s="5">
        <f t="shared" si="3"/>
        <v>2.1805528931990725E-2</v>
      </c>
      <c r="D125" s="5" t="str">
        <f t="shared" ca="1" si="2"/>
        <v/>
      </c>
      <c r="E125" s="5"/>
      <c r="F125" s="5">
        <f>IF(Tabela3[[#This Row],[Retorno_Diário]]&gt;0,1,-1)</f>
        <v>1</v>
      </c>
      <c r="G125" s="5">
        <f>Tabela3[[#This Row],[Sinal_TSMOM]]*(0.4*Tabela3[[#This Row],[Volatilidade]])</f>
        <v>0</v>
      </c>
      <c r="H125" s="5">
        <f>Tabela3[[#This Row],[Position_Size]]*Tabela3[[#This Row],[Retorno_Diário]]</f>
        <v>0</v>
      </c>
    </row>
    <row r="126" spans="1:8" x14ac:dyDescent="0.2">
      <c r="A126" s="11" t="s">
        <v>851</v>
      </c>
      <c r="B126" s="4" t="s">
        <v>853</v>
      </c>
      <c r="C126" s="5">
        <f t="shared" si="3"/>
        <v>-1.6441082004983065E-2</v>
      </c>
      <c r="D126" s="5" t="str">
        <f t="shared" ca="1" si="2"/>
        <v/>
      </c>
      <c r="E126" s="5"/>
      <c r="F126" s="5">
        <f>IF(Tabela3[[#This Row],[Retorno_Diário]]&gt;0,1,-1)</f>
        <v>-1</v>
      </c>
      <c r="G126" s="5">
        <f>Tabela3[[#This Row],[Sinal_TSMOM]]*(0.4*Tabela3[[#This Row],[Volatilidade]])</f>
        <v>0</v>
      </c>
      <c r="H126" s="5">
        <f>Tabela3[[#This Row],[Position_Size]]*Tabela3[[#This Row],[Retorno_Diário]]</f>
        <v>0</v>
      </c>
    </row>
    <row r="127" spans="1:8" x14ac:dyDescent="0.2">
      <c r="A127" s="11" t="s">
        <v>857</v>
      </c>
      <c r="B127" s="4" t="s">
        <v>859</v>
      </c>
      <c r="C127" s="5">
        <f t="shared" si="3"/>
        <v>2.2541172844670054E-2</v>
      </c>
      <c r="D127" s="5" t="str">
        <f t="shared" ca="1" si="2"/>
        <v/>
      </c>
      <c r="E127" s="5"/>
      <c r="F127" s="5">
        <f>IF(Tabela3[[#This Row],[Retorno_Diário]]&gt;0,1,-1)</f>
        <v>1</v>
      </c>
      <c r="G127" s="5">
        <f>Tabela3[[#This Row],[Sinal_TSMOM]]*(0.4*Tabela3[[#This Row],[Volatilidade]])</f>
        <v>0</v>
      </c>
      <c r="H127" s="5">
        <f>Tabela3[[#This Row],[Position_Size]]*Tabela3[[#This Row],[Retorno_Diário]]</f>
        <v>0</v>
      </c>
    </row>
    <row r="128" spans="1:8" x14ac:dyDescent="0.2">
      <c r="A128" s="11" t="s">
        <v>864</v>
      </c>
      <c r="B128" s="4" t="s">
        <v>866</v>
      </c>
      <c r="C128" s="5">
        <f t="shared" si="3"/>
        <v>-2.2291978813502866E-2</v>
      </c>
      <c r="D128" s="5" t="str">
        <f t="shared" ca="1" si="2"/>
        <v/>
      </c>
      <c r="E128" s="5"/>
      <c r="F128" s="5">
        <f>IF(Tabela3[[#This Row],[Retorno_Diário]]&gt;0,1,-1)</f>
        <v>-1</v>
      </c>
      <c r="G128" s="5">
        <f>Tabela3[[#This Row],[Sinal_TSMOM]]*(0.4*Tabela3[[#This Row],[Volatilidade]])</f>
        <v>0</v>
      </c>
      <c r="H128" s="5">
        <f>Tabela3[[#This Row],[Position_Size]]*Tabela3[[#This Row],[Retorno_Diário]]</f>
        <v>0</v>
      </c>
    </row>
    <row r="129" spans="1:8" x14ac:dyDescent="0.2">
      <c r="A129" s="11" t="s">
        <v>871</v>
      </c>
      <c r="B129" s="4" t="s">
        <v>263</v>
      </c>
      <c r="C129" s="5">
        <f t="shared" si="3"/>
        <v>2.4869139567845311E-2</v>
      </c>
      <c r="D129" s="5" t="str">
        <f t="shared" ca="1" si="2"/>
        <v/>
      </c>
      <c r="E129" s="5"/>
      <c r="F129" s="5">
        <f>IF(Tabela3[[#This Row],[Retorno_Diário]]&gt;0,1,-1)</f>
        <v>1</v>
      </c>
      <c r="G129" s="5">
        <f>Tabela3[[#This Row],[Sinal_TSMOM]]*(0.4*Tabela3[[#This Row],[Volatilidade]])</f>
        <v>0</v>
      </c>
      <c r="H129" s="5">
        <f>Tabela3[[#This Row],[Position_Size]]*Tabela3[[#This Row],[Retorno_Diário]]</f>
        <v>0</v>
      </c>
    </row>
    <row r="130" spans="1:8" x14ac:dyDescent="0.2">
      <c r="A130" s="11" t="s">
        <v>877</v>
      </c>
      <c r="B130" s="4" t="s">
        <v>388</v>
      </c>
      <c r="C130" s="5">
        <f t="shared" si="3"/>
        <v>1.8951059649884305E-2</v>
      </c>
      <c r="D130" s="5" t="str">
        <f t="shared" ca="1" si="2"/>
        <v/>
      </c>
      <c r="E130" s="5"/>
      <c r="F130" s="5">
        <f>IF(Tabela3[[#This Row],[Retorno_Diário]]&gt;0,1,-1)</f>
        <v>1</v>
      </c>
      <c r="G130" s="5">
        <f>Tabela3[[#This Row],[Sinal_TSMOM]]*(0.4*Tabela3[[#This Row],[Volatilidade]])</f>
        <v>0</v>
      </c>
      <c r="H130" s="5">
        <f>Tabela3[[#This Row],[Position_Size]]*Tabela3[[#This Row],[Retorno_Diário]]</f>
        <v>0</v>
      </c>
    </row>
    <row r="131" spans="1:8" x14ac:dyDescent="0.2">
      <c r="A131" s="11" t="s">
        <v>883</v>
      </c>
      <c r="B131" s="4" t="s">
        <v>885</v>
      </c>
      <c r="C131" s="5">
        <f t="shared" si="3"/>
        <v>7.7628850913629144E-3</v>
      </c>
      <c r="D131" s="5" t="str">
        <f t="shared" ref="D131:D194" ca="1" si="4">IF(ROW()&gt;253,B132/OFFSET(B132,-252,0)-1,"")</f>
        <v/>
      </c>
      <c r="E131" s="5"/>
      <c r="F131" s="5">
        <f>IF(Tabela3[[#This Row],[Retorno_Diário]]&gt;0,1,-1)</f>
        <v>1</v>
      </c>
      <c r="G131" s="5">
        <f>Tabela3[[#This Row],[Sinal_TSMOM]]*(0.4*Tabela3[[#This Row],[Volatilidade]])</f>
        <v>0</v>
      </c>
      <c r="H131" s="5">
        <f>Tabela3[[#This Row],[Position_Size]]*Tabela3[[#This Row],[Retorno_Diário]]</f>
        <v>0</v>
      </c>
    </row>
    <row r="132" spans="1:8" x14ac:dyDescent="0.2">
      <c r="A132" s="11" t="s">
        <v>889</v>
      </c>
      <c r="B132" s="4" t="s">
        <v>891</v>
      </c>
      <c r="C132" s="5">
        <f t="shared" ref="C132:C195" si="5">B132/B131-1</f>
        <v>1.604820614333935E-2</v>
      </c>
      <c r="D132" s="5" t="str">
        <f t="shared" ca="1" si="4"/>
        <v/>
      </c>
      <c r="E132" s="5"/>
      <c r="F132" s="5">
        <f>IF(Tabela3[[#This Row],[Retorno_Diário]]&gt;0,1,-1)</f>
        <v>1</v>
      </c>
      <c r="G132" s="5">
        <f>Tabela3[[#This Row],[Sinal_TSMOM]]*(0.4*Tabela3[[#This Row],[Volatilidade]])</f>
        <v>0</v>
      </c>
      <c r="H132" s="5">
        <f>Tabela3[[#This Row],[Position_Size]]*Tabela3[[#This Row],[Retorno_Diário]]</f>
        <v>0</v>
      </c>
    </row>
    <row r="133" spans="1:8" x14ac:dyDescent="0.2">
      <c r="A133" s="11" t="s">
        <v>896</v>
      </c>
      <c r="B133" s="4" t="s">
        <v>898</v>
      </c>
      <c r="C133" s="5">
        <f t="shared" si="5"/>
        <v>-2.2586396300414036E-2</v>
      </c>
      <c r="D133" s="5" t="str">
        <f t="shared" ca="1" si="4"/>
        <v/>
      </c>
      <c r="E133" s="5"/>
      <c r="F133" s="5">
        <f>IF(Tabela3[[#This Row],[Retorno_Diário]]&gt;0,1,-1)</f>
        <v>-1</v>
      </c>
      <c r="G133" s="5">
        <f>Tabela3[[#This Row],[Sinal_TSMOM]]*(0.4*Tabela3[[#This Row],[Volatilidade]])</f>
        <v>0</v>
      </c>
      <c r="H133" s="5">
        <f>Tabela3[[#This Row],[Position_Size]]*Tabela3[[#This Row],[Retorno_Diário]]</f>
        <v>0</v>
      </c>
    </row>
    <row r="134" spans="1:8" x14ac:dyDescent="0.2">
      <c r="A134" s="11" t="s">
        <v>903</v>
      </c>
      <c r="B134" s="4" t="s">
        <v>905</v>
      </c>
      <c r="C134" s="5">
        <f t="shared" si="5"/>
        <v>1.494763980153313E-2</v>
      </c>
      <c r="D134" s="5" t="str">
        <f t="shared" ca="1" si="4"/>
        <v/>
      </c>
      <c r="E134" s="5"/>
      <c r="F134" s="5">
        <f>IF(Tabela3[[#This Row],[Retorno_Diário]]&gt;0,1,-1)</f>
        <v>1</v>
      </c>
      <c r="G134" s="5">
        <f>Tabela3[[#This Row],[Sinal_TSMOM]]*(0.4*Tabela3[[#This Row],[Volatilidade]])</f>
        <v>0</v>
      </c>
      <c r="H134" s="5">
        <f>Tabela3[[#This Row],[Position_Size]]*Tabela3[[#This Row],[Retorno_Diário]]</f>
        <v>0</v>
      </c>
    </row>
    <row r="135" spans="1:8" x14ac:dyDescent="0.2">
      <c r="A135" s="11" t="s">
        <v>910</v>
      </c>
      <c r="B135" s="4" t="s">
        <v>389</v>
      </c>
      <c r="C135" s="5">
        <f t="shared" si="5"/>
        <v>-7.6025948688267508E-3</v>
      </c>
      <c r="D135" s="5" t="str">
        <f t="shared" ca="1" si="4"/>
        <v/>
      </c>
      <c r="E135" s="5"/>
      <c r="F135" s="5">
        <f>IF(Tabela3[[#This Row],[Retorno_Diário]]&gt;0,1,-1)</f>
        <v>-1</v>
      </c>
      <c r="G135" s="5">
        <f>Tabela3[[#This Row],[Sinal_TSMOM]]*(0.4*Tabela3[[#This Row],[Volatilidade]])</f>
        <v>0</v>
      </c>
      <c r="H135" s="5">
        <f>Tabela3[[#This Row],[Position_Size]]*Tabela3[[#This Row],[Retorno_Diário]]</f>
        <v>0</v>
      </c>
    </row>
    <row r="136" spans="1:8" x14ac:dyDescent="0.2">
      <c r="A136" s="11" t="s">
        <v>915</v>
      </c>
      <c r="B136" s="4" t="s">
        <v>691</v>
      </c>
      <c r="C136" s="5">
        <f t="shared" si="5"/>
        <v>-4.4921993936759552E-3</v>
      </c>
      <c r="D136" s="5" t="str">
        <f t="shared" ca="1" si="4"/>
        <v/>
      </c>
      <c r="E136" s="5"/>
      <c r="F136" s="5">
        <f>IF(Tabela3[[#This Row],[Retorno_Diário]]&gt;0,1,-1)</f>
        <v>-1</v>
      </c>
      <c r="G136" s="5">
        <f>Tabela3[[#This Row],[Sinal_TSMOM]]*(0.4*Tabela3[[#This Row],[Volatilidade]])</f>
        <v>0</v>
      </c>
      <c r="H136" s="5">
        <f>Tabela3[[#This Row],[Position_Size]]*Tabela3[[#This Row],[Retorno_Diário]]</f>
        <v>0</v>
      </c>
    </row>
    <row r="137" spans="1:8" x14ac:dyDescent="0.2">
      <c r="A137" s="11" t="s">
        <v>920</v>
      </c>
      <c r="B137" s="4" t="s">
        <v>922</v>
      </c>
      <c r="C137" s="5">
        <f t="shared" si="5"/>
        <v>2.2119250327446327E-2</v>
      </c>
      <c r="D137" s="5" t="str">
        <f t="shared" ca="1" si="4"/>
        <v/>
      </c>
      <c r="E137" s="5"/>
      <c r="F137" s="5">
        <f>IF(Tabela3[[#This Row],[Retorno_Diário]]&gt;0,1,-1)</f>
        <v>1</v>
      </c>
      <c r="G137" s="5">
        <f>Tabela3[[#This Row],[Sinal_TSMOM]]*(0.4*Tabela3[[#This Row],[Volatilidade]])</f>
        <v>0</v>
      </c>
      <c r="H137" s="5">
        <f>Tabela3[[#This Row],[Position_Size]]*Tabela3[[#This Row],[Retorno_Diário]]</f>
        <v>0</v>
      </c>
    </row>
    <row r="138" spans="1:8" x14ac:dyDescent="0.2">
      <c r="A138" s="11" t="s">
        <v>927</v>
      </c>
      <c r="B138" s="4" t="s">
        <v>712</v>
      </c>
      <c r="C138" s="5">
        <f t="shared" si="5"/>
        <v>-7.8441960257321641E-3</v>
      </c>
      <c r="D138" s="5" t="str">
        <f t="shared" ca="1" si="4"/>
        <v/>
      </c>
      <c r="E138" s="5"/>
      <c r="F138" s="5">
        <f>IF(Tabela3[[#This Row],[Retorno_Diário]]&gt;0,1,-1)</f>
        <v>-1</v>
      </c>
      <c r="G138" s="5">
        <f>Tabela3[[#This Row],[Sinal_TSMOM]]*(0.4*Tabela3[[#This Row],[Volatilidade]])</f>
        <v>0</v>
      </c>
      <c r="H138" s="5">
        <f>Tabela3[[#This Row],[Position_Size]]*Tabela3[[#This Row],[Retorno_Diário]]</f>
        <v>0</v>
      </c>
    </row>
    <row r="139" spans="1:8" x14ac:dyDescent="0.2">
      <c r="A139" s="11" t="s">
        <v>933</v>
      </c>
      <c r="B139" s="4" t="s">
        <v>935</v>
      </c>
      <c r="C139" s="5">
        <f t="shared" si="5"/>
        <v>1.3110464281387291E-3</v>
      </c>
      <c r="D139" s="5" t="str">
        <f t="shared" ca="1" si="4"/>
        <v/>
      </c>
      <c r="E139" s="5"/>
      <c r="F139" s="5">
        <f>IF(Tabela3[[#This Row],[Retorno_Diário]]&gt;0,1,-1)</f>
        <v>1</v>
      </c>
      <c r="G139" s="5">
        <f>Tabela3[[#This Row],[Sinal_TSMOM]]*(0.4*Tabela3[[#This Row],[Volatilidade]])</f>
        <v>0</v>
      </c>
      <c r="H139" s="5">
        <f>Tabela3[[#This Row],[Position_Size]]*Tabela3[[#This Row],[Retorno_Diário]]</f>
        <v>0</v>
      </c>
    </row>
    <row r="140" spans="1:8" x14ac:dyDescent="0.2">
      <c r="A140" s="11" t="s">
        <v>938</v>
      </c>
      <c r="B140" s="4" t="s">
        <v>940</v>
      </c>
      <c r="C140" s="5">
        <f t="shared" si="5"/>
        <v>-4.5232082327105738E-3</v>
      </c>
      <c r="D140" s="5" t="str">
        <f t="shared" ca="1" si="4"/>
        <v/>
      </c>
      <c r="E140" s="5"/>
      <c r="F140" s="5">
        <f>IF(Tabela3[[#This Row],[Retorno_Diário]]&gt;0,1,-1)</f>
        <v>-1</v>
      </c>
      <c r="G140" s="5">
        <f>Tabela3[[#This Row],[Sinal_TSMOM]]*(0.4*Tabela3[[#This Row],[Volatilidade]])</f>
        <v>0</v>
      </c>
      <c r="H140" s="5">
        <f>Tabela3[[#This Row],[Position_Size]]*Tabela3[[#This Row],[Retorno_Diário]]</f>
        <v>0</v>
      </c>
    </row>
    <row r="141" spans="1:8" x14ac:dyDescent="0.2">
      <c r="A141" s="11" t="s">
        <v>945</v>
      </c>
      <c r="B141" s="4" t="s">
        <v>947</v>
      </c>
      <c r="C141" s="5">
        <f t="shared" si="5"/>
        <v>-5.8990279812876079E-3</v>
      </c>
      <c r="D141" s="5" t="str">
        <f t="shared" ca="1" si="4"/>
        <v/>
      </c>
      <c r="E141" s="5"/>
      <c r="F141" s="5">
        <f>IF(Tabela3[[#This Row],[Retorno_Diário]]&gt;0,1,-1)</f>
        <v>-1</v>
      </c>
      <c r="G141" s="5">
        <f>Tabela3[[#This Row],[Sinal_TSMOM]]*(0.4*Tabela3[[#This Row],[Volatilidade]])</f>
        <v>0</v>
      </c>
      <c r="H141" s="5">
        <f>Tabela3[[#This Row],[Position_Size]]*Tabela3[[#This Row],[Retorno_Diário]]</f>
        <v>0</v>
      </c>
    </row>
    <row r="142" spans="1:8" x14ac:dyDescent="0.2">
      <c r="A142" s="11" t="s">
        <v>952</v>
      </c>
      <c r="B142" s="4" t="s">
        <v>954</v>
      </c>
      <c r="C142" s="5">
        <f t="shared" si="5"/>
        <v>-2.8066113975808715E-3</v>
      </c>
      <c r="D142" s="5" t="str">
        <f t="shared" ca="1" si="4"/>
        <v/>
      </c>
      <c r="E142" s="5"/>
      <c r="F142" s="5">
        <f>IF(Tabela3[[#This Row],[Retorno_Diário]]&gt;0,1,-1)</f>
        <v>-1</v>
      </c>
      <c r="G142" s="5">
        <f>Tabela3[[#This Row],[Sinal_TSMOM]]*(0.4*Tabela3[[#This Row],[Volatilidade]])</f>
        <v>0</v>
      </c>
      <c r="H142" s="5">
        <f>Tabela3[[#This Row],[Position_Size]]*Tabela3[[#This Row],[Retorno_Diário]]</f>
        <v>0</v>
      </c>
    </row>
    <row r="143" spans="1:8" x14ac:dyDescent="0.2">
      <c r="A143" s="11" t="s">
        <v>959</v>
      </c>
      <c r="B143" s="4" t="s">
        <v>247</v>
      </c>
      <c r="C143" s="5">
        <f t="shared" si="5"/>
        <v>1.27055599315542E-2</v>
      </c>
      <c r="D143" s="5" t="str">
        <f t="shared" ca="1" si="4"/>
        <v/>
      </c>
      <c r="E143" s="5"/>
      <c r="F143" s="5">
        <f>IF(Tabela3[[#This Row],[Retorno_Diário]]&gt;0,1,-1)</f>
        <v>1</v>
      </c>
      <c r="G143" s="5">
        <f>Tabela3[[#This Row],[Sinal_TSMOM]]*(0.4*Tabela3[[#This Row],[Volatilidade]])</f>
        <v>0</v>
      </c>
      <c r="H143" s="5">
        <f>Tabela3[[#This Row],[Position_Size]]*Tabela3[[#This Row],[Retorno_Diário]]</f>
        <v>0</v>
      </c>
    </row>
    <row r="144" spans="1:8" x14ac:dyDescent="0.2">
      <c r="A144" s="11" t="s">
        <v>965</v>
      </c>
      <c r="B144" s="4" t="s">
        <v>967</v>
      </c>
      <c r="C144" s="5">
        <f t="shared" si="5"/>
        <v>1.1791756637250073E-2</v>
      </c>
      <c r="D144" s="5" t="str">
        <f t="shared" ca="1" si="4"/>
        <v/>
      </c>
      <c r="E144" s="5"/>
      <c r="F144" s="5">
        <f>IF(Tabela3[[#This Row],[Retorno_Diário]]&gt;0,1,-1)</f>
        <v>1</v>
      </c>
      <c r="G144" s="5">
        <f>Tabela3[[#This Row],[Sinal_TSMOM]]*(0.4*Tabela3[[#This Row],[Volatilidade]])</f>
        <v>0</v>
      </c>
      <c r="H144" s="5">
        <f>Tabela3[[#This Row],[Position_Size]]*Tabela3[[#This Row],[Retorno_Diário]]</f>
        <v>0</v>
      </c>
    </row>
    <row r="145" spans="1:8" x14ac:dyDescent="0.2">
      <c r="A145" s="11" t="s">
        <v>972</v>
      </c>
      <c r="B145" s="4" t="s">
        <v>974</v>
      </c>
      <c r="C145" s="5">
        <f t="shared" si="5"/>
        <v>-1.1065750913762717E-2</v>
      </c>
      <c r="D145" s="5" t="str">
        <f t="shared" ca="1" si="4"/>
        <v/>
      </c>
      <c r="E145" s="5"/>
      <c r="F145" s="5">
        <f>IF(Tabela3[[#This Row],[Retorno_Diário]]&gt;0,1,-1)</f>
        <v>-1</v>
      </c>
      <c r="G145" s="5">
        <f>Tabela3[[#This Row],[Sinal_TSMOM]]*(0.4*Tabela3[[#This Row],[Volatilidade]])</f>
        <v>0</v>
      </c>
      <c r="H145" s="5">
        <f>Tabela3[[#This Row],[Position_Size]]*Tabela3[[#This Row],[Retorno_Diário]]</f>
        <v>0</v>
      </c>
    </row>
    <row r="146" spans="1:8" x14ac:dyDescent="0.2">
      <c r="A146" s="11" t="s">
        <v>979</v>
      </c>
      <c r="B146" s="4" t="s">
        <v>981</v>
      </c>
      <c r="C146" s="5">
        <f t="shared" si="5"/>
        <v>-3.1307021982568073E-2</v>
      </c>
      <c r="D146" s="5" t="str">
        <f t="shared" ca="1" si="4"/>
        <v/>
      </c>
      <c r="E146" s="5"/>
      <c r="F146" s="5">
        <f>IF(Tabela3[[#This Row],[Retorno_Diário]]&gt;0,1,-1)</f>
        <v>-1</v>
      </c>
      <c r="G146" s="5">
        <f>Tabela3[[#This Row],[Sinal_TSMOM]]*(0.4*Tabela3[[#This Row],[Volatilidade]])</f>
        <v>0</v>
      </c>
      <c r="H146" s="5">
        <f>Tabela3[[#This Row],[Position_Size]]*Tabela3[[#This Row],[Retorno_Diário]]</f>
        <v>0</v>
      </c>
    </row>
    <row r="147" spans="1:8" x14ac:dyDescent="0.2">
      <c r="A147" s="11" t="s">
        <v>985</v>
      </c>
      <c r="B147" s="4" t="s">
        <v>987</v>
      </c>
      <c r="C147" s="5">
        <f t="shared" si="5"/>
        <v>2.9902082457793355E-3</v>
      </c>
      <c r="D147" s="5" t="str">
        <f t="shared" ca="1" si="4"/>
        <v/>
      </c>
      <c r="E147" s="5"/>
      <c r="F147" s="5">
        <f>IF(Tabela3[[#This Row],[Retorno_Diário]]&gt;0,1,-1)</f>
        <v>1</v>
      </c>
      <c r="G147" s="5">
        <f>Tabela3[[#This Row],[Sinal_TSMOM]]*(0.4*Tabela3[[#This Row],[Volatilidade]])</f>
        <v>0</v>
      </c>
      <c r="H147" s="5">
        <f>Tabela3[[#This Row],[Position_Size]]*Tabela3[[#This Row],[Retorno_Diário]]</f>
        <v>0</v>
      </c>
    </row>
    <row r="148" spans="1:8" x14ac:dyDescent="0.2">
      <c r="A148" s="11" t="s">
        <v>991</v>
      </c>
      <c r="B148" s="4" t="s">
        <v>993</v>
      </c>
      <c r="C148" s="5">
        <f t="shared" si="5"/>
        <v>6.5751571385446184E-3</v>
      </c>
      <c r="D148" s="5" t="str">
        <f t="shared" ca="1" si="4"/>
        <v/>
      </c>
      <c r="E148" s="5"/>
      <c r="F148" s="5">
        <f>IF(Tabela3[[#This Row],[Retorno_Diário]]&gt;0,1,-1)</f>
        <v>1</v>
      </c>
      <c r="G148" s="5">
        <f>Tabela3[[#This Row],[Sinal_TSMOM]]*(0.4*Tabela3[[#This Row],[Volatilidade]])</f>
        <v>0</v>
      </c>
      <c r="H148" s="5">
        <f>Tabela3[[#This Row],[Position_Size]]*Tabela3[[#This Row],[Retorno_Diário]]</f>
        <v>0</v>
      </c>
    </row>
    <row r="149" spans="1:8" x14ac:dyDescent="0.2">
      <c r="A149" s="11" t="s">
        <v>998</v>
      </c>
      <c r="B149" s="4" t="s">
        <v>1000</v>
      </c>
      <c r="C149" s="5">
        <f t="shared" si="5"/>
        <v>1.6837786599512183E-2</v>
      </c>
      <c r="D149" s="5" t="str">
        <f t="shared" ca="1" si="4"/>
        <v/>
      </c>
      <c r="E149" s="5"/>
      <c r="F149" s="5">
        <f>IF(Tabela3[[#This Row],[Retorno_Diário]]&gt;0,1,-1)</f>
        <v>1</v>
      </c>
      <c r="G149" s="5">
        <f>Tabela3[[#This Row],[Sinal_TSMOM]]*(0.4*Tabela3[[#This Row],[Volatilidade]])</f>
        <v>0</v>
      </c>
      <c r="H149" s="5">
        <f>Tabela3[[#This Row],[Position_Size]]*Tabela3[[#This Row],[Retorno_Diário]]</f>
        <v>0</v>
      </c>
    </row>
    <row r="150" spans="1:8" x14ac:dyDescent="0.2">
      <c r="A150" s="11" t="s">
        <v>1005</v>
      </c>
      <c r="B150" s="4" t="s">
        <v>1007</v>
      </c>
      <c r="C150" s="5">
        <f t="shared" si="5"/>
        <v>5.9053071659285195E-3</v>
      </c>
      <c r="D150" s="5" t="str">
        <f t="shared" ca="1" si="4"/>
        <v/>
      </c>
      <c r="E150" s="5"/>
      <c r="F150" s="5">
        <f>IF(Tabela3[[#This Row],[Retorno_Diário]]&gt;0,1,-1)</f>
        <v>1</v>
      </c>
      <c r="G150" s="5">
        <f>Tabela3[[#This Row],[Sinal_TSMOM]]*(0.4*Tabela3[[#This Row],[Volatilidade]])</f>
        <v>0</v>
      </c>
      <c r="H150" s="5">
        <f>Tabela3[[#This Row],[Position_Size]]*Tabela3[[#This Row],[Retorno_Diário]]</f>
        <v>0</v>
      </c>
    </row>
    <row r="151" spans="1:8" x14ac:dyDescent="0.2">
      <c r="A151" s="11" t="s">
        <v>1012</v>
      </c>
      <c r="B151" s="4" t="s">
        <v>1014</v>
      </c>
      <c r="C151" s="5">
        <f t="shared" si="5"/>
        <v>7.6557239375671937E-3</v>
      </c>
      <c r="D151" s="5" t="str">
        <f t="shared" ca="1" si="4"/>
        <v/>
      </c>
      <c r="E151" s="5"/>
      <c r="F151" s="5">
        <f>IF(Tabela3[[#This Row],[Retorno_Diário]]&gt;0,1,-1)</f>
        <v>1</v>
      </c>
      <c r="G151" s="5">
        <f>Tabela3[[#This Row],[Sinal_TSMOM]]*(0.4*Tabela3[[#This Row],[Volatilidade]])</f>
        <v>0</v>
      </c>
      <c r="H151" s="5">
        <f>Tabela3[[#This Row],[Position_Size]]*Tabela3[[#This Row],[Retorno_Diário]]</f>
        <v>0</v>
      </c>
    </row>
    <row r="152" spans="1:8" x14ac:dyDescent="0.2">
      <c r="A152" s="11" t="s">
        <v>1019</v>
      </c>
      <c r="B152" s="4" t="s">
        <v>1021</v>
      </c>
      <c r="C152" s="5">
        <f t="shared" si="5"/>
        <v>1.1494698196972131E-2</v>
      </c>
      <c r="D152" s="5" t="str">
        <f t="shared" ca="1" si="4"/>
        <v/>
      </c>
      <c r="E152" s="5"/>
      <c r="F152" s="5">
        <f>IF(Tabela3[[#This Row],[Retorno_Diário]]&gt;0,1,-1)</f>
        <v>1</v>
      </c>
      <c r="G152" s="5">
        <f>Tabela3[[#This Row],[Sinal_TSMOM]]*(0.4*Tabela3[[#This Row],[Volatilidade]])</f>
        <v>0</v>
      </c>
      <c r="H152" s="5">
        <f>Tabela3[[#This Row],[Position_Size]]*Tabela3[[#This Row],[Retorno_Diário]]</f>
        <v>0</v>
      </c>
    </row>
    <row r="153" spans="1:8" x14ac:dyDescent="0.2">
      <c r="A153" s="11" t="s">
        <v>1025</v>
      </c>
      <c r="B153" s="4" t="s">
        <v>1027</v>
      </c>
      <c r="C153" s="5">
        <f t="shared" si="5"/>
        <v>5.7209325112561604E-3</v>
      </c>
      <c r="D153" s="5" t="str">
        <f t="shared" ca="1" si="4"/>
        <v/>
      </c>
      <c r="E153" s="5"/>
      <c r="F153" s="5">
        <f>IF(Tabela3[[#This Row],[Retorno_Diário]]&gt;0,1,-1)</f>
        <v>1</v>
      </c>
      <c r="G153" s="5">
        <f>Tabela3[[#This Row],[Sinal_TSMOM]]*(0.4*Tabela3[[#This Row],[Volatilidade]])</f>
        <v>0</v>
      </c>
      <c r="H153" s="5">
        <f>Tabela3[[#This Row],[Position_Size]]*Tabela3[[#This Row],[Retorno_Diário]]</f>
        <v>0</v>
      </c>
    </row>
    <row r="154" spans="1:8" x14ac:dyDescent="0.2">
      <c r="A154" s="11" t="s">
        <v>1032</v>
      </c>
      <c r="B154" s="4" t="s">
        <v>1034</v>
      </c>
      <c r="C154" s="5">
        <f t="shared" si="5"/>
        <v>-7.5845194908712443E-3</v>
      </c>
      <c r="D154" s="5" t="str">
        <f t="shared" ca="1" si="4"/>
        <v/>
      </c>
      <c r="E154" s="5"/>
      <c r="F154" s="5">
        <f>IF(Tabela3[[#This Row],[Retorno_Diário]]&gt;0,1,-1)</f>
        <v>-1</v>
      </c>
      <c r="G154" s="5">
        <f>Tabela3[[#This Row],[Sinal_TSMOM]]*(0.4*Tabela3[[#This Row],[Volatilidade]])</f>
        <v>0</v>
      </c>
      <c r="H154" s="5">
        <f>Tabela3[[#This Row],[Position_Size]]*Tabela3[[#This Row],[Retorno_Diário]]</f>
        <v>0</v>
      </c>
    </row>
    <row r="155" spans="1:8" x14ac:dyDescent="0.2">
      <c r="A155" s="11" t="s">
        <v>1038</v>
      </c>
      <c r="B155" s="4" t="s">
        <v>1040</v>
      </c>
      <c r="C155" s="5">
        <f t="shared" si="5"/>
        <v>-6.5117296065930752E-3</v>
      </c>
      <c r="D155" s="5" t="str">
        <f t="shared" ca="1" si="4"/>
        <v/>
      </c>
      <c r="E155" s="5"/>
      <c r="F155" s="5">
        <f>IF(Tabela3[[#This Row],[Retorno_Diário]]&gt;0,1,-1)</f>
        <v>-1</v>
      </c>
      <c r="G155" s="5">
        <f>Tabela3[[#This Row],[Sinal_TSMOM]]*(0.4*Tabela3[[#This Row],[Volatilidade]])</f>
        <v>0</v>
      </c>
      <c r="H155" s="5">
        <f>Tabela3[[#This Row],[Position_Size]]*Tabela3[[#This Row],[Retorno_Diário]]</f>
        <v>0</v>
      </c>
    </row>
    <row r="156" spans="1:8" x14ac:dyDescent="0.2">
      <c r="A156" s="11" t="s">
        <v>1045</v>
      </c>
      <c r="B156" s="4" t="s">
        <v>1047</v>
      </c>
      <c r="C156" s="5">
        <f t="shared" si="5"/>
        <v>5.2199623096707004E-3</v>
      </c>
      <c r="D156" s="5" t="str">
        <f t="shared" ca="1" si="4"/>
        <v/>
      </c>
      <c r="E156" s="5"/>
      <c r="F156" s="5">
        <f>IF(Tabela3[[#This Row],[Retorno_Diário]]&gt;0,1,-1)</f>
        <v>1</v>
      </c>
      <c r="G156" s="5">
        <f>Tabela3[[#This Row],[Sinal_TSMOM]]*(0.4*Tabela3[[#This Row],[Volatilidade]])</f>
        <v>0</v>
      </c>
      <c r="H156" s="5">
        <f>Tabela3[[#This Row],[Position_Size]]*Tabela3[[#This Row],[Retorno_Diário]]</f>
        <v>0</v>
      </c>
    </row>
    <row r="157" spans="1:8" x14ac:dyDescent="0.2">
      <c r="A157" s="11" t="s">
        <v>1052</v>
      </c>
      <c r="B157" s="4" t="s">
        <v>740</v>
      </c>
      <c r="C157" s="5">
        <f t="shared" si="5"/>
        <v>2.073247491224417E-2</v>
      </c>
      <c r="D157" s="5" t="str">
        <f t="shared" ca="1" si="4"/>
        <v/>
      </c>
      <c r="E157" s="5"/>
      <c r="F157" s="5">
        <f>IF(Tabela3[[#This Row],[Retorno_Diário]]&gt;0,1,-1)</f>
        <v>1</v>
      </c>
      <c r="G157" s="5">
        <f>Tabela3[[#This Row],[Sinal_TSMOM]]*(0.4*Tabela3[[#This Row],[Volatilidade]])</f>
        <v>0</v>
      </c>
      <c r="H157" s="5">
        <f>Tabela3[[#This Row],[Position_Size]]*Tabela3[[#This Row],[Retorno_Diário]]</f>
        <v>0</v>
      </c>
    </row>
    <row r="158" spans="1:8" x14ac:dyDescent="0.2">
      <c r="A158" s="11" t="s">
        <v>1058</v>
      </c>
      <c r="B158" s="4" t="s">
        <v>1060</v>
      </c>
      <c r="C158" s="5">
        <f t="shared" si="5"/>
        <v>-8.9889724269449633E-3</v>
      </c>
      <c r="D158" s="5" t="str">
        <f t="shared" ca="1" si="4"/>
        <v/>
      </c>
      <c r="E158" s="5"/>
      <c r="F158" s="5">
        <f>IF(Tabela3[[#This Row],[Retorno_Diário]]&gt;0,1,-1)</f>
        <v>-1</v>
      </c>
      <c r="G158" s="5">
        <f>Tabela3[[#This Row],[Sinal_TSMOM]]*(0.4*Tabela3[[#This Row],[Volatilidade]])</f>
        <v>0</v>
      </c>
      <c r="H158" s="5">
        <f>Tabela3[[#This Row],[Position_Size]]*Tabela3[[#This Row],[Retorno_Diário]]</f>
        <v>0</v>
      </c>
    </row>
    <row r="159" spans="1:8" x14ac:dyDescent="0.2">
      <c r="A159" s="11" t="s">
        <v>1064</v>
      </c>
      <c r="B159" s="4" t="s">
        <v>1066</v>
      </c>
      <c r="C159" s="5">
        <f t="shared" si="5"/>
        <v>-6.330147400615771E-3</v>
      </c>
      <c r="D159" s="5" t="str">
        <f t="shared" ca="1" si="4"/>
        <v/>
      </c>
      <c r="E159" s="5"/>
      <c r="F159" s="5">
        <f>IF(Tabela3[[#This Row],[Retorno_Diário]]&gt;0,1,-1)</f>
        <v>-1</v>
      </c>
      <c r="G159" s="5">
        <f>Tabela3[[#This Row],[Sinal_TSMOM]]*(0.4*Tabela3[[#This Row],[Volatilidade]])</f>
        <v>0</v>
      </c>
      <c r="H159" s="5">
        <f>Tabela3[[#This Row],[Position_Size]]*Tabela3[[#This Row],[Retorno_Diário]]</f>
        <v>0</v>
      </c>
    </row>
    <row r="160" spans="1:8" x14ac:dyDescent="0.2">
      <c r="A160" s="11" t="s">
        <v>1070</v>
      </c>
      <c r="B160" s="4" t="s">
        <v>1072</v>
      </c>
      <c r="C160" s="5">
        <f t="shared" si="5"/>
        <v>-4.9021098340628066E-2</v>
      </c>
      <c r="D160" s="5" t="str">
        <f t="shared" ca="1" si="4"/>
        <v/>
      </c>
      <c r="E160" s="5"/>
      <c r="F160" s="5">
        <f>IF(Tabela3[[#This Row],[Retorno_Diário]]&gt;0,1,-1)</f>
        <v>-1</v>
      </c>
      <c r="G160" s="5">
        <f>Tabela3[[#This Row],[Sinal_TSMOM]]*(0.4*Tabela3[[#This Row],[Volatilidade]])</f>
        <v>0</v>
      </c>
      <c r="H160" s="5">
        <f>Tabela3[[#This Row],[Position_Size]]*Tabela3[[#This Row],[Retorno_Diário]]</f>
        <v>0</v>
      </c>
    </row>
    <row r="161" spans="1:8" x14ac:dyDescent="0.2">
      <c r="A161" s="11" t="s">
        <v>1077</v>
      </c>
      <c r="B161" s="4" t="s">
        <v>1079</v>
      </c>
      <c r="C161" s="5">
        <f t="shared" si="5"/>
        <v>1.2335595190227755E-2</v>
      </c>
      <c r="D161" s="5" t="str">
        <f t="shared" ca="1" si="4"/>
        <v/>
      </c>
      <c r="E161" s="5"/>
      <c r="F161" s="5">
        <f>IF(Tabela3[[#This Row],[Retorno_Diário]]&gt;0,1,-1)</f>
        <v>1</v>
      </c>
      <c r="G161" s="5">
        <f>Tabela3[[#This Row],[Sinal_TSMOM]]*(0.4*Tabela3[[#This Row],[Volatilidade]])</f>
        <v>0</v>
      </c>
      <c r="H161" s="5">
        <f>Tabela3[[#This Row],[Position_Size]]*Tabela3[[#This Row],[Retorno_Diário]]</f>
        <v>0</v>
      </c>
    </row>
    <row r="162" spans="1:8" x14ac:dyDescent="0.2">
      <c r="A162" s="11" t="s">
        <v>1084</v>
      </c>
      <c r="B162" s="4" t="s">
        <v>1086</v>
      </c>
      <c r="C162" s="5">
        <f t="shared" si="5"/>
        <v>2.2111052571065049E-2</v>
      </c>
      <c r="D162" s="5" t="str">
        <f t="shared" ca="1" si="4"/>
        <v/>
      </c>
      <c r="E162" s="5"/>
      <c r="F162" s="5">
        <f>IF(Tabela3[[#This Row],[Retorno_Diário]]&gt;0,1,-1)</f>
        <v>1</v>
      </c>
      <c r="G162" s="5">
        <f>Tabela3[[#This Row],[Sinal_TSMOM]]*(0.4*Tabela3[[#This Row],[Volatilidade]])</f>
        <v>0</v>
      </c>
      <c r="H162" s="5">
        <f>Tabela3[[#This Row],[Position_Size]]*Tabela3[[#This Row],[Retorno_Diário]]</f>
        <v>0</v>
      </c>
    </row>
    <row r="163" spans="1:8" x14ac:dyDescent="0.2">
      <c r="A163" s="11" t="s">
        <v>1089</v>
      </c>
      <c r="B163" s="4" t="s">
        <v>1091</v>
      </c>
      <c r="C163" s="5">
        <f t="shared" si="5"/>
        <v>3.7501927527380907E-2</v>
      </c>
      <c r="D163" s="5" t="str">
        <f t="shared" ca="1" si="4"/>
        <v/>
      </c>
      <c r="E163" s="5"/>
      <c r="F163" s="5">
        <f>IF(Tabela3[[#This Row],[Retorno_Diário]]&gt;0,1,-1)</f>
        <v>1</v>
      </c>
      <c r="G163" s="5">
        <f>Tabela3[[#This Row],[Sinal_TSMOM]]*(0.4*Tabela3[[#This Row],[Volatilidade]])</f>
        <v>0</v>
      </c>
      <c r="H163" s="5">
        <f>Tabela3[[#This Row],[Position_Size]]*Tabela3[[#This Row],[Retorno_Diário]]</f>
        <v>0</v>
      </c>
    </row>
    <row r="164" spans="1:8" x14ac:dyDescent="0.2">
      <c r="A164" s="11" t="s">
        <v>1095</v>
      </c>
      <c r="B164" s="4" t="s">
        <v>1097</v>
      </c>
      <c r="C164" s="5">
        <f t="shared" si="5"/>
        <v>1.5295656097241261E-2</v>
      </c>
      <c r="D164" s="5" t="str">
        <f t="shared" ca="1" si="4"/>
        <v/>
      </c>
      <c r="E164" s="5"/>
      <c r="F164" s="5">
        <f>IF(Tabela3[[#This Row],[Retorno_Diário]]&gt;0,1,-1)</f>
        <v>1</v>
      </c>
      <c r="G164" s="5">
        <f>Tabela3[[#This Row],[Sinal_TSMOM]]*(0.4*Tabela3[[#This Row],[Volatilidade]])</f>
        <v>0</v>
      </c>
      <c r="H164" s="5">
        <f>Tabela3[[#This Row],[Position_Size]]*Tabela3[[#This Row],[Retorno_Diário]]</f>
        <v>0</v>
      </c>
    </row>
    <row r="165" spans="1:8" x14ac:dyDescent="0.2">
      <c r="A165" s="11" t="s">
        <v>1102</v>
      </c>
      <c r="B165" s="4" t="s">
        <v>1104</v>
      </c>
      <c r="C165" s="5">
        <f t="shared" si="5"/>
        <v>2.0161898759701424E-2</v>
      </c>
      <c r="D165" s="5" t="str">
        <f t="shared" ca="1" si="4"/>
        <v/>
      </c>
      <c r="E165" s="5"/>
      <c r="F165" s="5">
        <f>IF(Tabela3[[#This Row],[Retorno_Diário]]&gt;0,1,-1)</f>
        <v>1</v>
      </c>
      <c r="G165" s="5">
        <f>Tabela3[[#This Row],[Sinal_TSMOM]]*(0.4*Tabela3[[#This Row],[Volatilidade]])</f>
        <v>0</v>
      </c>
      <c r="H165" s="5">
        <f>Tabela3[[#This Row],[Position_Size]]*Tabela3[[#This Row],[Retorno_Diário]]</f>
        <v>0</v>
      </c>
    </row>
    <row r="166" spans="1:8" x14ac:dyDescent="0.2">
      <c r="A166" s="11" t="s">
        <v>1109</v>
      </c>
      <c r="B166" s="4" t="s">
        <v>1111</v>
      </c>
      <c r="C166" s="5">
        <f t="shared" si="5"/>
        <v>1.3518478762302388E-2</v>
      </c>
      <c r="D166" s="5" t="str">
        <f t="shared" ca="1" si="4"/>
        <v/>
      </c>
      <c r="E166" s="5"/>
      <c r="F166" s="5">
        <f>IF(Tabela3[[#This Row],[Retorno_Diário]]&gt;0,1,-1)</f>
        <v>1</v>
      </c>
      <c r="G166" s="5">
        <f>Tabela3[[#This Row],[Sinal_TSMOM]]*(0.4*Tabela3[[#This Row],[Volatilidade]])</f>
        <v>0</v>
      </c>
      <c r="H166" s="5">
        <f>Tabela3[[#This Row],[Position_Size]]*Tabela3[[#This Row],[Retorno_Diário]]</f>
        <v>0</v>
      </c>
    </row>
    <row r="167" spans="1:8" x14ac:dyDescent="0.2">
      <c r="A167" s="11" t="s">
        <v>1116</v>
      </c>
      <c r="B167" s="4" t="s">
        <v>1118</v>
      </c>
      <c r="C167" s="5">
        <f t="shared" si="5"/>
        <v>-5.5092579342324033E-3</v>
      </c>
      <c r="D167" s="5" t="str">
        <f t="shared" ca="1" si="4"/>
        <v/>
      </c>
      <c r="E167" s="5"/>
      <c r="F167" s="5">
        <f>IF(Tabela3[[#This Row],[Retorno_Diário]]&gt;0,1,-1)</f>
        <v>-1</v>
      </c>
      <c r="G167" s="5">
        <f>Tabela3[[#This Row],[Sinal_TSMOM]]*(0.4*Tabela3[[#This Row],[Volatilidade]])</f>
        <v>0</v>
      </c>
      <c r="H167" s="5">
        <f>Tabela3[[#This Row],[Position_Size]]*Tabela3[[#This Row],[Retorno_Diário]]</f>
        <v>0</v>
      </c>
    </row>
    <row r="168" spans="1:8" x14ac:dyDescent="0.2">
      <c r="A168" s="11" t="s">
        <v>1123</v>
      </c>
      <c r="B168" s="4" t="s">
        <v>1125</v>
      </c>
      <c r="C168" s="5">
        <f t="shared" si="5"/>
        <v>1.4979269974434661E-2</v>
      </c>
      <c r="D168" s="5" t="str">
        <f t="shared" ca="1" si="4"/>
        <v/>
      </c>
      <c r="E168" s="5"/>
      <c r="F168" s="5">
        <f>IF(Tabela3[[#This Row],[Retorno_Diário]]&gt;0,1,-1)</f>
        <v>1</v>
      </c>
      <c r="G168" s="5">
        <f>Tabela3[[#This Row],[Sinal_TSMOM]]*(0.4*Tabela3[[#This Row],[Volatilidade]])</f>
        <v>0</v>
      </c>
      <c r="H168" s="5">
        <f>Tabela3[[#This Row],[Position_Size]]*Tabela3[[#This Row],[Retorno_Diário]]</f>
        <v>0</v>
      </c>
    </row>
    <row r="169" spans="1:8" x14ac:dyDescent="0.2">
      <c r="A169" s="11" t="s">
        <v>1130</v>
      </c>
      <c r="B169" s="4" t="s">
        <v>1132</v>
      </c>
      <c r="C169" s="5">
        <f t="shared" si="5"/>
        <v>-2.441767790020255E-3</v>
      </c>
      <c r="D169" s="5" t="str">
        <f t="shared" ca="1" si="4"/>
        <v/>
      </c>
      <c r="E169" s="5"/>
      <c r="F169" s="5">
        <f>IF(Tabela3[[#This Row],[Retorno_Diário]]&gt;0,1,-1)</f>
        <v>-1</v>
      </c>
      <c r="G169" s="5">
        <f>Tabela3[[#This Row],[Sinal_TSMOM]]*(0.4*Tabela3[[#This Row],[Volatilidade]])</f>
        <v>0</v>
      </c>
      <c r="H169" s="5">
        <f>Tabela3[[#This Row],[Position_Size]]*Tabela3[[#This Row],[Retorno_Diário]]</f>
        <v>0</v>
      </c>
    </row>
    <row r="170" spans="1:8" x14ac:dyDescent="0.2">
      <c r="A170" s="11" t="s">
        <v>1137</v>
      </c>
      <c r="B170" s="4" t="s">
        <v>1139</v>
      </c>
      <c r="C170" s="5">
        <f t="shared" si="5"/>
        <v>1.0330825193808568E-2</v>
      </c>
      <c r="D170" s="5" t="str">
        <f t="shared" ca="1" si="4"/>
        <v/>
      </c>
      <c r="E170" s="5"/>
      <c r="F170" s="5">
        <f>IF(Tabela3[[#This Row],[Retorno_Diário]]&gt;0,1,-1)</f>
        <v>1</v>
      </c>
      <c r="G170" s="5">
        <f>Tabela3[[#This Row],[Sinal_TSMOM]]*(0.4*Tabela3[[#This Row],[Volatilidade]])</f>
        <v>0</v>
      </c>
      <c r="H170" s="5">
        <f>Tabela3[[#This Row],[Position_Size]]*Tabela3[[#This Row],[Retorno_Diário]]</f>
        <v>0</v>
      </c>
    </row>
    <row r="171" spans="1:8" x14ac:dyDescent="0.2">
      <c r="A171" s="11" t="s">
        <v>1144</v>
      </c>
      <c r="B171" s="4" t="s">
        <v>1146</v>
      </c>
      <c r="C171" s="5">
        <f t="shared" si="5"/>
        <v>1.0759585194496601E-2</v>
      </c>
      <c r="D171" s="5" t="str">
        <f t="shared" ca="1" si="4"/>
        <v/>
      </c>
      <c r="E171" s="5"/>
      <c r="F171" s="5">
        <f>IF(Tabela3[[#This Row],[Retorno_Diário]]&gt;0,1,-1)</f>
        <v>1</v>
      </c>
      <c r="G171" s="5">
        <f>Tabela3[[#This Row],[Sinal_TSMOM]]*(0.4*Tabela3[[#This Row],[Volatilidade]])</f>
        <v>0</v>
      </c>
      <c r="H171" s="5">
        <f>Tabela3[[#This Row],[Position_Size]]*Tabela3[[#This Row],[Retorno_Diário]]</f>
        <v>0</v>
      </c>
    </row>
    <row r="172" spans="1:8" x14ac:dyDescent="0.2">
      <c r="A172" s="11" t="s">
        <v>1151</v>
      </c>
      <c r="B172" s="4" t="s">
        <v>1153</v>
      </c>
      <c r="C172" s="5">
        <f t="shared" si="5"/>
        <v>-1.8611271401450802E-2</v>
      </c>
      <c r="D172" s="5" t="str">
        <f t="shared" ca="1" si="4"/>
        <v/>
      </c>
      <c r="E172" s="5"/>
      <c r="F172" s="5">
        <f>IF(Tabela3[[#This Row],[Retorno_Diário]]&gt;0,1,-1)</f>
        <v>-1</v>
      </c>
      <c r="G172" s="5">
        <f>Tabela3[[#This Row],[Sinal_TSMOM]]*(0.4*Tabela3[[#This Row],[Volatilidade]])</f>
        <v>0</v>
      </c>
      <c r="H172" s="5">
        <f>Tabela3[[#This Row],[Position_Size]]*Tabela3[[#This Row],[Retorno_Diário]]</f>
        <v>0</v>
      </c>
    </row>
    <row r="173" spans="1:8" x14ac:dyDescent="0.2">
      <c r="A173" s="11" t="s">
        <v>1158</v>
      </c>
      <c r="B173" s="4" t="s">
        <v>1160</v>
      </c>
      <c r="C173" s="5">
        <f t="shared" si="5"/>
        <v>-2.0472656928103294E-2</v>
      </c>
      <c r="D173" s="5" t="str">
        <f t="shared" ca="1" si="4"/>
        <v/>
      </c>
      <c r="E173" s="5"/>
      <c r="F173" s="5">
        <f>IF(Tabela3[[#This Row],[Retorno_Diário]]&gt;0,1,-1)</f>
        <v>-1</v>
      </c>
      <c r="G173" s="5">
        <f>Tabela3[[#This Row],[Sinal_TSMOM]]*(0.4*Tabela3[[#This Row],[Volatilidade]])</f>
        <v>0</v>
      </c>
      <c r="H173" s="5">
        <f>Tabela3[[#This Row],[Position_Size]]*Tabela3[[#This Row],[Retorno_Diário]]</f>
        <v>0</v>
      </c>
    </row>
    <row r="174" spans="1:8" x14ac:dyDescent="0.2">
      <c r="A174" s="11" t="s">
        <v>1165</v>
      </c>
      <c r="B174" s="4" t="s">
        <v>1167</v>
      </c>
      <c r="C174" s="5">
        <f t="shared" si="5"/>
        <v>-3.1533637861960173E-3</v>
      </c>
      <c r="D174" s="5" t="str">
        <f t="shared" ca="1" si="4"/>
        <v/>
      </c>
      <c r="E174" s="5"/>
      <c r="F174" s="5">
        <f>IF(Tabela3[[#This Row],[Retorno_Diário]]&gt;0,1,-1)</f>
        <v>-1</v>
      </c>
      <c r="G174" s="5">
        <f>Tabela3[[#This Row],[Sinal_TSMOM]]*(0.4*Tabela3[[#This Row],[Volatilidade]])</f>
        <v>0</v>
      </c>
      <c r="H174" s="5">
        <f>Tabela3[[#This Row],[Position_Size]]*Tabela3[[#This Row],[Retorno_Diário]]</f>
        <v>0</v>
      </c>
    </row>
    <row r="175" spans="1:8" x14ac:dyDescent="0.2">
      <c r="A175" s="11" t="s">
        <v>1171</v>
      </c>
      <c r="B175" s="4" t="s">
        <v>1173</v>
      </c>
      <c r="C175" s="5">
        <f t="shared" si="5"/>
        <v>1.0556857944556075E-2</v>
      </c>
      <c r="D175" s="5" t="str">
        <f t="shared" ca="1" si="4"/>
        <v/>
      </c>
      <c r="E175" s="5"/>
      <c r="F175" s="5">
        <f>IF(Tabela3[[#This Row],[Retorno_Diário]]&gt;0,1,-1)</f>
        <v>1</v>
      </c>
      <c r="G175" s="5">
        <f>Tabela3[[#This Row],[Sinal_TSMOM]]*(0.4*Tabela3[[#This Row],[Volatilidade]])</f>
        <v>0</v>
      </c>
      <c r="H175" s="5">
        <f>Tabela3[[#This Row],[Position_Size]]*Tabela3[[#This Row],[Retorno_Diário]]</f>
        <v>0</v>
      </c>
    </row>
    <row r="176" spans="1:8" x14ac:dyDescent="0.2">
      <c r="A176" s="11" t="s">
        <v>1178</v>
      </c>
      <c r="B176" s="4" t="s">
        <v>1180</v>
      </c>
      <c r="C176" s="5">
        <f t="shared" si="5"/>
        <v>-7.0250387329313657E-3</v>
      </c>
      <c r="D176" s="5" t="str">
        <f t="shared" ca="1" si="4"/>
        <v/>
      </c>
      <c r="E176" s="5"/>
      <c r="F176" s="5">
        <f>IF(Tabela3[[#This Row],[Retorno_Diário]]&gt;0,1,-1)</f>
        <v>-1</v>
      </c>
      <c r="G176" s="5">
        <f>Tabela3[[#This Row],[Sinal_TSMOM]]*(0.4*Tabela3[[#This Row],[Volatilidade]])</f>
        <v>0</v>
      </c>
      <c r="H176" s="5">
        <f>Tabela3[[#This Row],[Position_Size]]*Tabela3[[#This Row],[Retorno_Diário]]</f>
        <v>0</v>
      </c>
    </row>
    <row r="177" spans="1:8" x14ac:dyDescent="0.2">
      <c r="A177" s="11" t="s">
        <v>1185</v>
      </c>
      <c r="B177" s="4" t="s">
        <v>1187</v>
      </c>
      <c r="C177" s="5">
        <f t="shared" si="5"/>
        <v>-1.6862206020634929E-2</v>
      </c>
      <c r="D177" s="5" t="str">
        <f t="shared" ca="1" si="4"/>
        <v/>
      </c>
      <c r="E177" s="5"/>
      <c r="F177" s="5">
        <f>IF(Tabela3[[#This Row],[Retorno_Diário]]&gt;0,1,-1)</f>
        <v>-1</v>
      </c>
      <c r="G177" s="5">
        <f>Tabela3[[#This Row],[Sinal_TSMOM]]*(0.4*Tabela3[[#This Row],[Volatilidade]])</f>
        <v>0</v>
      </c>
      <c r="H177" s="5">
        <f>Tabela3[[#This Row],[Position_Size]]*Tabela3[[#This Row],[Retorno_Diário]]</f>
        <v>0</v>
      </c>
    </row>
    <row r="178" spans="1:8" x14ac:dyDescent="0.2">
      <c r="A178" s="11" t="s">
        <v>1192</v>
      </c>
      <c r="B178" s="4" t="s">
        <v>1194</v>
      </c>
      <c r="C178" s="5">
        <f t="shared" si="5"/>
        <v>1.1707721362675283E-2</v>
      </c>
      <c r="D178" s="5" t="str">
        <f t="shared" ca="1" si="4"/>
        <v/>
      </c>
      <c r="E178" s="5"/>
      <c r="F178" s="5">
        <f>IF(Tabela3[[#This Row],[Retorno_Diário]]&gt;0,1,-1)</f>
        <v>1</v>
      </c>
      <c r="G178" s="5">
        <f>Tabela3[[#This Row],[Sinal_TSMOM]]*(0.4*Tabela3[[#This Row],[Volatilidade]])</f>
        <v>0</v>
      </c>
      <c r="H178" s="5">
        <f>Tabela3[[#This Row],[Position_Size]]*Tabela3[[#This Row],[Retorno_Diário]]</f>
        <v>0</v>
      </c>
    </row>
    <row r="179" spans="1:8" x14ac:dyDescent="0.2">
      <c r="A179" s="11" t="s">
        <v>1199</v>
      </c>
      <c r="B179" s="4" t="s">
        <v>1201</v>
      </c>
      <c r="C179" s="5">
        <f t="shared" si="5"/>
        <v>1.8758710704341652E-2</v>
      </c>
      <c r="D179" s="5" t="str">
        <f t="shared" ca="1" si="4"/>
        <v/>
      </c>
      <c r="E179" s="5"/>
      <c r="F179" s="5">
        <f>IF(Tabela3[[#This Row],[Retorno_Diário]]&gt;0,1,-1)</f>
        <v>1</v>
      </c>
      <c r="G179" s="5">
        <f>Tabela3[[#This Row],[Sinal_TSMOM]]*(0.4*Tabela3[[#This Row],[Volatilidade]])</f>
        <v>0</v>
      </c>
      <c r="H179" s="5">
        <f>Tabela3[[#This Row],[Position_Size]]*Tabela3[[#This Row],[Retorno_Diário]]</f>
        <v>0</v>
      </c>
    </row>
    <row r="180" spans="1:8" x14ac:dyDescent="0.2">
      <c r="A180" s="11" t="s">
        <v>1206</v>
      </c>
      <c r="B180" s="4" t="s">
        <v>1208</v>
      </c>
      <c r="C180" s="5">
        <f t="shared" si="5"/>
        <v>-9.0438810249962032E-3</v>
      </c>
      <c r="D180" s="5" t="str">
        <f t="shared" ca="1" si="4"/>
        <v/>
      </c>
      <c r="E180" s="5"/>
      <c r="F180" s="5">
        <f>IF(Tabela3[[#This Row],[Retorno_Diário]]&gt;0,1,-1)</f>
        <v>-1</v>
      </c>
      <c r="G180" s="5">
        <f>Tabela3[[#This Row],[Sinal_TSMOM]]*(0.4*Tabela3[[#This Row],[Volatilidade]])</f>
        <v>0</v>
      </c>
      <c r="H180" s="5">
        <f>Tabela3[[#This Row],[Position_Size]]*Tabela3[[#This Row],[Retorno_Diário]]</f>
        <v>0</v>
      </c>
    </row>
    <row r="181" spans="1:8" x14ac:dyDescent="0.2">
      <c r="A181" s="11" t="s">
        <v>1213</v>
      </c>
      <c r="B181" s="4" t="s">
        <v>1215</v>
      </c>
      <c r="C181" s="5">
        <f t="shared" si="5"/>
        <v>-1.0623165405000745E-2</v>
      </c>
      <c r="D181" s="5" t="str">
        <f t="shared" ca="1" si="4"/>
        <v/>
      </c>
      <c r="E181" s="5"/>
      <c r="F181" s="5">
        <f>IF(Tabela3[[#This Row],[Retorno_Diário]]&gt;0,1,-1)</f>
        <v>-1</v>
      </c>
      <c r="G181" s="5">
        <f>Tabela3[[#This Row],[Sinal_TSMOM]]*(0.4*Tabela3[[#This Row],[Volatilidade]])</f>
        <v>0</v>
      </c>
      <c r="H181" s="5">
        <f>Tabela3[[#This Row],[Position_Size]]*Tabela3[[#This Row],[Retorno_Diário]]</f>
        <v>0</v>
      </c>
    </row>
    <row r="182" spans="1:8" x14ac:dyDescent="0.2">
      <c r="A182" s="11" t="s">
        <v>1220</v>
      </c>
      <c r="B182" s="4" t="s">
        <v>1188</v>
      </c>
      <c r="C182" s="5">
        <f t="shared" si="5"/>
        <v>3.5421988756201284E-3</v>
      </c>
      <c r="D182" s="5" t="str">
        <f t="shared" ca="1" si="4"/>
        <v/>
      </c>
      <c r="E182" s="5"/>
      <c r="F182" s="5">
        <f>IF(Tabela3[[#This Row],[Retorno_Diário]]&gt;0,1,-1)</f>
        <v>1</v>
      </c>
      <c r="G182" s="5">
        <f>Tabela3[[#This Row],[Sinal_TSMOM]]*(0.4*Tabela3[[#This Row],[Volatilidade]])</f>
        <v>0</v>
      </c>
      <c r="H182" s="5">
        <f>Tabela3[[#This Row],[Position_Size]]*Tabela3[[#This Row],[Retorno_Diário]]</f>
        <v>0</v>
      </c>
    </row>
    <row r="183" spans="1:8" x14ac:dyDescent="0.2">
      <c r="A183" s="11" t="s">
        <v>1226</v>
      </c>
      <c r="B183" s="4" t="s">
        <v>1228</v>
      </c>
      <c r="C183" s="5">
        <f t="shared" si="5"/>
        <v>-2.0957412154700927E-2</v>
      </c>
      <c r="D183" s="5" t="str">
        <f t="shared" ca="1" si="4"/>
        <v/>
      </c>
      <c r="E183" s="5"/>
      <c r="F183" s="5">
        <f>IF(Tabela3[[#This Row],[Retorno_Diário]]&gt;0,1,-1)</f>
        <v>-1</v>
      </c>
      <c r="G183" s="5">
        <f>Tabela3[[#This Row],[Sinal_TSMOM]]*(0.4*Tabela3[[#This Row],[Volatilidade]])</f>
        <v>0</v>
      </c>
      <c r="H183" s="5">
        <f>Tabela3[[#This Row],[Position_Size]]*Tabela3[[#This Row],[Retorno_Diário]]</f>
        <v>0</v>
      </c>
    </row>
    <row r="184" spans="1:8" x14ac:dyDescent="0.2">
      <c r="A184" s="11" t="s">
        <v>1233</v>
      </c>
      <c r="B184" s="4" t="s">
        <v>759</v>
      </c>
      <c r="C184" s="5">
        <f t="shared" si="5"/>
        <v>-1.0627945894848834E-2</v>
      </c>
      <c r="D184" s="5" t="str">
        <f t="shared" ca="1" si="4"/>
        <v/>
      </c>
      <c r="E184" s="5"/>
      <c r="F184" s="5">
        <f>IF(Tabela3[[#This Row],[Retorno_Diário]]&gt;0,1,-1)</f>
        <v>-1</v>
      </c>
      <c r="G184" s="5">
        <f>Tabela3[[#This Row],[Sinal_TSMOM]]*(0.4*Tabela3[[#This Row],[Volatilidade]])</f>
        <v>0</v>
      </c>
      <c r="H184" s="5">
        <f>Tabela3[[#This Row],[Position_Size]]*Tabela3[[#This Row],[Retorno_Diário]]</f>
        <v>0</v>
      </c>
    </row>
    <row r="185" spans="1:8" x14ac:dyDescent="0.2">
      <c r="A185" s="11" t="s">
        <v>1239</v>
      </c>
      <c r="B185" s="4" t="s">
        <v>1241</v>
      </c>
      <c r="C185" s="5">
        <f t="shared" si="5"/>
        <v>8.5405347251485964E-3</v>
      </c>
      <c r="D185" s="5" t="str">
        <f t="shared" ca="1" si="4"/>
        <v/>
      </c>
      <c r="E185" s="5"/>
      <c r="F185" s="5">
        <f>IF(Tabela3[[#This Row],[Retorno_Diário]]&gt;0,1,-1)</f>
        <v>1</v>
      </c>
      <c r="G185" s="5">
        <f>Tabela3[[#This Row],[Sinal_TSMOM]]*(0.4*Tabela3[[#This Row],[Volatilidade]])</f>
        <v>0</v>
      </c>
      <c r="H185" s="5">
        <f>Tabela3[[#This Row],[Position_Size]]*Tabela3[[#This Row],[Retorno_Diário]]</f>
        <v>0</v>
      </c>
    </row>
    <row r="186" spans="1:8" x14ac:dyDescent="0.2">
      <c r="A186" s="11" t="s">
        <v>1246</v>
      </c>
      <c r="B186" s="4" t="s">
        <v>1248</v>
      </c>
      <c r="C186" s="5">
        <f t="shared" si="5"/>
        <v>1.0199469761381641E-2</v>
      </c>
      <c r="D186" s="5" t="str">
        <f t="shared" ca="1" si="4"/>
        <v/>
      </c>
      <c r="E186" s="5"/>
      <c r="F186" s="5">
        <f>IF(Tabela3[[#This Row],[Retorno_Diário]]&gt;0,1,-1)</f>
        <v>1</v>
      </c>
      <c r="G186" s="5">
        <f>Tabela3[[#This Row],[Sinal_TSMOM]]*(0.4*Tabela3[[#This Row],[Volatilidade]])</f>
        <v>0</v>
      </c>
      <c r="H186" s="5">
        <f>Tabela3[[#This Row],[Position_Size]]*Tabela3[[#This Row],[Retorno_Diário]]</f>
        <v>0</v>
      </c>
    </row>
    <row r="187" spans="1:8" x14ac:dyDescent="0.2">
      <c r="A187" s="11" t="s">
        <v>1253</v>
      </c>
      <c r="B187" s="4" t="s">
        <v>1255</v>
      </c>
      <c r="C187" s="5">
        <f t="shared" si="5"/>
        <v>-5.551215306769719E-3</v>
      </c>
      <c r="D187" s="5" t="str">
        <f t="shared" ca="1" si="4"/>
        <v/>
      </c>
      <c r="E187" s="5"/>
      <c r="F187" s="5">
        <f>IF(Tabela3[[#This Row],[Retorno_Diário]]&gt;0,1,-1)</f>
        <v>-1</v>
      </c>
      <c r="G187" s="5">
        <f>Tabela3[[#This Row],[Sinal_TSMOM]]*(0.4*Tabela3[[#This Row],[Volatilidade]])</f>
        <v>0</v>
      </c>
      <c r="H187" s="5">
        <f>Tabela3[[#This Row],[Position_Size]]*Tabela3[[#This Row],[Retorno_Diário]]</f>
        <v>0</v>
      </c>
    </row>
    <row r="188" spans="1:8" x14ac:dyDescent="0.2">
      <c r="A188" s="11" t="s">
        <v>1259</v>
      </c>
      <c r="B188" s="4" t="s">
        <v>1261</v>
      </c>
      <c r="C188" s="5">
        <f t="shared" si="5"/>
        <v>1.7983042375482317E-3</v>
      </c>
      <c r="D188" s="5" t="str">
        <f t="shared" ca="1" si="4"/>
        <v/>
      </c>
      <c r="E188" s="5"/>
      <c r="F188" s="5">
        <f>IF(Tabela3[[#This Row],[Retorno_Diário]]&gt;0,1,-1)</f>
        <v>1</v>
      </c>
      <c r="G188" s="5">
        <f>Tabela3[[#This Row],[Sinal_TSMOM]]*(0.4*Tabela3[[#This Row],[Volatilidade]])</f>
        <v>0</v>
      </c>
      <c r="H188" s="5">
        <f>Tabela3[[#This Row],[Position_Size]]*Tabela3[[#This Row],[Retorno_Diário]]</f>
        <v>0</v>
      </c>
    </row>
    <row r="189" spans="1:8" x14ac:dyDescent="0.2">
      <c r="A189" s="11" t="s">
        <v>1265</v>
      </c>
      <c r="B189" s="4" t="s">
        <v>1267</v>
      </c>
      <c r="C189" s="5">
        <f t="shared" si="5"/>
        <v>5.0934911121046866E-2</v>
      </c>
      <c r="D189" s="5" t="str">
        <f t="shared" ca="1" si="4"/>
        <v/>
      </c>
      <c r="E189" s="5"/>
      <c r="F189" s="5">
        <f>IF(Tabela3[[#This Row],[Retorno_Diário]]&gt;0,1,-1)</f>
        <v>1</v>
      </c>
      <c r="G189" s="5">
        <f>Tabela3[[#This Row],[Sinal_TSMOM]]*(0.4*Tabela3[[#This Row],[Volatilidade]])</f>
        <v>0</v>
      </c>
      <c r="H189" s="5">
        <f>Tabela3[[#This Row],[Position_Size]]*Tabela3[[#This Row],[Retorno_Diário]]</f>
        <v>0</v>
      </c>
    </row>
    <row r="190" spans="1:8" x14ac:dyDescent="0.2">
      <c r="A190" s="11" t="s">
        <v>1272</v>
      </c>
      <c r="B190" s="4" t="s">
        <v>1274</v>
      </c>
      <c r="C190" s="5">
        <f t="shared" si="5"/>
        <v>2.9677658615808289E-2</v>
      </c>
      <c r="D190" s="5" t="str">
        <f t="shared" ca="1" si="4"/>
        <v/>
      </c>
      <c r="E190" s="5"/>
      <c r="F190" s="5">
        <f>IF(Tabela3[[#This Row],[Retorno_Diário]]&gt;0,1,-1)</f>
        <v>1</v>
      </c>
      <c r="G190" s="5">
        <f>Tabela3[[#This Row],[Sinal_TSMOM]]*(0.4*Tabela3[[#This Row],[Volatilidade]])</f>
        <v>0</v>
      </c>
      <c r="H190" s="5">
        <f>Tabela3[[#This Row],[Position_Size]]*Tabela3[[#This Row],[Retorno_Diário]]</f>
        <v>0</v>
      </c>
    </row>
    <row r="191" spans="1:8" x14ac:dyDescent="0.2">
      <c r="A191" s="11" t="s">
        <v>1279</v>
      </c>
      <c r="B191" s="4" t="s">
        <v>1281</v>
      </c>
      <c r="C191" s="5">
        <f t="shared" si="5"/>
        <v>-9.9530031314106759E-3</v>
      </c>
      <c r="D191" s="5" t="str">
        <f t="shared" ca="1" si="4"/>
        <v/>
      </c>
      <c r="E191" s="5"/>
      <c r="F191" s="5">
        <f>IF(Tabela3[[#This Row],[Retorno_Diário]]&gt;0,1,-1)</f>
        <v>-1</v>
      </c>
      <c r="G191" s="5">
        <f>Tabela3[[#This Row],[Sinal_TSMOM]]*(0.4*Tabela3[[#This Row],[Volatilidade]])</f>
        <v>0</v>
      </c>
      <c r="H191" s="5">
        <f>Tabela3[[#This Row],[Position_Size]]*Tabela3[[#This Row],[Retorno_Diário]]</f>
        <v>0</v>
      </c>
    </row>
    <row r="192" spans="1:8" x14ac:dyDescent="0.2">
      <c r="A192" s="11" t="s">
        <v>1286</v>
      </c>
      <c r="B192" s="4" t="s">
        <v>1288</v>
      </c>
      <c r="C192" s="5">
        <f t="shared" si="5"/>
        <v>8.7264793020280784E-4</v>
      </c>
      <c r="D192" s="5" t="str">
        <f t="shared" ca="1" si="4"/>
        <v/>
      </c>
      <c r="E192" s="5"/>
      <c r="F192" s="5">
        <f>IF(Tabela3[[#This Row],[Retorno_Diário]]&gt;0,1,-1)</f>
        <v>1</v>
      </c>
      <c r="G192" s="5">
        <f>Tabela3[[#This Row],[Sinal_TSMOM]]*(0.4*Tabela3[[#This Row],[Volatilidade]])</f>
        <v>0</v>
      </c>
      <c r="H192" s="5">
        <f>Tabela3[[#This Row],[Position_Size]]*Tabela3[[#This Row],[Retorno_Diário]]</f>
        <v>0</v>
      </c>
    </row>
    <row r="193" spans="1:8" x14ac:dyDescent="0.2">
      <c r="A193" s="11" t="s">
        <v>1293</v>
      </c>
      <c r="B193" s="4" t="s">
        <v>1295</v>
      </c>
      <c r="C193" s="5">
        <f t="shared" si="5"/>
        <v>-2.5947737330963561E-2</v>
      </c>
      <c r="D193" s="5" t="str">
        <f t="shared" ca="1" si="4"/>
        <v/>
      </c>
      <c r="E193" s="5"/>
      <c r="F193" s="5">
        <f>IF(Tabela3[[#This Row],[Retorno_Diário]]&gt;0,1,-1)</f>
        <v>-1</v>
      </c>
      <c r="G193" s="5">
        <f>Tabela3[[#This Row],[Sinal_TSMOM]]*(0.4*Tabela3[[#This Row],[Volatilidade]])</f>
        <v>0</v>
      </c>
      <c r="H193" s="5">
        <f>Tabela3[[#This Row],[Position_Size]]*Tabela3[[#This Row],[Retorno_Diário]]</f>
        <v>0</v>
      </c>
    </row>
    <row r="194" spans="1:8" x14ac:dyDescent="0.2">
      <c r="A194" s="11" t="s">
        <v>1300</v>
      </c>
      <c r="B194" s="4" t="s">
        <v>1302</v>
      </c>
      <c r="C194" s="5">
        <f t="shared" si="5"/>
        <v>-3.3764215138593623E-2</v>
      </c>
      <c r="D194" s="5" t="str">
        <f t="shared" ca="1" si="4"/>
        <v/>
      </c>
      <c r="E194" s="5"/>
      <c r="F194" s="5">
        <f>IF(Tabela3[[#This Row],[Retorno_Diário]]&gt;0,1,-1)</f>
        <v>-1</v>
      </c>
      <c r="G194" s="5">
        <f>Tabela3[[#This Row],[Sinal_TSMOM]]*(0.4*Tabela3[[#This Row],[Volatilidade]])</f>
        <v>0</v>
      </c>
      <c r="H194" s="5">
        <f>Tabela3[[#This Row],[Position_Size]]*Tabela3[[#This Row],[Retorno_Diário]]</f>
        <v>0</v>
      </c>
    </row>
    <row r="195" spans="1:8" x14ac:dyDescent="0.2">
      <c r="A195" s="11" t="s">
        <v>1307</v>
      </c>
      <c r="B195" s="4" t="s">
        <v>1309</v>
      </c>
      <c r="C195" s="5">
        <f t="shared" si="5"/>
        <v>-1.5156021485341675E-2</v>
      </c>
      <c r="D195" s="5" t="str">
        <f t="shared" ref="D195:D253" ca="1" si="6">IF(ROW()&gt;253,B196/OFFSET(B196,-252,0)-1,"")</f>
        <v/>
      </c>
      <c r="E195" s="5"/>
      <c r="F195" s="5">
        <f>IF(Tabela3[[#This Row],[Retorno_Diário]]&gt;0,1,-1)</f>
        <v>-1</v>
      </c>
      <c r="G195" s="5">
        <f>Tabela3[[#This Row],[Sinal_TSMOM]]*(0.4*Tabela3[[#This Row],[Volatilidade]])</f>
        <v>0</v>
      </c>
      <c r="H195" s="5">
        <f>Tabela3[[#This Row],[Position_Size]]*Tabela3[[#This Row],[Retorno_Diário]]</f>
        <v>0</v>
      </c>
    </row>
    <row r="196" spans="1:8" x14ac:dyDescent="0.2">
      <c r="A196" s="11" t="s">
        <v>1314</v>
      </c>
      <c r="B196" s="4" t="s">
        <v>1316</v>
      </c>
      <c r="C196" s="5">
        <f t="shared" ref="C196:C259" si="7">B196/B195-1</f>
        <v>-8.65365169318566E-4</v>
      </c>
      <c r="D196" s="5" t="str">
        <f t="shared" ca="1" si="6"/>
        <v/>
      </c>
      <c r="E196" s="5"/>
      <c r="F196" s="5">
        <f>IF(Tabela3[[#This Row],[Retorno_Diário]]&gt;0,1,-1)</f>
        <v>-1</v>
      </c>
      <c r="G196" s="5">
        <f>Tabela3[[#This Row],[Sinal_TSMOM]]*(0.4*Tabela3[[#This Row],[Volatilidade]])</f>
        <v>0</v>
      </c>
      <c r="H196" s="5">
        <f>Tabela3[[#This Row],[Position_Size]]*Tabela3[[#This Row],[Retorno_Diário]]</f>
        <v>0</v>
      </c>
    </row>
    <row r="197" spans="1:8" x14ac:dyDescent="0.2">
      <c r="A197" s="11" t="s">
        <v>1320</v>
      </c>
      <c r="B197" s="4" t="s">
        <v>1322</v>
      </c>
      <c r="C197" s="5">
        <f t="shared" si="7"/>
        <v>-7.4753353410989098E-2</v>
      </c>
      <c r="D197" s="5" t="str">
        <f t="shared" ca="1" si="6"/>
        <v/>
      </c>
      <c r="E197" s="5"/>
      <c r="F197" s="5">
        <f>IF(Tabela3[[#This Row],[Retorno_Diário]]&gt;0,1,-1)</f>
        <v>-1</v>
      </c>
      <c r="G197" s="5">
        <f>Tabela3[[#This Row],[Sinal_TSMOM]]*(0.4*Tabela3[[#This Row],[Volatilidade]])</f>
        <v>0</v>
      </c>
      <c r="H197" s="5">
        <f>Tabela3[[#This Row],[Position_Size]]*Tabela3[[#This Row],[Retorno_Diário]]</f>
        <v>0</v>
      </c>
    </row>
    <row r="198" spans="1:8" x14ac:dyDescent="0.2">
      <c r="A198" s="11" t="s">
        <v>1326</v>
      </c>
      <c r="B198" s="4" t="s">
        <v>1328</v>
      </c>
      <c r="C198" s="5">
        <f t="shared" si="7"/>
        <v>-4.2980981943341545E-2</v>
      </c>
      <c r="D198" s="5" t="str">
        <f t="shared" ca="1" si="6"/>
        <v/>
      </c>
      <c r="E198" s="5"/>
      <c r="F198" s="5">
        <f>IF(Tabela3[[#This Row],[Retorno_Diário]]&gt;0,1,-1)</f>
        <v>-1</v>
      </c>
      <c r="G198" s="5">
        <f>Tabela3[[#This Row],[Sinal_TSMOM]]*(0.4*Tabela3[[#This Row],[Volatilidade]])</f>
        <v>0</v>
      </c>
      <c r="H198" s="5">
        <f>Tabela3[[#This Row],[Position_Size]]*Tabela3[[#This Row],[Retorno_Diário]]</f>
        <v>0</v>
      </c>
    </row>
    <row r="199" spans="1:8" x14ac:dyDescent="0.2">
      <c r="A199" s="11" t="s">
        <v>1333</v>
      </c>
      <c r="B199" s="4" t="s">
        <v>1335</v>
      </c>
      <c r="C199" s="5">
        <f t="shared" si="7"/>
        <v>4.8526296799113799E-2</v>
      </c>
      <c r="D199" s="5" t="str">
        <f t="shared" ca="1" si="6"/>
        <v/>
      </c>
      <c r="E199" s="5"/>
      <c r="F199" s="5">
        <f>IF(Tabela3[[#This Row],[Retorno_Diário]]&gt;0,1,-1)</f>
        <v>1</v>
      </c>
      <c r="G199" s="5">
        <f>Tabela3[[#This Row],[Sinal_TSMOM]]*(0.4*Tabela3[[#This Row],[Volatilidade]])</f>
        <v>0</v>
      </c>
      <c r="H199" s="5">
        <f>Tabela3[[#This Row],[Position_Size]]*Tabela3[[#This Row],[Retorno_Diário]]</f>
        <v>0</v>
      </c>
    </row>
    <row r="200" spans="1:8" x14ac:dyDescent="0.2">
      <c r="A200" s="11" t="s">
        <v>1340</v>
      </c>
      <c r="B200" s="4" t="s">
        <v>1342</v>
      </c>
      <c r="C200" s="5">
        <f t="shared" si="7"/>
        <v>-4.5266457864568066E-2</v>
      </c>
      <c r="D200" s="5" t="str">
        <f t="shared" ca="1" si="6"/>
        <v/>
      </c>
      <c r="E200" s="5"/>
      <c r="F200" s="5">
        <f>IF(Tabela3[[#This Row],[Retorno_Diário]]&gt;0,1,-1)</f>
        <v>-1</v>
      </c>
      <c r="G200" s="5">
        <f>Tabela3[[#This Row],[Sinal_TSMOM]]*(0.4*Tabela3[[#This Row],[Volatilidade]])</f>
        <v>0</v>
      </c>
      <c r="H200" s="5">
        <f>Tabela3[[#This Row],[Position_Size]]*Tabela3[[#This Row],[Retorno_Diário]]</f>
        <v>0</v>
      </c>
    </row>
    <row r="201" spans="1:8" x14ac:dyDescent="0.2">
      <c r="A201" s="11" t="s">
        <v>1345</v>
      </c>
      <c r="B201" s="4" t="s">
        <v>1347</v>
      </c>
      <c r="C201" s="5">
        <f t="shared" si="7"/>
        <v>4.4396298392042066E-2</v>
      </c>
      <c r="D201" s="5" t="str">
        <f t="shared" ca="1" si="6"/>
        <v/>
      </c>
      <c r="E201" s="5"/>
      <c r="F201" s="5">
        <f>IF(Tabela3[[#This Row],[Retorno_Diário]]&gt;0,1,-1)</f>
        <v>1</v>
      </c>
      <c r="G201" s="5">
        <f>Tabela3[[#This Row],[Sinal_TSMOM]]*(0.4*Tabela3[[#This Row],[Volatilidade]])</f>
        <v>0</v>
      </c>
      <c r="H201" s="5">
        <f>Tabela3[[#This Row],[Position_Size]]*Tabela3[[#This Row],[Retorno_Diário]]</f>
        <v>0</v>
      </c>
    </row>
    <row r="202" spans="1:8" x14ac:dyDescent="0.2">
      <c r="A202" s="11" t="s">
        <v>1352</v>
      </c>
      <c r="B202" s="4" t="s">
        <v>1354</v>
      </c>
      <c r="C202" s="5">
        <f t="shared" si="7"/>
        <v>-1.1267966691732245E-2</v>
      </c>
      <c r="D202" s="5" t="str">
        <f t="shared" ca="1" si="6"/>
        <v/>
      </c>
      <c r="E202" s="5"/>
      <c r="F202" s="5">
        <f>IF(Tabela3[[#This Row],[Retorno_Diário]]&gt;0,1,-1)</f>
        <v>-1</v>
      </c>
      <c r="G202" s="5">
        <f>Tabela3[[#This Row],[Sinal_TSMOM]]*(0.4*Tabela3[[#This Row],[Volatilidade]])</f>
        <v>0</v>
      </c>
      <c r="H202" s="5">
        <f>Tabela3[[#This Row],[Position_Size]]*Tabela3[[#This Row],[Retorno_Diário]]</f>
        <v>0</v>
      </c>
    </row>
    <row r="203" spans="1:8" x14ac:dyDescent="0.2">
      <c r="A203" s="11" t="s">
        <v>1358</v>
      </c>
      <c r="B203" s="4" t="s">
        <v>1360</v>
      </c>
      <c r="C203" s="5">
        <f t="shared" si="7"/>
        <v>-1.4523189517603119E-2</v>
      </c>
      <c r="D203" s="5" t="str">
        <f t="shared" ca="1" si="6"/>
        <v/>
      </c>
      <c r="E203" s="5"/>
      <c r="F203" s="5">
        <f>IF(Tabela3[[#This Row],[Retorno_Diário]]&gt;0,1,-1)</f>
        <v>-1</v>
      </c>
      <c r="G203" s="5">
        <f>Tabela3[[#This Row],[Sinal_TSMOM]]*(0.4*Tabela3[[#This Row],[Volatilidade]])</f>
        <v>0</v>
      </c>
      <c r="H203" s="5">
        <f>Tabela3[[#This Row],[Position_Size]]*Tabela3[[#This Row],[Retorno_Diário]]</f>
        <v>0</v>
      </c>
    </row>
    <row r="204" spans="1:8" x14ac:dyDescent="0.2">
      <c r="A204" s="11" t="s">
        <v>1365</v>
      </c>
      <c r="B204" s="4" t="s">
        <v>1367</v>
      </c>
      <c r="C204" s="5">
        <f t="shared" si="7"/>
        <v>-4.3251339555526958E-2</v>
      </c>
      <c r="D204" s="5" t="str">
        <f t="shared" ca="1" si="6"/>
        <v/>
      </c>
      <c r="E204" s="5"/>
      <c r="F204" s="5">
        <f>IF(Tabela3[[#This Row],[Retorno_Diário]]&gt;0,1,-1)</f>
        <v>-1</v>
      </c>
      <c r="G204" s="5">
        <f>Tabela3[[#This Row],[Sinal_TSMOM]]*(0.4*Tabela3[[#This Row],[Volatilidade]])</f>
        <v>0</v>
      </c>
      <c r="H204" s="5">
        <f>Tabela3[[#This Row],[Position_Size]]*Tabela3[[#This Row],[Retorno_Diário]]</f>
        <v>0</v>
      </c>
    </row>
    <row r="205" spans="1:8" x14ac:dyDescent="0.2">
      <c r="A205" s="11" t="s">
        <v>1372</v>
      </c>
      <c r="B205" s="4" t="s">
        <v>1374</v>
      </c>
      <c r="C205" s="5">
        <f t="shared" si="7"/>
        <v>8.9453211739747296E-3</v>
      </c>
      <c r="D205" s="5" t="str">
        <f t="shared" ca="1" si="6"/>
        <v/>
      </c>
      <c r="E205" s="5"/>
      <c r="F205" s="5">
        <f>IF(Tabela3[[#This Row],[Retorno_Diário]]&gt;0,1,-1)</f>
        <v>1</v>
      </c>
      <c r="G205" s="5">
        <f>Tabela3[[#This Row],[Sinal_TSMOM]]*(0.4*Tabela3[[#This Row],[Volatilidade]])</f>
        <v>0</v>
      </c>
      <c r="H205" s="5">
        <f>Tabela3[[#This Row],[Position_Size]]*Tabela3[[#This Row],[Retorno_Diário]]</f>
        <v>0</v>
      </c>
    </row>
    <row r="206" spans="1:8" x14ac:dyDescent="0.2">
      <c r="A206" s="11" t="s">
        <v>1378</v>
      </c>
      <c r="B206" s="4" t="s">
        <v>1380</v>
      </c>
      <c r="C206" s="5">
        <f t="shared" si="7"/>
        <v>-4.3940785906507074E-2</v>
      </c>
      <c r="D206" s="5" t="str">
        <f t="shared" ca="1" si="6"/>
        <v/>
      </c>
      <c r="E206" s="5"/>
      <c r="F206" s="5">
        <f>IF(Tabela3[[#This Row],[Retorno_Diário]]&gt;0,1,-1)</f>
        <v>-1</v>
      </c>
      <c r="G206" s="5">
        <f>Tabela3[[#This Row],[Sinal_TSMOM]]*(0.4*Tabela3[[#This Row],[Volatilidade]])</f>
        <v>0</v>
      </c>
      <c r="H206" s="5">
        <f>Tabela3[[#This Row],[Position_Size]]*Tabela3[[#This Row],[Retorno_Diário]]</f>
        <v>0</v>
      </c>
    </row>
    <row r="207" spans="1:8" x14ac:dyDescent="0.2">
      <c r="A207" s="11" t="s">
        <v>1385</v>
      </c>
      <c r="B207" s="4" t="s">
        <v>1387</v>
      </c>
      <c r="C207" s="5">
        <f t="shared" si="7"/>
        <v>-9.7937249043585251E-2</v>
      </c>
      <c r="D207" s="5" t="str">
        <f t="shared" ca="1" si="6"/>
        <v/>
      </c>
      <c r="E207" s="5"/>
      <c r="F207" s="5">
        <f>IF(Tabela3[[#This Row],[Retorno_Diário]]&gt;0,1,-1)</f>
        <v>-1</v>
      </c>
      <c r="G207" s="5">
        <f>Tabela3[[#This Row],[Sinal_TSMOM]]*(0.4*Tabela3[[#This Row],[Volatilidade]])</f>
        <v>0</v>
      </c>
      <c r="H207" s="5">
        <f>Tabela3[[#This Row],[Position_Size]]*Tabela3[[#This Row],[Retorno_Diário]]</f>
        <v>0</v>
      </c>
    </row>
    <row r="208" spans="1:8" x14ac:dyDescent="0.2">
      <c r="A208" s="11" t="s">
        <v>1392</v>
      </c>
      <c r="B208" s="4" t="s">
        <v>1394</v>
      </c>
      <c r="C208" s="5">
        <f t="shared" si="7"/>
        <v>4.2274731088327577E-2</v>
      </c>
      <c r="D208" s="5" t="str">
        <f t="shared" ca="1" si="6"/>
        <v/>
      </c>
      <c r="E208" s="5"/>
      <c r="F208" s="5">
        <f>IF(Tabela3[[#This Row],[Retorno_Diário]]&gt;0,1,-1)</f>
        <v>1</v>
      </c>
      <c r="G208" s="5">
        <f>Tabela3[[#This Row],[Sinal_TSMOM]]*(0.4*Tabela3[[#This Row],[Volatilidade]])</f>
        <v>0</v>
      </c>
      <c r="H208" s="5">
        <f>Tabela3[[#This Row],[Position_Size]]*Tabela3[[#This Row],[Retorno_Diário]]</f>
        <v>0</v>
      </c>
    </row>
    <row r="209" spans="1:8" x14ac:dyDescent="0.2">
      <c r="A209" s="11" t="s">
        <v>1399</v>
      </c>
      <c r="B209" s="4" t="s">
        <v>1401</v>
      </c>
      <c r="C209" s="5">
        <f t="shared" si="7"/>
        <v>-4.5948802226560947E-2</v>
      </c>
      <c r="D209" s="5" t="str">
        <f t="shared" ca="1" si="6"/>
        <v/>
      </c>
      <c r="E209" s="5"/>
      <c r="F209" s="5">
        <f>IF(Tabela3[[#This Row],[Retorno_Diário]]&gt;0,1,-1)</f>
        <v>-1</v>
      </c>
      <c r="G209" s="5">
        <f>Tabela3[[#This Row],[Sinal_TSMOM]]*(0.4*Tabela3[[#This Row],[Volatilidade]])</f>
        <v>0</v>
      </c>
      <c r="H209" s="5">
        <f>Tabela3[[#This Row],[Position_Size]]*Tabela3[[#This Row],[Retorno_Diário]]</f>
        <v>0</v>
      </c>
    </row>
    <row r="210" spans="1:8" x14ac:dyDescent="0.2">
      <c r="A210" s="11" t="s">
        <v>1406</v>
      </c>
      <c r="B210" s="4" t="s">
        <v>1408</v>
      </c>
      <c r="C210" s="5">
        <f t="shared" si="7"/>
        <v>-6.3896321959748148E-2</v>
      </c>
      <c r="D210" s="5" t="str">
        <f t="shared" ca="1" si="6"/>
        <v/>
      </c>
      <c r="E210" s="5"/>
      <c r="F210" s="5">
        <f>IF(Tabela3[[#This Row],[Retorno_Diário]]&gt;0,1,-1)</f>
        <v>-1</v>
      </c>
      <c r="G210" s="5">
        <f>Tabela3[[#This Row],[Sinal_TSMOM]]*(0.4*Tabela3[[#This Row],[Volatilidade]])</f>
        <v>0</v>
      </c>
      <c r="H210" s="5">
        <f>Tabela3[[#This Row],[Position_Size]]*Tabela3[[#This Row],[Retorno_Diário]]</f>
        <v>0</v>
      </c>
    </row>
    <row r="211" spans="1:8" x14ac:dyDescent="0.2">
      <c r="A211" s="11" t="s">
        <v>1413</v>
      </c>
      <c r="B211" s="4" t="s">
        <v>1415</v>
      </c>
      <c r="C211" s="5">
        <f t="shared" si="7"/>
        <v>9.3632094423310885E-2</v>
      </c>
      <c r="D211" s="5" t="str">
        <f t="shared" ca="1" si="6"/>
        <v/>
      </c>
      <c r="E211" s="5"/>
      <c r="F211" s="5">
        <f>IF(Tabela3[[#This Row],[Retorno_Diário]]&gt;0,1,-1)</f>
        <v>1</v>
      </c>
      <c r="G211" s="5">
        <f>Tabela3[[#This Row],[Sinal_TSMOM]]*(0.4*Tabela3[[#This Row],[Volatilidade]])</f>
        <v>0</v>
      </c>
      <c r="H211" s="5">
        <f>Tabela3[[#This Row],[Position_Size]]*Tabela3[[#This Row],[Retorno_Diário]]</f>
        <v>0</v>
      </c>
    </row>
    <row r="212" spans="1:8" x14ac:dyDescent="0.2">
      <c r="A212" s="11" t="s">
        <v>1419</v>
      </c>
      <c r="B212" s="4" t="s">
        <v>1421</v>
      </c>
      <c r="C212" s="5">
        <f t="shared" si="7"/>
        <v>3.8571476624267298E-2</v>
      </c>
      <c r="D212" s="5" t="str">
        <f t="shared" ca="1" si="6"/>
        <v/>
      </c>
      <c r="E212" s="5"/>
      <c r="F212" s="5">
        <f>IF(Tabela3[[#This Row],[Retorno_Diário]]&gt;0,1,-1)</f>
        <v>1</v>
      </c>
      <c r="G212" s="5">
        <f>Tabela3[[#This Row],[Sinal_TSMOM]]*(0.4*Tabela3[[#This Row],[Volatilidade]])</f>
        <v>0</v>
      </c>
      <c r="H212" s="5">
        <f>Tabela3[[#This Row],[Position_Size]]*Tabela3[[#This Row],[Retorno_Diário]]</f>
        <v>0</v>
      </c>
    </row>
    <row r="213" spans="1:8" x14ac:dyDescent="0.2">
      <c r="A213" s="11" t="s">
        <v>1426</v>
      </c>
      <c r="B213" s="4" t="s">
        <v>1428</v>
      </c>
      <c r="C213" s="5">
        <f t="shared" si="7"/>
        <v>3.4530220298178094E-2</v>
      </c>
      <c r="D213" s="5" t="str">
        <f t="shared" ca="1" si="6"/>
        <v/>
      </c>
      <c r="E213" s="5"/>
      <c r="F213" s="5">
        <f>IF(Tabela3[[#This Row],[Retorno_Diário]]&gt;0,1,-1)</f>
        <v>1</v>
      </c>
      <c r="G213" s="5">
        <f>Tabela3[[#This Row],[Sinal_TSMOM]]*(0.4*Tabela3[[#This Row],[Volatilidade]])</f>
        <v>0</v>
      </c>
      <c r="H213" s="5">
        <f>Tabela3[[#This Row],[Position_Size]]*Tabela3[[#This Row],[Retorno_Diário]]</f>
        <v>0</v>
      </c>
    </row>
    <row r="214" spans="1:8" x14ac:dyDescent="0.2">
      <c r="A214" s="11" t="s">
        <v>1432</v>
      </c>
      <c r="B214" s="4" t="s">
        <v>1434</v>
      </c>
      <c r="C214" s="5">
        <f t="shared" si="7"/>
        <v>-1.462565824994122E-2</v>
      </c>
      <c r="D214" s="5" t="str">
        <f t="shared" ca="1" si="6"/>
        <v/>
      </c>
      <c r="E214" s="5"/>
      <c r="F214" s="5">
        <f>IF(Tabela3[[#This Row],[Retorno_Diário]]&gt;0,1,-1)</f>
        <v>-1</v>
      </c>
      <c r="G214" s="5">
        <f>Tabela3[[#This Row],[Sinal_TSMOM]]*(0.4*Tabela3[[#This Row],[Volatilidade]])</f>
        <v>0</v>
      </c>
      <c r="H214" s="5">
        <f>Tabela3[[#This Row],[Position_Size]]*Tabela3[[#This Row],[Retorno_Diário]]</f>
        <v>0</v>
      </c>
    </row>
    <row r="215" spans="1:8" x14ac:dyDescent="0.2">
      <c r="A215" s="11" t="s">
        <v>1438</v>
      </c>
      <c r="B215" s="4" t="s">
        <v>1440</v>
      </c>
      <c r="C215" s="5">
        <f t="shared" si="7"/>
        <v>-1.465664086912255E-2</v>
      </c>
      <c r="D215" s="5" t="str">
        <f t="shared" ca="1" si="6"/>
        <v/>
      </c>
      <c r="E215" s="5"/>
      <c r="F215" s="5">
        <f>IF(Tabela3[[#This Row],[Retorno_Diário]]&gt;0,1,-1)</f>
        <v>-1</v>
      </c>
      <c r="G215" s="5">
        <f>Tabela3[[#This Row],[Sinal_TSMOM]]*(0.4*Tabela3[[#This Row],[Volatilidade]])</f>
        <v>0</v>
      </c>
      <c r="H215" s="5">
        <f>Tabela3[[#This Row],[Position_Size]]*Tabela3[[#This Row],[Retorno_Diário]]</f>
        <v>0</v>
      </c>
    </row>
    <row r="216" spans="1:8" x14ac:dyDescent="0.2">
      <c r="A216" s="11" t="s">
        <v>1445</v>
      </c>
      <c r="B216" s="4" t="s">
        <v>1447</v>
      </c>
      <c r="C216" s="5">
        <f t="shared" si="7"/>
        <v>-3.352653603171718E-3</v>
      </c>
      <c r="D216" s="5" t="str">
        <f t="shared" ca="1" si="6"/>
        <v/>
      </c>
      <c r="E216" s="5"/>
      <c r="F216" s="5">
        <f>IF(Tabela3[[#This Row],[Retorno_Diário]]&gt;0,1,-1)</f>
        <v>-1</v>
      </c>
      <c r="G216" s="5">
        <f>Tabela3[[#This Row],[Sinal_TSMOM]]*(0.4*Tabela3[[#This Row],[Volatilidade]])</f>
        <v>0</v>
      </c>
      <c r="H216" s="5">
        <f>Tabela3[[#This Row],[Position_Size]]*Tabela3[[#This Row],[Retorno_Diário]]</f>
        <v>0</v>
      </c>
    </row>
    <row r="217" spans="1:8" x14ac:dyDescent="0.2">
      <c r="A217" s="11" t="s">
        <v>1452</v>
      </c>
      <c r="B217" s="4" t="s">
        <v>1454</v>
      </c>
      <c r="C217" s="5">
        <f t="shared" si="7"/>
        <v>1.2934653566275989E-2</v>
      </c>
      <c r="D217" s="5" t="str">
        <f t="shared" ca="1" si="6"/>
        <v/>
      </c>
      <c r="E217" s="5"/>
      <c r="F217" s="5">
        <f>IF(Tabela3[[#This Row],[Retorno_Diário]]&gt;0,1,-1)</f>
        <v>1</v>
      </c>
      <c r="G217" s="5">
        <f>Tabela3[[#This Row],[Sinal_TSMOM]]*(0.4*Tabela3[[#This Row],[Volatilidade]])</f>
        <v>0</v>
      </c>
      <c r="H217" s="5">
        <f>Tabela3[[#This Row],[Position_Size]]*Tabela3[[#This Row],[Retorno_Diário]]</f>
        <v>0</v>
      </c>
    </row>
    <row r="218" spans="1:8" x14ac:dyDescent="0.2">
      <c r="A218" s="11" t="s">
        <v>1459</v>
      </c>
      <c r="B218" s="4" t="s">
        <v>1461</v>
      </c>
      <c r="C218" s="5">
        <f t="shared" si="7"/>
        <v>-3.6484343976533662E-2</v>
      </c>
      <c r="D218" s="5" t="str">
        <f t="shared" ca="1" si="6"/>
        <v/>
      </c>
      <c r="E218" s="5"/>
      <c r="F218" s="5">
        <f>IF(Tabela3[[#This Row],[Retorno_Diário]]&gt;0,1,-1)</f>
        <v>-1</v>
      </c>
      <c r="G218" s="5">
        <f>Tabela3[[#This Row],[Sinal_TSMOM]]*(0.4*Tabela3[[#This Row],[Volatilidade]])</f>
        <v>0</v>
      </c>
      <c r="H218" s="5">
        <f>Tabela3[[#This Row],[Position_Size]]*Tabela3[[#This Row],[Retorno_Diário]]</f>
        <v>0</v>
      </c>
    </row>
    <row r="219" spans="1:8" x14ac:dyDescent="0.2">
      <c r="A219" s="11" t="s">
        <v>1466</v>
      </c>
      <c r="B219" s="4" t="s">
        <v>1468</v>
      </c>
      <c r="C219" s="5">
        <f t="shared" si="7"/>
        <v>-1.5535459932666251E-3</v>
      </c>
      <c r="D219" s="5" t="str">
        <f t="shared" ca="1" si="6"/>
        <v/>
      </c>
      <c r="E219" s="5"/>
      <c r="F219" s="5">
        <f>IF(Tabela3[[#This Row],[Retorno_Diário]]&gt;0,1,-1)</f>
        <v>-1</v>
      </c>
      <c r="G219" s="5">
        <f>Tabela3[[#This Row],[Sinal_TSMOM]]*(0.4*Tabela3[[#This Row],[Volatilidade]])</f>
        <v>0</v>
      </c>
      <c r="H219" s="5">
        <f>Tabela3[[#This Row],[Position_Size]]*Tabela3[[#This Row],[Retorno_Diário]]</f>
        <v>0</v>
      </c>
    </row>
    <row r="220" spans="1:8" x14ac:dyDescent="0.2">
      <c r="A220" s="11" t="s">
        <v>1473</v>
      </c>
      <c r="B220" s="4" t="s">
        <v>1475</v>
      </c>
      <c r="C220" s="5">
        <f t="shared" si="7"/>
        <v>-7.8426557430838262E-2</v>
      </c>
      <c r="D220" s="5" t="str">
        <f t="shared" ca="1" si="6"/>
        <v/>
      </c>
      <c r="E220" s="5"/>
      <c r="F220" s="5">
        <f>IF(Tabela3[[#This Row],[Retorno_Diário]]&gt;0,1,-1)</f>
        <v>-1</v>
      </c>
      <c r="G220" s="5">
        <f>Tabela3[[#This Row],[Sinal_TSMOM]]*(0.4*Tabela3[[#This Row],[Volatilidade]])</f>
        <v>0</v>
      </c>
      <c r="H220" s="5">
        <f>Tabela3[[#This Row],[Position_Size]]*Tabela3[[#This Row],[Retorno_Diário]]</f>
        <v>0</v>
      </c>
    </row>
    <row r="221" spans="1:8" x14ac:dyDescent="0.2">
      <c r="A221" s="11" t="s">
        <v>1480</v>
      </c>
      <c r="B221" s="4" t="s">
        <v>1482</v>
      </c>
      <c r="C221" s="5">
        <f t="shared" si="7"/>
        <v>5.1545808718718833E-2</v>
      </c>
      <c r="D221" s="5" t="str">
        <f t="shared" ca="1" si="6"/>
        <v/>
      </c>
      <c r="E221" s="5"/>
      <c r="F221" s="5">
        <f>IF(Tabela3[[#This Row],[Retorno_Diário]]&gt;0,1,-1)</f>
        <v>1</v>
      </c>
      <c r="G221" s="5">
        <f>Tabela3[[#This Row],[Sinal_TSMOM]]*(0.4*Tabela3[[#This Row],[Volatilidade]])</f>
        <v>0</v>
      </c>
      <c r="H221" s="5">
        <f>Tabela3[[#This Row],[Position_Size]]*Tabela3[[#This Row],[Retorno_Diário]]</f>
        <v>0</v>
      </c>
    </row>
    <row r="222" spans="1:8" x14ac:dyDescent="0.2">
      <c r="A222" s="11" t="s">
        <v>1487</v>
      </c>
      <c r="B222" s="4" t="s">
        <v>1489</v>
      </c>
      <c r="C222" s="5">
        <f t="shared" si="7"/>
        <v>-1.0636691374508511E-2</v>
      </c>
      <c r="D222" s="5" t="str">
        <f t="shared" ca="1" si="6"/>
        <v/>
      </c>
      <c r="E222" s="5"/>
      <c r="F222" s="5">
        <f>IF(Tabela3[[#This Row],[Retorno_Diário]]&gt;0,1,-1)</f>
        <v>-1</v>
      </c>
      <c r="G222" s="5">
        <f>Tabela3[[#This Row],[Sinal_TSMOM]]*(0.4*Tabela3[[#This Row],[Volatilidade]])</f>
        <v>0</v>
      </c>
      <c r="H222" s="5">
        <f>Tabela3[[#This Row],[Position_Size]]*Tabela3[[#This Row],[Retorno_Diário]]</f>
        <v>0</v>
      </c>
    </row>
    <row r="223" spans="1:8" x14ac:dyDescent="0.2">
      <c r="A223" s="11" t="s">
        <v>1494</v>
      </c>
      <c r="B223" s="4" t="s">
        <v>1496</v>
      </c>
      <c r="C223" s="5">
        <f t="shared" si="7"/>
        <v>2.6370529001730425E-2</v>
      </c>
      <c r="D223" s="5" t="str">
        <f t="shared" ca="1" si="6"/>
        <v/>
      </c>
      <c r="E223" s="5"/>
      <c r="F223" s="5">
        <f>IF(Tabela3[[#This Row],[Retorno_Diário]]&gt;0,1,-1)</f>
        <v>1</v>
      </c>
      <c r="G223" s="5">
        <f>Tabela3[[#This Row],[Sinal_TSMOM]]*(0.4*Tabela3[[#This Row],[Volatilidade]])</f>
        <v>0</v>
      </c>
      <c r="H223" s="5">
        <f>Tabela3[[#This Row],[Position_Size]]*Tabela3[[#This Row],[Retorno_Diário]]</f>
        <v>0</v>
      </c>
    </row>
    <row r="224" spans="1:8" x14ac:dyDescent="0.2">
      <c r="A224" s="11" t="s">
        <v>1501</v>
      </c>
      <c r="B224" s="4" t="s">
        <v>1503</v>
      </c>
      <c r="C224" s="5">
        <f t="shared" si="7"/>
        <v>-0.18755864750616569</v>
      </c>
      <c r="D224" s="5" t="str">
        <f t="shared" ca="1" si="6"/>
        <v/>
      </c>
      <c r="E224" s="5"/>
      <c r="F224" s="5">
        <f>IF(Tabela3[[#This Row],[Retorno_Diário]]&gt;0,1,-1)</f>
        <v>-1</v>
      </c>
      <c r="G224" s="5">
        <f>Tabela3[[#This Row],[Sinal_TSMOM]]*(0.4*Tabela3[[#This Row],[Volatilidade]])</f>
        <v>0</v>
      </c>
      <c r="H224" s="5">
        <f>Tabela3[[#This Row],[Position_Size]]*Tabela3[[#This Row],[Retorno_Diário]]</f>
        <v>0</v>
      </c>
    </row>
    <row r="225" spans="1:8" x14ac:dyDescent="0.2">
      <c r="A225" s="11" t="s">
        <v>1508</v>
      </c>
      <c r="B225" s="4" t="s">
        <v>1510</v>
      </c>
      <c r="C225" s="5">
        <f t="shared" si="7"/>
        <v>-0.11999029564076258</v>
      </c>
      <c r="D225" s="5" t="str">
        <f t="shared" ca="1" si="6"/>
        <v/>
      </c>
      <c r="E225" s="5"/>
      <c r="F225" s="5">
        <f>IF(Tabela3[[#This Row],[Retorno_Diário]]&gt;0,1,-1)</f>
        <v>-1</v>
      </c>
      <c r="G225" s="5">
        <f>Tabela3[[#This Row],[Sinal_TSMOM]]*(0.4*Tabela3[[#This Row],[Volatilidade]])</f>
        <v>0</v>
      </c>
      <c r="H225" s="5">
        <f>Tabela3[[#This Row],[Position_Size]]*Tabela3[[#This Row],[Retorno_Diário]]</f>
        <v>0</v>
      </c>
    </row>
    <row r="226" spans="1:8" x14ac:dyDescent="0.2">
      <c r="A226" s="11" t="s">
        <v>1515</v>
      </c>
      <c r="B226" s="4" t="s">
        <v>1517</v>
      </c>
      <c r="C226" s="5">
        <f t="shared" si="7"/>
        <v>3.0269503611539239E-2</v>
      </c>
      <c r="D226" s="5" t="str">
        <f t="shared" ca="1" si="6"/>
        <v/>
      </c>
      <c r="E226" s="5"/>
      <c r="F226" s="5">
        <f>IF(Tabela3[[#This Row],[Retorno_Diário]]&gt;0,1,-1)</f>
        <v>1</v>
      </c>
      <c r="G226" s="5">
        <f>Tabela3[[#This Row],[Sinal_TSMOM]]*(0.4*Tabela3[[#This Row],[Volatilidade]])</f>
        <v>0</v>
      </c>
      <c r="H226" s="5">
        <f>Tabela3[[#This Row],[Position_Size]]*Tabela3[[#This Row],[Retorno_Diário]]</f>
        <v>0</v>
      </c>
    </row>
    <row r="227" spans="1:8" x14ac:dyDescent="0.2">
      <c r="A227" s="11" t="s">
        <v>1522</v>
      </c>
      <c r="B227" s="4" t="s">
        <v>1524</v>
      </c>
      <c r="C227" s="5">
        <f t="shared" si="7"/>
        <v>-2.9313138910775471E-2</v>
      </c>
      <c r="D227" s="5" t="str">
        <f t="shared" ca="1" si="6"/>
        <v/>
      </c>
      <c r="E227" s="5"/>
      <c r="F227" s="5">
        <f>IF(Tabela3[[#This Row],[Retorno_Diário]]&gt;0,1,-1)</f>
        <v>-1</v>
      </c>
      <c r="G227" s="5">
        <f>Tabela3[[#This Row],[Sinal_TSMOM]]*(0.4*Tabela3[[#This Row],[Volatilidade]])</f>
        <v>0</v>
      </c>
      <c r="H227" s="5">
        <f>Tabela3[[#This Row],[Position_Size]]*Tabela3[[#This Row],[Retorno_Diário]]</f>
        <v>0</v>
      </c>
    </row>
    <row r="228" spans="1:8" x14ac:dyDescent="0.2">
      <c r="A228" s="11" t="s">
        <v>1529</v>
      </c>
      <c r="B228" s="4" t="s">
        <v>1531</v>
      </c>
      <c r="C228" s="5">
        <f t="shared" si="7"/>
        <v>2.0040275622494885E-3</v>
      </c>
      <c r="D228" s="5" t="str">
        <f t="shared" ca="1" si="6"/>
        <v/>
      </c>
      <c r="E228" s="5"/>
      <c r="F228" s="5">
        <f>IF(Tabela3[[#This Row],[Retorno_Diário]]&gt;0,1,-1)</f>
        <v>1</v>
      </c>
      <c r="G228" s="5">
        <f>Tabela3[[#This Row],[Sinal_TSMOM]]*(0.4*Tabela3[[#This Row],[Volatilidade]])</f>
        <v>0</v>
      </c>
      <c r="H228" s="5">
        <f>Tabela3[[#This Row],[Position_Size]]*Tabela3[[#This Row],[Retorno_Diário]]</f>
        <v>0</v>
      </c>
    </row>
    <row r="229" spans="1:8" x14ac:dyDescent="0.2">
      <c r="A229" s="11" t="s">
        <v>1536</v>
      </c>
      <c r="B229" s="4" t="s">
        <v>1538</v>
      </c>
      <c r="C229" s="5">
        <f t="shared" si="7"/>
        <v>5.5517262425914371E-2</v>
      </c>
      <c r="D229" s="5" t="str">
        <f t="shared" ca="1" si="6"/>
        <v/>
      </c>
      <c r="E229" s="5"/>
      <c r="F229" s="5">
        <f>IF(Tabela3[[#This Row],[Retorno_Diário]]&gt;0,1,-1)</f>
        <v>1</v>
      </c>
      <c r="G229" s="5">
        <f>Tabela3[[#This Row],[Sinal_TSMOM]]*(0.4*Tabela3[[#This Row],[Volatilidade]])</f>
        <v>0</v>
      </c>
      <c r="H229" s="5">
        <f>Tabela3[[#This Row],[Position_Size]]*Tabela3[[#This Row],[Retorno_Diário]]</f>
        <v>0</v>
      </c>
    </row>
    <row r="230" spans="1:8" x14ac:dyDescent="0.2">
      <c r="A230" s="11" t="s">
        <v>1543</v>
      </c>
      <c r="B230" s="4" t="s">
        <v>1545</v>
      </c>
      <c r="C230" s="5">
        <f t="shared" si="7"/>
        <v>4.4429819292277628E-3</v>
      </c>
      <c r="D230" s="5" t="str">
        <f t="shared" ca="1" si="6"/>
        <v/>
      </c>
      <c r="E230" s="5"/>
      <c r="F230" s="5">
        <f>IF(Tabela3[[#This Row],[Retorno_Diário]]&gt;0,1,-1)</f>
        <v>1</v>
      </c>
      <c r="G230" s="5">
        <f>Tabela3[[#This Row],[Sinal_TSMOM]]*(0.4*Tabela3[[#This Row],[Volatilidade]])</f>
        <v>0</v>
      </c>
      <c r="H230" s="5">
        <f>Tabela3[[#This Row],[Position_Size]]*Tabela3[[#This Row],[Retorno_Diário]]</f>
        <v>0</v>
      </c>
    </row>
    <row r="231" spans="1:8" x14ac:dyDescent="0.2">
      <c r="A231" s="11" t="s">
        <v>1550</v>
      </c>
      <c r="B231" s="4" t="s">
        <v>1552</v>
      </c>
      <c r="C231" s="5">
        <f t="shared" si="7"/>
        <v>4.1241125255035982E-2</v>
      </c>
      <c r="D231" s="5" t="str">
        <f t="shared" ca="1" si="6"/>
        <v/>
      </c>
      <c r="E231" s="5"/>
      <c r="F231" s="5">
        <f>IF(Tabela3[[#This Row],[Retorno_Diário]]&gt;0,1,-1)</f>
        <v>1</v>
      </c>
      <c r="G231" s="5">
        <f>Tabela3[[#This Row],[Sinal_TSMOM]]*(0.4*Tabela3[[#This Row],[Volatilidade]])</f>
        <v>0</v>
      </c>
      <c r="H231" s="5">
        <f>Tabela3[[#This Row],[Position_Size]]*Tabela3[[#This Row],[Retorno_Diário]]</f>
        <v>0</v>
      </c>
    </row>
    <row r="232" spans="1:8" x14ac:dyDescent="0.2">
      <c r="A232" s="11" t="s">
        <v>1557</v>
      </c>
      <c r="B232" s="4" t="s">
        <v>1559</v>
      </c>
      <c r="C232" s="5">
        <f t="shared" si="7"/>
        <v>-1.6930087397010407E-2</v>
      </c>
      <c r="D232" s="5" t="str">
        <f t="shared" ca="1" si="6"/>
        <v/>
      </c>
      <c r="E232" s="5"/>
      <c r="F232" s="5">
        <f>IF(Tabela3[[#This Row],[Retorno_Diário]]&gt;0,1,-1)</f>
        <v>-1</v>
      </c>
      <c r="G232" s="5">
        <f>Tabela3[[#This Row],[Sinal_TSMOM]]*(0.4*Tabela3[[#This Row],[Volatilidade]])</f>
        <v>0</v>
      </c>
      <c r="H232" s="5">
        <f>Tabela3[[#This Row],[Position_Size]]*Tabela3[[#This Row],[Retorno_Diário]]</f>
        <v>0</v>
      </c>
    </row>
    <row r="233" spans="1:8" x14ac:dyDescent="0.2">
      <c r="A233" s="11" t="s">
        <v>1564</v>
      </c>
      <c r="B233" s="4" t="s">
        <v>1566</v>
      </c>
      <c r="C233" s="5">
        <f t="shared" si="7"/>
        <v>3.857399266635686E-2</v>
      </c>
      <c r="D233" s="5" t="str">
        <f t="shared" ca="1" si="6"/>
        <v/>
      </c>
      <c r="E233" s="5"/>
      <c r="F233" s="5">
        <f>IF(Tabela3[[#This Row],[Retorno_Diário]]&gt;0,1,-1)</f>
        <v>1</v>
      </c>
      <c r="G233" s="5">
        <f>Tabela3[[#This Row],[Sinal_TSMOM]]*(0.4*Tabela3[[#This Row],[Volatilidade]])</f>
        <v>0</v>
      </c>
      <c r="H233" s="5">
        <f>Tabela3[[#This Row],[Position_Size]]*Tabela3[[#This Row],[Retorno_Diário]]</f>
        <v>0</v>
      </c>
    </row>
    <row r="234" spans="1:8" x14ac:dyDescent="0.2">
      <c r="A234" s="11" t="s">
        <v>1571</v>
      </c>
      <c r="B234" s="4" t="s">
        <v>1573</v>
      </c>
      <c r="C234" s="5">
        <f t="shared" si="7"/>
        <v>4.0445406683762286E-2</v>
      </c>
      <c r="D234" s="5" t="str">
        <f t="shared" ca="1" si="6"/>
        <v/>
      </c>
      <c r="E234" s="5"/>
      <c r="F234" s="5">
        <f>IF(Tabela3[[#This Row],[Retorno_Diário]]&gt;0,1,-1)</f>
        <v>1</v>
      </c>
      <c r="G234" s="5">
        <f>Tabela3[[#This Row],[Sinal_TSMOM]]*(0.4*Tabela3[[#This Row],[Volatilidade]])</f>
        <v>0</v>
      </c>
      <c r="H234" s="5">
        <f>Tabela3[[#This Row],[Position_Size]]*Tabela3[[#This Row],[Retorno_Diário]]</f>
        <v>0</v>
      </c>
    </row>
    <row r="235" spans="1:8" x14ac:dyDescent="0.2">
      <c r="A235" s="11" t="s">
        <v>1578</v>
      </c>
      <c r="B235" s="4" t="s">
        <v>1580</v>
      </c>
      <c r="C235" s="5">
        <f t="shared" si="7"/>
        <v>-7.6040889768505537E-2</v>
      </c>
      <c r="D235" s="5" t="str">
        <f t="shared" ca="1" si="6"/>
        <v/>
      </c>
      <c r="E235" s="5"/>
      <c r="F235" s="5">
        <f>IF(Tabela3[[#This Row],[Retorno_Diário]]&gt;0,1,-1)</f>
        <v>-1</v>
      </c>
      <c r="G235" s="5">
        <f>Tabela3[[#This Row],[Sinal_TSMOM]]*(0.4*Tabela3[[#This Row],[Volatilidade]])</f>
        <v>0</v>
      </c>
      <c r="H235" s="5">
        <f>Tabela3[[#This Row],[Position_Size]]*Tabela3[[#This Row],[Retorno_Diário]]</f>
        <v>0</v>
      </c>
    </row>
    <row r="236" spans="1:8" x14ac:dyDescent="0.2">
      <c r="A236" s="11" t="s">
        <v>1585</v>
      </c>
      <c r="B236" s="4" t="s">
        <v>1587</v>
      </c>
      <c r="C236" s="5">
        <f t="shared" si="7"/>
        <v>7.5106630509869099E-3</v>
      </c>
      <c r="D236" s="5" t="str">
        <f t="shared" ca="1" si="6"/>
        <v/>
      </c>
      <c r="E236" s="5"/>
      <c r="F236" s="5">
        <f>IF(Tabela3[[#This Row],[Retorno_Diário]]&gt;0,1,-1)</f>
        <v>1</v>
      </c>
      <c r="G236" s="5">
        <f>Tabela3[[#This Row],[Sinal_TSMOM]]*(0.4*Tabela3[[#This Row],[Volatilidade]])</f>
        <v>0</v>
      </c>
      <c r="H236" s="5">
        <f>Tabela3[[#This Row],[Position_Size]]*Tabela3[[#This Row],[Retorno_Diário]]</f>
        <v>0</v>
      </c>
    </row>
    <row r="237" spans="1:8" x14ac:dyDescent="0.2">
      <c r="A237" s="11" t="s">
        <v>1592</v>
      </c>
      <c r="B237" s="4" t="s">
        <v>1594</v>
      </c>
      <c r="C237" s="5">
        <f t="shared" si="7"/>
        <v>-6.7471145463495752E-2</v>
      </c>
      <c r="D237" s="5" t="str">
        <f t="shared" ca="1" si="6"/>
        <v/>
      </c>
      <c r="E237" s="5"/>
      <c r="F237" s="5">
        <f>IF(Tabela3[[#This Row],[Retorno_Diário]]&gt;0,1,-1)</f>
        <v>-1</v>
      </c>
      <c r="G237" s="5">
        <f>Tabela3[[#This Row],[Sinal_TSMOM]]*(0.4*Tabela3[[#This Row],[Volatilidade]])</f>
        <v>0</v>
      </c>
      <c r="H237" s="5">
        <f>Tabela3[[#This Row],[Position_Size]]*Tabela3[[#This Row],[Retorno_Diário]]</f>
        <v>0</v>
      </c>
    </row>
    <row r="238" spans="1:8" x14ac:dyDescent="0.2">
      <c r="A238" s="11" t="s">
        <v>1599</v>
      </c>
      <c r="B238" s="4" t="s">
        <v>1601</v>
      </c>
      <c r="C238" s="5">
        <f t="shared" si="7"/>
        <v>2.8792100803527232E-2</v>
      </c>
      <c r="D238" s="5" t="str">
        <f t="shared" ca="1" si="6"/>
        <v/>
      </c>
      <c r="E238" s="5"/>
      <c r="F238" s="5">
        <f>IF(Tabela3[[#This Row],[Retorno_Diário]]&gt;0,1,-1)</f>
        <v>1</v>
      </c>
      <c r="G238" s="5">
        <f>Tabela3[[#This Row],[Sinal_TSMOM]]*(0.4*Tabela3[[#This Row],[Volatilidade]])</f>
        <v>0</v>
      </c>
      <c r="H238" s="5">
        <f>Tabela3[[#This Row],[Position_Size]]*Tabela3[[#This Row],[Retorno_Diário]]</f>
        <v>0</v>
      </c>
    </row>
    <row r="239" spans="1:8" x14ac:dyDescent="0.2">
      <c r="A239" s="11" t="s">
        <v>1606</v>
      </c>
      <c r="B239" s="4" t="s">
        <v>1608</v>
      </c>
      <c r="C239" s="5">
        <f t="shared" si="7"/>
        <v>-2.4166971506264345E-2</v>
      </c>
      <c r="D239" s="5" t="str">
        <f t="shared" ca="1" si="6"/>
        <v/>
      </c>
      <c r="E239" s="5"/>
      <c r="F239" s="5">
        <f>IF(Tabela3[[#This Row],[Retorno_Diário]]&gt;0,1,-1)</f>
        <v>-1</v>
      </c>
      <c r="G239" s="5">
        <f>Tabela3[[#This Row],[Sinal_TSMOM]]*(0.4*Tabela3[[#This Row],[Volatilidade]])</f>
        <v>0</v>
      </c>
      <c r="H239" s="5">
        <f>Tabela3[[#This Row],[Position_Size]]*Tabela3[[#This Row],[Retorno_Diário]]</f>
        <v>0</v>
      </c>
    </row>
    <row r="240" spans="1:8" x14ac:dyDescent="0.2">
      <c r="A240" s="11" t="s">
        <v>1612</v>
      </c>
      <c r="B240" s="4" t="s">
        <v>1614</v>
      </c>
      <c r="C240" s="5">
        <f t="shared" si="7"/>
        <v>4.7911531150823805E-3</v>
      </c>
      <c r="D240" s="5" t="str">
        <f t="shared" ca="1" si="6"/>
        <v/>
      </c>
      <c r="E240" s="5"/>
      <c r="F240" s="5">
        <f>IF(Tabela3[[#This Row],[Retorno_Diário]]&gt;0,1,-1)</f>
        <v>1</v>
      </c>
      <c r="G240" s="5">
        <f>Tabela3[[#This Row],[Sinal_TSMOM]]*(0.4*Tabela3[[#This Row],[Volatilidade]])</f>
        <v>0</v>
      </c>
      <c r="H240" s="5">
        <f>Tabela3[[#This Row],[Position_Size]]*Tabela3[[#This Row],[Retorno_Diário]]</f>
        <v>0</v>
      </c>
    </row>
    <row r="241" spans="1:8" x14ac:dyDescent="0.2">
      <c r="A241" s="11" t="s">
        <v>1619</v>
      </c>
      <c r="B241" s="4" t="s">
        <v>1621</v>
      </c>
      <c r="C241" s="5">
        <f t="shared" si="7"/>
        <v>-6.7186322015633237E-5</v>
      </c>
      <c r="D241" s="5" t="str">
        <f t="shared" ca="1" si="6"/>
        <v/>
      </c>
      <c r="E241" s="5"/>
      <c r="F241" s="5">
        <f>IF(Tabela3[[#This Row],[Retorno_Diário]]&gt;0,1,-1)</f>
        <v>-1</v>
      </c>
      <c r="G241" s="5">
        <f>Tabela3[[#This Row],[Sinal_TSMOM]]*(0.4*Tabela3[[#This Row],[Volatilidade]])</f>
        <v>0</v>
      </c>
      <c r="H241" s="5">
        <f>Tabela3[[#This Row],[Position_Size]]*Tabela3[[#This Row],[Retorno_Diário]]</f>
        <v>0</v>
      </c>
    </row>
    <row r="242" spans="1:8" x14ac:dyDescent="0.2">
      <c r="A242" s="11" t="s">
        <v>1626</v>
      </c>
      <c r="B242" s="4" t="s">
        <v>1628</v>
      </c>
      <c r="C242" s="5">
        <f t="shared" si="7"/>
        <v>-1.6387902626196382E-2</v>
      </c>
      <c r="D242" s="5" t="str">
        <f t="shared" ca="1" si="6"/>
        <v/>
      </c>
      <c r="E242" s="5"/>
      <c r="F242" s="5">
        <f>IF(Tabela3[[#This Row],[Retorno_Diário]]&gt;0,1,-1)</f>
        <v>-1</v>
      </c>
      <c r="G242" s="5">
        <f>Tabela3[[#This Row],[Sinal_TSMOM]]*(0.4*Tabela3[[#This Row],[Volatilidade]])</f>
        <v>0</v>
      </c>
      <c r="H242" s="5">
        <f>Tabela3[[#This Row],[Position_Size]]*Tabela3[[#This Row],[Retorno_Diário]]</f>
        <v>0</v>
      </c>
    </row>
    <row r="243" spans="1:8" x14ac:dyDescent="0.2">
      <c r="A243" s="11" t="s">
        <v>1633</v>
      </c>
      <c r="B243" s="4" t="s">
        <v>1635</v>
      </c>
      <c r="C243" s="5">
        <f t="shared" si="7"/>
        <v>-1.9597176316629827E-2</v>
      </c>
      <c r="D243" s="5" t="str">
        <f t="shared" ca="1" si="6"/>
        <v/>
      </c>
      <c r="E243" s="5"/>
      <c r="F243" s="5">
        <f>IF(Tabela3[[#This Row],[Retorno_Diário]]&gt;0,1,-1)</f>
        <v>-1</v>
      </c>
      <c r="G243" s="5">
        <f>Tabela3[[#This Row],[Sinal_TSMOM]]*(0.4*Tabela3[[#This Row],[Volatilidade]])</f>
        <v>0</v>
      </c>
      <c r="H243" s="5">
        <f>Tabela3[[#This Row],[Position_Size]]*Tabela3[[#This Row],[Retorno_Diário]]</f>
        <v>0</v>
      </c>
    </row>
    <row r="244" spans="1:8" x14ac:dyDescent="0.2">
      <c r="A244" s="11" t="s">
        <v>1640</v>
      </c>
      <c r="B244" s="4" t="s">
        <v>1642</v>
      </c>
      <c r="C244" s="5">
        <f t="shared" si="7"/>
        <v>2.3401619107600302E-2</v>
      </c>
      <c r="D244" s="5" t="str">
        <f t="shared" ca="1" si="6"/>
        <v/>
      </c>
      <c r="E244" s="5"/>
      <c r="F244" s="5">
        <f>IF(Tabela3[[#This Row],[Retorno_Diário]]&gt;0,1,-1)</f>
        <v>1</v>
      </c>
      <c r="G244" s="5">
        <f>Tabela3[[#This Row],[Sinal_TSMOM]]*(0.4*Tabela3[[#This Row],[Volatilidade]])</f>
        <v>0</v>
      </c>
      <c r="H244" s="5">
        <f>Tabela3[[#This Row],[Position_Size]]*Tabela3[[#This Row],[Retorno_Diário]]</f>
        <v>0</v>
      </c>
    </row>
    <row r="245" spans="1:8" x14ac:dyDescent="0.2">
      <c r="A245" s="11" t="s">
        <v>1647</v>
      </c>
      <c r="B245" s="4" t="s">
        <v>1649</v>
      </c>
      <c r="C245" s="5">
        <f t="shared" si="7"/>
        <v>-5.7370382331621061E-2</v>
      </c>
      <c r="D245" s="5" t="str">
        <f t="shared" ca="1" si="6"/>
        <v/>
      </c>
      <c r="E245" s="5"/>
      <c r="F245" s="5">
        <f>IF(Tabela3[[#This Row],[Retorno_Diário]]&gt;0,1,-1)</f>
        <v>-1</v>
      </c>
      <c r="G245" s="5">
        <f>Tabela3[[#This Row],[Sinal_TSMOM]]*(0.4*Tabela3[[#This Row],[Volatilidade]])</f>
        <v>0</v>
      </c>
      <c r="H245" s="5">
        <f>Tabela3[[#This Row],[Position_Size]]*Tabela3[[#This Row],[Retorno_Diário]]</f>
        <v>0</v>
      </c>
    </row>
    <row r="246" spans="1:8" x14ac:dyDescent="0.2">
      <c r="A246" s="11" t="s">
        <v>1654</v>
      </c>
      <c r="B246" s="4" t="s">
        <v>1656</v>
      </c>
      <c r="C246" s="5">
        <f t="shared" si="7"/>
        <v>-2.4619132727150328E-2</v>
      </c>
      <c r="D246" s="5" t="str">
        <f t="shared" ca="1" si="6"/>
        <v/>
      </c>
      <c r="E246" s="5"/>
      <c r="F246" s="5">
        <f>IF(Tabela3[[#This Row],[Retorno_Diário]]&gt;0,1,-1)</f>
        <v>-1</v>
      </c>
      <c r="G246" s="5">
        <f>Tabela3[[#This Row],[Sinal_TSMOM]]*(0.4*Tabela3[[#This Row],[Volatilidade]])</f>
        <v>0</v>
      </c>
      <c r="H246" s="5">
        <f>Tabela3[[#This Row],[Position_Size]]*Tabela3[[#This Row],[Retorno_Diário]]</f>
        <v>0</v>
      </c>
    </row>
    <row r="247" spans="1:8" x14ac:dyDescent="0.2">
      <c r="A247" s="11" t="s">
        <v>1661</v>
      </c>
      <c r="B247" s="4" t="s">
        <v>1663</v>
      </c>
      <c r="C247" s="5">
        <f t="shared" si="7"/>
        <v>-4.0932675112178907E-2</v>
      </c>
      <c r="D247" s="5" t="str">
        <f t="shared" ca="1" si="6"/>
        <v/>
      </c>
      <c r="E247" s="5"/>
      <c r="F247" s="5">
        <f>IF(Tabela3[[#This Row],[Retorno_Diário]]&gt;0,1,-1)</f>
        <v>-1</v>
      </c>
      <c r="G247" s="5">
        <f>Tabela3[[#This Row],[Sinal_TSMOM]]*(0.4*Tabela3[[#This Row],[Volatilidade]])</f>
        <v>0</v>
      </c>
      <c r="H247" s="5">
        <f>Tabela3[[#This Row],[Position_Size]]*Tabela3[[#This Row],[Retorno_Diário]]</f>
        <v>0</v>
      </c>
    </row>
    <row r="248" spans="1:8" x14ac:dyDescent="0.2">
      <c r="A248" s="11" t="s">
        <v>1668</v>
      </c>
      <c r="B248" s="4" t="s">
        <v>1670</v>
      </c>
      <c r="C248" s="5">
        <f t="shared" si="7"/>
        <v>-1.921738055830613E-2</v>
      </c>
      <c r="D248" s="5" t="str">
        <f t="shared" ca="1" si="6"/>
        <v/>
      </c>
      <c r="E248" s="5"/>
      <c r="F248" s="5">
        <f>IF(Tabela3[[#This Row],[Retorno_Diário]]&gt;0,1,-1)</f>
        <v>-1</v>
      </c>
      <c r="G248" s="5">
        <f>Tabela3[[#This Row],[Sinal_TSMOM]]*(0.4*Tabela3[[#This Row],[Volatilidade]])</f>
        <v>0</v>
      </c>
      <c r="H248" s="5">
        <f>Tabela3[[#This Row],[Position_Size]]*Tabela3[[#This Row],[Retorno_Diário]]</f>
        <v>0</v>
      </c>
    </row>
    <row r="249" spans="1:8" x14ac:dyDescent="0.2">
      <c r="A249" s="11" t="s">
        <v>1675</v>
      </c>
      <c r="B249" s="4" t="s">
        <v>1677</v>
      </c>
      <c r="C249" s="5">
        <f t="shared" si="7"/>
        <v>4.7371752269217415E-2</v>
      </c>
      <c r="D249" s="5" t="str">
        <f t="shared" ca="1" si="6"/>
        <v/>
      </c>
      <c r="E249" s="5"/>
      <c r="F249" s="5">
        <f>IF(Tabela3[[#This Row],[Retorno_Diário]]&gt;0,1,-1)</f>
        <v>1</v>
      </c>
      <c r="G249" s="5">
        <f>Tabela3[[#This Row],[Sinal_TSMOM]]*(0.4*Tabela3[[#This Row],[Volatilidade]])</f>
        <v>0</v>
      </c>
      <c r="H249" s="5">
        <f>Tabela3[[#This Row],[Position_Size]]*Tabela3[[#This Row],[Retorno_Diário]]</f>
        <v>0</v>
      </c>
    </row>
    <row r="250" spans="1:8" x14ac:dyDescent="0.2">
      <c r="A250" s="11" t="s">
        <v>1682</v>
      </c>
      <c r="B250" s="4" t="s">
        <v>1684</v>
      </c>
      <c r="C250" s="5">
        <f t="shared" si="7"/>
        <v>-1.4500434813855434E-2</v>
      </c>
      <c r="D250" s="5" t="str">
        <f t="shared" ca="1" si="6"/>
        <v/>
      </c>
      <c r="E250" s="5"/>
      <c r="F250" s="5">
        <f>IF(Tabela3[[#This Row],[Retorno_Diário]]&gt;0,1,-1)</f>
        <v>-1</v>
      </c>
      <c r="G250" s="5">
        <f>Tabela3[[#This Row],[Sinal_TSMOM]]*(0.4*Tabela3[[#This Row],[Volatilidade]])</f>
        <v>0</v>
      </c>
      <c r="H250" s="5">
        <f>Tabela3[[#This Row],[Position_Size]]*Tabela3[[#This Row],[Retorno_Diário]]</f>
        <v>0</v>
      </c>
    </row>
    <row r="251" spans="1:8" x14ac:dyDescent="0.2">
      <c r="A251" s="11" t="s">
        <v>1689</v>
      </c>
      <c r="B251" s="4" t="s">
        <v>1691</v>
      </c>
      <c r="C251" s="5">
        <f t="shared" si="7"/>
        <v>1.8906773807016553E-2</v>
      </c>
      <c r="D251" s="5" t="str">
        <f t="shared" ca="1" si="6"/>
        <v/>
      </c>
      <c r="E251" s="5"/>
      <c r="F251" s="5">
        <f>IF(Tabela3[[#This Row],[Retorno_Diário]]&gt;0,1,-1)</f>
        <v>1</v>
      </c>
      <c r="G251" s="5">
        <f>Tabela3[[#This Row],[Sinal_TSMOM]]*(0.4*Tabela3[[#This Row],[Volatilidade]])</f>
        <v>0</v>
      </c>
      <c r="H251" s="5">
        <f>Tabela3[[#This Row],[Position_Size]]*Tabela3[[#This Row],[Retorno_Diário]]</f>
        <v>0</v>
      </c>
    </row>
    <row r="252" spans="1:8" x14ac:dyDescent="0.2">
      <c r="A252" s="12" t="s">
        <v>1696</v>
      </c>
      <c r="B252" s="13" t="s">
        <v>1698</v>
      </c>
      <c r="C252" s="14">
        <f t="shared" si="7"/>
        <v>-1.1222888069818415E-3</v>
      </c>
      <c r="D252" s="14">
        <f>Tabela3[[#This Row],[Preço_Fecho]]/B2-1</f>
        <v>-0.3303235144662372</v>
      </c>
      <c r="E252" s="14">
        <f>_xlfn.STDEV.P(C2:C252)*SQRT(251)</f>
        <v>0.48984375281798331</v>
      </c>
      <c r="F252" s="14">
        <f>IF(Tabela3[[#This Row],[Retorno_Diário]]&gt;0,1,-1)</f>
        <v>-1</v>
      </c>
      <c r="G252" s="14">
        <f>Tabela3[[#This Row],[Sinal_TSMOM]]*(0.4*Tabela3[[#This Row],[Volatilidade]])</f>
        <v>-0.19593750112719333</v>
      </c>
      <c r="H252" s="14">
        <f>Tabela3[[#This Row],[Position_Size]]*Tabela3[[#This Row],[Retorno_Diário]]</f>
        <v>2.1989846438304103E-4</v>
      </c>
    </row>
    <row r="253" spans="1:8" x14ac:dyDescent="0.2">
      <c r="A253" s="11" t="s">
        <v>1703</v>
      </c>
      <c r="B253" s="4" t="s">
        <v>1705</v>
      </c>
      <c r="C253" s="5">
        <f t="shared" si="7"/>
        <v>2.0374483247834529E-2</v>
      </c>
      <c r="D253" s="5" t="str">
        <f t="shared" ca="1" si="6"/>
        <v/>
      </c>
      <c r="E253" s="5"/>
      <c r="F253" s="5">
        <f>IF(Tabela3[[#This Row],[Retorno_Diário]]&gt;0,1,-1)</f>
        <v>1</v>
      </c>
      <c r="G253" s="5">
        <f>Tabela3[[#This Row],[Sinal_TSMOM]]*(0.4*Tabela3[[#This Row],[Volatilidade]])</f>
        <v>0</v>
      </c>
      <c r="H253" s="5">
        <f>Tabela3[[#This Row],[Position_Size]]*Tabela3[[#This Row],[Retorno_Diário]]</f>
        <v>0</v>
      </c>
    </row>
    <row r="254" spans="1:8" x14ac:dyDescent="0.2">
      <c r="A254" s="11" t="s">
        <v>1710</v>
      </c>
      <c r="B254" s="4" t="s">
        <v>1712</v>
      </c>
      <c r="C254" s="5">
        <f t="shared" si="7"/>
        <v>-6.0416970334441933E-2</v>
      </c>
      <c r="D254" s="5"/>
      <c r="E254" s="5"/>
      <c r="F254" s="5">
        <f>IF(Tabela3[[#This Row],[Retorno_Diário]]&gt;0,1,-1)</f>
        <v>-1</v>
      </c>
      <c r="G254" s="5">
        <f>Tabela3[[#This Row],[Sinal_TSMOM]]*(0.4*Tabela3[[#This Row],[Volatilidade]])</f>
        <v>0</v>
      </c>
      <c r="H254" s="5">
        <f>Tabela3[[#This Row],[Position_Size]]*Tabela3[[#This Row],[Retorno_Diário]]</f>
        <v>0</v>
      </c>
    </row>
    <row r="255" spans="1:8" x14ac:dyDescent="0.2">
      <c r="A255" s="11" t="s">
        <v>1717</v>
      </c>
      <c r="B255" s="4" t="s">
        <v>1719</v>
      </c>
      <c r="C255" s="5">
        <f t="shared" si="7"/>
        <v>6.4067557011084464E-2</v>
      </c>
      <c r="D255" s="5"/>
      <c r="E255" s="5"/>
      <c r="F255" s="5">
        <f>IF(Tabela3[[#This Row],[Retorno_Diário]]&gt;0,1,-1)</f>
        <v>1</v>
      </c>
      <c r="G255" s="5">
        <f>Tabela3[[#This Row],[Sinal_TSMOM]]*(0.4*Tabela3[[#This Row],[Volatilidade]])</f>
        <v>0</v>
      </c>
      <c r="H255" s="5">
        <f>Tabela3[[#This Row],[Position_Size]]*Tabela3[[#This Row],[Retorno_Diário]]</f>
        <v>0</v>
      </c>
    </row>
    <row r="256" spans="1:8" x14ac:dyDescent="0.2">
      <c r="A256" s="11" t="s">
        <v>1724</v>
      </c>
      <c r="B256" s="4" t="s">
        <v>1726</v>
      </c>
      <c r="C256" s="5">
        <f t="shared" si="7"/>
        <v>5.2940722130096152E-2</v>
      </c>
      <c r="D256" s="5"/>
      <c r="E256" s="5"/>
      <c r="F256" s="5">
        <f>IF(Tabela3[[#This Row],[Retorno_Diário]]&gt;0,1,-1)</f>
        <v>1</v>
      </c>
      <c r="G256" s="5">
        <f>Tabela3[[#This Row],[Sinal_TSMOM]]*(0.4*Tabela3[[#This Row],[Volatilidade]])</f>
        <v>0</v>
      </c>
      <c r="H256" s="5">
        <f>Tabela3[[#This Row],[Position_Size]]*Tabela3[[#This Row],[Retorno_Diário]]</f>
        <v>0</v>
      </c>
    </row>
    <row r="257" spans="1:8" x14ac:dyDescent="0.2">
      <c r="A257" s="11" t="s">
        <v>1730</v>
      </c>
      <c r="B257" s="4" t="s">
        <v>1732</v>
      </c>
      <c r="C257" s="5">
        <f t="shared" si="7"/>
        <v>-2.4895421698285847E-2</v>
      </c>
      <c r="D257" s="5"/>
      <c r="E257" s="5"/>
      <c r="F257" s="5">
        <f>IF(Tabela3[[#This Row],[Retorno_Diário]]&gt;0,1,-1)</f>
        <v>-1</v>
      </c>
      <c r="G257" s="5">
        <f>Tabela3[[#This Row],[Sinal_TSMOM]]*(0.4*Tabela3[[#This Row],[Volatilidade]])</f>
        <v>0</v>
      </c>
      <c r="H257" s="5">
        <f>Tabela3[[#This Row],[Position_Size]]*Tabela3[[#This Row],[Retorno_Diário]]</f>
        <v>0</v>
      </c>
    </row>
    <row r="258" spans="1:8" x14ac:dyDescent="0.2">
      <c r="A258" s="11" t="s">
        <v>1737</v>
      </c>
      <c r="B258" s="4" t="s">
        <v>1739</v>
      </c>
      <c r="C258" s="5">
        <f t="shared" si="7"/>
        <v>1.9666779382520483E-2</v>
      </c>
      <c r="D258" s="5"/>
      <c r="E258" s="5"/>
      <c r="F258" s="5">
        <f>IF(Tabela3[[#This Row],[Retorno_Diário]]&gt;0,1,-1)</f>
        <v>1</v>
      </c>
      <c r="G258" s="5">
        <f>Tabela3[[#This Row],[Sinal_TSMOM]]*(0.4*Tabela3[[#This Row],[Volatilidade]])</f>
        <v>0</v>
      </c>
      <c r="H258" s="5">
        <f>Tabela3[[#This Row],[Position_Size]]*Tabela3[[#This Row],[Retorno_Diário]]</f>
        <v>0</v>
      </c>
    </row>
    <row r="259" spans="1:8" x14ac:dyDescent="0.2">
      <c r="A259" s="11" t="s">
        <v>1744</v>
      </c>
      <c r="B259" s="4" t="s">
        <v>1746</v>
      </c>
      <c r="C259" s="5">
        <f t="shared" si="7"/>
        <v>1.8586013655508493E-2</v>
      </c>
      <c r="D259" s="5"/>
      <c r="E259" s="5"/>
      <c r="F259" s="5">
        <f>IF(Tabela3[[#This Row],[Retorno_Diário]]&gt;0,1,-1)</f>
        <v>1</v>
      </c>
      <c r="G259" s="5">
        <f>Tabela3[[#This Row],[Sinal_TSMOM]]*(0.4*Tabela3[[#This Row],[Volatilidade]])</f>
        <v>0</v>
      </c>
      <c r="H259" s="5">
        <f>Tabela3[[#This Row],[Position_Size]]*Tabela3[[#This Row],[Retorno_Diário]]</f>
        <v>0</v>
      </c>
    </row>
    <row r="260" spans="1:8" x14ac:dyDescent="0.2">
      <c r="A260" s="11" t="s">
        <v>1749</v>
      </c>
      <c r="B260" s="4" t="s">
        <v>1751</v>
      </c>
      <c r="C260" s="5">
        <f t="shared" ref="C260:C323" si="8">B260/B259-1</f>
        <v>2.4788309317239632E-2</v>
      </c>
      <c r="D260" s="5"/>
      <c r="E260" s="5"/>
      <c r="F260" s="5">
        <f>IF(Tabela3[[#This Row],[Retorno_Diário]]&gt;0,1,-1)</f>
        <v>1</v>
      </c>
      <c r="G260" s="5">
        <f>Tabela3[[#This Row],[Sinal_TSMOM]]*(0.4*Tabela3[[#This Row],[Volatilidade]])</f>
        <v>0</v>
      </c>
      <c r="H260" s="5">
        <f>Tabela3[[#This Row],[Position_Size]]*Tabela3[[#This Row],[Retorno_Diário]]</f>
        <v>0</v>
      </c>
    </row>
    <row r="261" spans="1:8" x14ac:dyDescent="0.2">
      <c r="A261" s="11" t="s">
        <v>1756</v>
      </c>
      <c r="B261" s="4" t="s">
        <v>1758</v>
      </c>
      <c r="C261" s="5">
        <f t="shared" si="8"/>
        <v>1.081766404969442E-2</v>
      </c>
      <c r="D261" s="5"/>
      <c r="E261" s="5"/>
      <c r="F261" s="5">
        <f>IF(Tabela3[[#This Row],[Retorno_Diário]]&gt;0,1,-1)</f>
        <v>1</v>
      </c>
      <c r="G261" s="5">
        <f>Tabela3[[#This Row],[Sinal_TSMOM]]*(0.4*Tabela3[[#This Row],[Volatilidade]])</f>
        <v>0</v>
      </c>
      <c r="H261" s="5">
        <f>Tabela3[[#This Row],[Position_Size]]*Tabela3[[#This Row],[Retorno_Diário]]</f>
        <v>0</v>
      </c>
    </row>
    <row r="262" spans="1:8" x14ac:dyDescent="0.2">
      <c r="A262" s="11" t="s">
        <v>1763</v>
      </c>
      <c r="B262" s="4" t="s">
        <v>1765</v>
      </c>
      <c r="C262" s="5">
        <f t="shared" si="8"/>
        <v>-3.78883327478996E-3</v>
      </c>
      <c r="D262" s="5"/>
      <c r="E262" s="5"/>
      <c r="F262" s="5">
        <f>IF(Tabela3[[#This Row],[Retorno_Diário]]&gt;0,1,-1)</f>
        <v>-1</v>
      </c>
      <c r="G262" s="5">
        <f>Tabela3[[#This Row],[Sinal_TSMOM]]*(0.4*Tabela3[[#This Row],[Volatilidade]])</f>
        <v>0</v>
      </c>
      <c r="H262" s="5">
        <f>Tabela3[[#This Row],[Position_Size]]*Tabela3[[#This Row],[Retorno_Diário]]</f>
        <v>0</v>
      </c>
    </row>
    <row r="263" spans="1:8" x14ac:dyDescent="0.2">
      <c r="A263" s="11" t="s">
        <v>1770</v>
      </c>
      <c r="B263" s="4" t="s">
        <v>1772</v>
      </c>
      <c r="C263" s="5">
        <f t="shared" si="8"/>
        <v>-6.8726654881315907E-3</v>
      </c>
      <c r="D263" s="5"/>
      <c r="E263" s="5"/>
      <c r="F263" s="5">
        <f>IF(Tabela3[[#This Row],[Retorno_Diário]]&gt;0,1,-1)</f>
        <v>-1</v>
      </c>
      <c r="G263" s="5">
        <f>Tabela3[[#This Row],[Sinal_TSMOM]]*(0.4*Tabela3[[#This Row],[Volatilidade]])</f>
        <v>0</v>
      </c>
      <c r="H263" s="5">
        <f>Tabela3[[#This Row],[Position_Size]]*Tabela3[[#This Row],[Retorno_Diário]]</f>
        <v>0</v>
      </c>
    </row>
    <row r="264" spans="1:8" x14ac:dyDescent="0.2">
      <c r="A264" s="11" t="s">
        <v>1777</v>
      </c>
      <c r="B264" s="4" t="s">
        <v>1779</v>
      </c>
      <c r="C264" s="5">
        <f t="shared" si="8"/>
        <v>1.9349644598691151E-2</v>
      </c>
      <c r="D264" s="5"/>
      <c r="E264" s="5"/>
      <c r="F264" s="5">
        <f>IF(Tabela3[[#This Row],[Retorno_Diário]]&gt;0,1,-1)</f>
        <v>1</v>
      </c>
      <c r="G264" s="5">
        <f>Tabela3[[#This Row],[Sinal_TSMOM]]*(0.4*Tabela3[[#This Row],[Volatilidade]])</f>
        <v>0</v>
      </c>
      <c r="H264" s="5">
        <f>Tabela3[[#This Row],[Position_Size]]*Tabela3[[#This Row],[Retorno_Diário]]</f>
        <v>0</v>
      </c>
    </row>
    <row r="265" spans="1:8" x14ac:dyDescent="0.2">
      <c r="A265" s="11" t="s">
        <v>1784</v>
      </c>
      <c r="B265" s="4" t="s">
        <v>1786</v>
      </c>
      <c r="C265" s="5">
        <f t="shared" si="8"/>
        <v>3.4339567018530914E-2</v>
      </c>
      <c r="D265" s="5"/>
      <c r="E265" s="5"/>
      <c r="F265" s="5">
        <f>IF(Tabela3[[#This Row],[Retorno_Diário]]&gt;0,1,-1)</f>
        <v>1</v>
      </c>
      <c r="G265" s="5">
        <f>Tabela3[[#This Row],[Sinal_TSMOM]]*(0.4*Tabela3[[#This Row],[Volatilidade]])</f>
        <v>0</v>
      </c>
      <c r="H265" s="5">
        <f>Tabela3[[#This Row],[Position_Size]]*Tabela3[[#This Row],[Retorno_Diário]]</f>
        <v>0</v>
      </c>
    </row>
    <row r="266" spans="1:8" x14ac:dyDescent="0.2">
      <c r="A266" s="11" t="s">
        <v>1790</v>
      </c>
      <c r="B266" s="4" t="s">
        <v>1792</v>
      </c>
      <c r="C266" s="5">
        <f t="shared" si="8"/>
        <v>-5.1997705542097261E-2</v>
      </c>
      <c r="D266" s="5"/>
      <c r="E266" s="5"/>
      <c r="F266" s="5">
        <f>IF(Tabela3[[#This Row],[Retorno_Diário]]&gt;0,1,-1)</f>
        <v>-1</v>
      </c>
      <c r="G266" s="5">
        <f>Tabela3[[#This Row],[Sinal_TSMOM]]*(0.4*Tabela3[[#This Row],[Volatilidade]])</f>
        <v>0</v>
      </c>
      <c r="H266" s="5">
        <f>Tabela3[[#This Row],[Position_Size]]*Tabela3[[#This Row],[Retorno_Diário]]</f>
        <v>0</v>
      </c>
    </row>
    <row r="267" spans="1:8" x14ac:dyDescent="0.2">
      <c r="A267" s="11" t="s">
        <v>1797</v>
      </c>
      <c r="B267" s="4" t="s">
        <v>1799</v>
      </c>
      <c r="C267" s="5">
        <f t="shared" si="8"/>
        <v>3.4953314702586002E-3</v>
      </c>
      <c r="D267" s="5"/>
      <c r="E267" s="5"/>
      <c r="F267" s="5">
        <f>IF(Tabela3[[#This Row],[Retorno_Diário]]&gt;0,1,-1)</f>
        <v>1</v>
      </c>
      <c r="G267" s="5">
        <f>Tabela3[[#This Row],[Sinal_TSMOM]]*(0.4*Tabela3[[#This Row],[Volatilidade]])</f>
        <v>0</v>
      </c>
      <c r="H267" s="5">
        <f>Tabela3[[#This Row],[Position_Size]]*Tabela3[[#This Row],[Retorno_Diário]]</f>
        <v>0</v>
      </c>
    </row>
    <row r="268" spans="1:8" x14ac:dyDescent="0.2">
      <c r="A268" s="11" t="s">
        <v>1804</v>
      </c>
      <c r="B268" s="4" t="s">
        <v>1806</v>
      </c>
      <c r="C268" s="5">
        <f t="shared" si="8"/>
        <v>5.7271116725227111E-2</v>
      </c>
      <c r="D268" s="5"/>
      <c r="E268" s="5"/>
      <c r="F268" s="5">
        <f>IF(Tabela3[[#This Row],[Retorno_Diário]]&gt;0,1,-1)</f>
        <v>1</v>
      </c>
      <c r="G268" s="5">
        <f>Tabela3[[#This Row],[Sinal_TSMOM]]*(0.4*Tabela3[[#This Row],[Volatilidade]])</f>
        <v>0</v>
      </c>
      <c r="H268" s="5">
        <f>Tabela3[[#This Row],[Position_Size]]*Tabela3[[#This Row],[Retorno_Diário]]</f>
        <v>0</v>
      </c>
    </row>
    <row r="269" spans="1:8" x14ac:dyDescent="0.2">
      <c r="A269" s="11" t="s">
        <v>1811</v>
      </c>
      <c r="B269" s="4" t="s">
        <v>1813</v>
      </c>
      <c r="C269" s="5">
        <f t="shared" si="8"/>
        <v>1.4635009320437931E-2</v>
      </c>
      <c r="D269" s="5"/>
      <c r="E269" s="5"/>
      <c r="F269" s="5">
        <f>IF(Tabela3[[#This Row],[Retorno_Diário]]&gt;0,1,-1)</f>
        <v>1</v>
      </c>
      <c r="G269" s="5">
        <f>Tabela3[[#This Row],[Sinal_TSMOM]]*(0.4*Tabela3[[#This Row],[Volatilidade]])</f>
        <v>0</v>
      </c>
      <c r="H269" s="5">
        <f>Tabela3[[#This Row],[Position_Size]]*Tabela3[[#This Row],[Retorno_Diário]]</f>
        <v>0</v>
      </c>
    </row>
    <row r="270" spans="1:8" x14ac:dyDescent="0.2">
      <c r="A270" s="11" t="s">
        <v>1818</v>
      </c>
      <c r="B270" s="4" t="s">
        <v>1820</v>
      </c>
      <c r="C270" s="5">
        <f t="shared" si="8"/>
        <v>-0.1382453844900563</v>
      </c>
      <c r="D270" s="5"/>
      <c r="E270" s="5"/>
      <c r="F270" s="5">
        <f>IF(Tabela3[[#This Row],[Retorno_Diário]]&gt;0,1,-1)</f>
        <v>-1</v>
      </c>
      <c r="G270" s="5">
        <f>Tabela3[[#This Row],[Sinal_TSMOM]]*(0.4*Tabela3[[#This Row],[Volatilidade]])</f>
        <v>0</v>
      </c>
      <c r="H270" s="5">
        <f>Tabela3[[#This Row],[Position_Size]]*Tabela3[[#This Row],[Retorno_Diário]]</f>
        <v>0</v>
      </c>
    </row>
    <row r="271" spans="1:8" x14ac:dyDescent="0.2">
      <c r="A271" s="11" t="s">
        <v>1825</v>
      </c>
      <c r="B271" s="4" t="s">
        <v>1827</v>
      </c>
      <c r="C271" s="5">
        <f t="shared" si="8"/>
        <v>-4.6445895997464071E-2</v>
      </c>
      <c r="D271" s="5"/>
      <c r="E271" s="5"/>
      <c r="F271" s="5">
        <f>IF(Tabela3[[#This Row],[Retorno_Diário]]&gt;0,1,-1)</f>
        <v>-1</v>
      </c>
      <c r="G271" s="5">
        <f>Tabela3[[#This Row],[Sinal_TSMOM]]*(0.4*Tabela3[[#This Row],[Volatilidade]])</f>
        <v>0</v>
      </c>
      <c r="H271" s="5">
        <f>Tabela3[[#This Row],[Position_Size]]*Tabela3[[#This Row],[Retorno_Diário]]</f>
        <v>0</v>
      </c>
    </row>
    <row r="272" spans="1:8" x14ac:dyDescent="0.2">
      <c r="A272" s="11" t="s">
        <v>1832</v>
      </c>
      <c r="B272" s="4" t="s">
        <v>1692</v>
      </c>
      <c r="C272" s="5">
        <f t="shared" si="8"/>
        <v>4.3996996940417255E-2</v>
      </c>
      <c r="D272" s="5"/>
      <c r="E272" s="5"/>
      <c r="F272" s="5">
        <f>IF(Tabela3[[#This Row],[Retorno_Diário]]&gt;0,1,-1)</f>
        <v>1</v>
      </c>
      <c r="G272" s="5">
        <f>Tabela3[[#This Row],[Sinal_TSMOM]]*(0.4*Tabela3[[#This Row],[Volatilidade]])</f>
        <v>0</v>
      </c>
      <c r="H272" s="5">
        <f>Tabela3[[#This Row],[Position_Size]]*Tabela3[[#This Row],[Retorno_Diário]]</f>
        <v>0</v>
      </c>
    </row>
    <row r="273" spans="1:8" x14ac:dyDescent="0.2">
      <c r="A273" s="11" t="s">
        <v>1838</v>
      </c>
      <c r="B273" s="4" t="s">
        <v>1840</v>
      </c>
      <c r="C273" s="5">
        <f t="shared" si="8"/>
        <v>4.6291554314872085E-2</v>
      </c>
      <c r="D273" s="5"/>
      <c r="E273" s="5"/>
      <c r="F273" s="5">
        <f>IF(Tabela3[[#This Row],[Retorno_Diário]]&gt;0,1,-1)</f>
        <v>1</v>
      </c>
      <c r="G273" s="5">
        <f>Tabela3[[#This Row],[Sinal_TSMOM]]*(0.4*Tabela3[[#This Row],[Volatilidade]])</f>
        <v>0</v>
      </c>
      <c r="H273" s="5">
        <f>Tabela3[[#This Row],[Position_Size]]*Tabela3[[#This Row],[Retorno_Diário]]</f>
        <v>0</v>
      </c>
    </row>
    <row r="274" spans="1:8" x14ac:dyDescent="0.2">
      <c r="A274" s="11" t="s">
        <v>1845</v>
      </c>
      <c r="B274" s="4" t="s">
        <v>1847</v>
      </c>
      <c r="C274" s="5">
        <f t="shared" si="8"/>
        <v>6.8173615828786005E-3</v>
      </c>
      <c r="D274" s="5"/>
      <c r="E274" s="5"/>
      <c r="F274" s="5">
        <f>IF(Tabela3[[#This Row],[Retorno_Diário]]&gt;0,1,-1)</f>
        <v>1</v>
      </c>
      <c r="G274" s="5">
        <f>Tabela3[[#This Row],[Sinal_TSMOM]]*(0.4*Tabela3[[#This Row],[Volatilidade]])</f>
        <v>0</v>
      </c>
      <c r="H274" s="5">
        <f>Tabela3[[#This Row],[Position_Size]]*Tabela3[[#This Row],[Retorno_Diário]]</f>
        <v>0</v>
      </c>
    </row>
    <row r="275" spans="1:8" x14ac:dyDescent="0.2">
      <c r="A275" s="11" t="s">
        <v>1851</v>
      </c>
      <c r="B275" s="4" t="s">
        <v>1853</v>
      </c>
      <c r="C275" s="5">
        <f t="shared" si="8"/>
        <v>3.0746953750782513E-2</v>
      </c>
      <c r="D275" s="5"/>
      <c r="E275" s="5"/>
      <c r="F275" s="5">
        <f>IF(Tabela3[[#This Row],[Retorno_Diário]]&gt;0,1,-1)</f>
        <v>1</v>
      </c>
      <c r="G275" s="5">
        <f>Tabela3[[#This Row],[Sinal_TSMOM]]*(0.4*Tabela3[[#This Row],[Volatilidade]])</f>
        <v>0</v>
      </c>
      <c r="H275" s="5">
        <f>Tabela3[[#This Row],[Position_Size]]*Tabela3[[#This Row],[Retorno_Diário]]</f>
        <v>0</v>
      </c>
    </row>
    <row r="276" spans="1:8" x14ac:dyDescent="0.2">
      <c r="A276" s="11" t="s">
        <v>1858</v>
      </c>
      <c r="B276" s="4" t="s">
        <v>1860</v>
      </c>
      <c r="C276" s="5">
        <f t="shared" si="8"/>
        <v>5.1615272264806666E-3</v>
      </c>
      <c r="D276" s="5"/>
      <c r="E276" s="5"/>
      <c r="F276" s="5">
        <f>IF(Tabela3[[#This Row],[Retorno_Diário]]&gt;0,1,-1)</f>
        <v>1</v>
      </c>
      <c r="G276" s="5">
        <f>Tabela3[[#This Row],[Sinal_TSMOM]]*(0.4*Tabela3[[#This Row],[Volatilidade]])</f>
        <v>0</v>
      </c>
      <c r="H276" s="5">
        <f>Tabela3[[#This Row],[Position_Size]]*Tabela3[[#This Row],[Retorno_Diário]]</f>
        <v>0</v>
      </c>
    </row>
    <row r="277" spans="1:8" x14ac:dyDescent="0.2">
      <c r="A277" s="11" t="s">
        <v>1865</v>
      </c>
      <c r="B277" s="4" t="s">
        <v>1867</v>
      </c>
      <c r="C277" s="5">
        <f t="shared" si="8"/>
        <v>2.0340133878193001E-2</v>
      </c>
      <c r="D277" s="5"/>
      <c r="E277" s="5"/>
      <c r="F277" s="5">
        <f>IF(Tabela3[[#This Row],[Retorno_Diário]]&gt;0,1,-1)</f>
        <v>1</v>
      </c>
      <c r="G277" s="5">
        <f>Tabela3[[#This Row],[Sinal_TSMOM]]*(0.4*Tabela3[[#This Row],[Volatilidade]])</f>
        <v>0</v>
      </c>
      <c r="H277" s="5">
        <f>Tabela3[[#This Row],[Position_Size]]*Tabela3[[#This Row],[Retorno_Diário]]</f>
        <v>0</v>
      </c>
    </row>
    <row r="278" spans="1:8" x14ac:dyDescent="0.2">
      <c r="A278" s="11" t="s">
        <v>1872</v>
      </c>
      <c r="B278" s="4" t="s">
        <v>1874</v>
      </c>
      <c r="C278" s="5">
        <f t="shared" si="8"/>
        <v>-3.6470624680979169E-2</v>
      </c>
      <c r="D278" s="5"/>
      <c r="E278" s="5"/>
      <c r="F278" s="5">
        <f>IF(Tabela3[[#This Row],[Retorno_Diário]]&gt;0,1,-1)</f>
        <v>-1</v>
      </c>
      <c r="G278" s="5">
        <f>Tabela3[[#This Row],[Sinal_TSMOM]]*(0.4*Tabela3[[#This Row],[Volatilidade]])</f>
        <v>0</v>
      </c>
      <c r="H278" s="5">
        <f>Tabela3[[#This Row],[Position_Size]]*Tabela3[[#This Row],[Retorno_Diário]]</f>
        <v>0</v>
      </c>
    </row>
    <row r="279" spans="1:8" x14ac:dyDescent="0.2">
      <c r="A279" s="11" t="s">
        <v>1879</v>
      </c>
      <c r="B279" s="4" t="s">
        <v>1881</v>
      </c>
      <c r="C279" s="5">
        <f t="shared" si="8"/>
        <v>5.0875569692996336E-3</v>
      </c>
      <c r="D279" s="5"/>
      <c r="E279" s="5"/>
      <c r="F279" s="5">
        <f>IF(Tabela3[[#This Row],[Retorno_Diário]]&gt;0,1,-1)</f>
        <v>1</v>
      </c>
      <c r="G279" s="5">
        <f>Tabela3[[#This Row],[Sinal_TSMOM]]*(0.4*Tabela3[[#This Row],[Volatilidade]])</f>
        <v>0</v>
      </c>
      <c r="H279" s="5">
        <f>Tabela3[[#This Row],[Position_Size]]*Tabela3[[#This Row],[Retorno_Diário]]</f>
        <v>0</v>
      </c>
    </row>
    <row r="280" spans="1:8" x14ac:dyDescent="0.2">
      <c r="A280" s="11" t="s">
        <v>1885</v>
      </c>
      <c r="B280" s="4" t="s">
        <v>1628</v>
      </c>
      <c r="C280" s="5">
        <f t="shared" si="8"/>
        <v>-1.1608282838543982E-2</v>
      </c>
      <c r="D280" s="5"/>
      <c r="E280" s="5"/>
      <c r="F280" s="5">
        <f>IF(Tabela3[[#This Row],[Retorno_Diário]]&gt;0,1,-1)</f>
        <v>-1</v>
      </c>
      <c r="G280" s="5">
        <f>Tabela3[[#This Row],[Sinal_TSMOM]]*(0.4*Tabela3[[#This Row],[Volatilidade]])</f>
        <v>0</v>
      </c>
      <c r="H280" s="5">
        <f>Tabela3[[#This Row],[Position_Size]]*Tabela3[[#This Row],[Retorno_Diário]]</f>
        <v>0</v>
      </c>
    </row>
    <row r="281" spans="1:8" x14ac:dyDescent="0.2">
      <c r="A281" s="11" t="s">
        <v>1889</v>
      </c>
      <c r="B281" s="4" t="s">
        <v>1891</v>
      </c>
      <c r="C281" s="5">
        <f t="shared" si="8"/>
        <v>3.2229372047972937E-2</v>
      </c>
      <c r="D281" s="5"/>
      <c r="E281" s="5"/>
      <c r="F281" s="5">
        <f>IF(Tabela3[[#This Row],[Retorno_Diário]]&gt;0,1,-1)</f>
        <v>1</v>
      </c>
      <c r="G281" s="5">
        <f>Tabela3[[#This Row],[Sinal_TSMOM]]*(0.4*Tabela3[[#This Row],[Volatilidade]])</f>
        <v>0</v>
      </c>
      <c r="H281" s="5">
        <f>Tabela3[[#This Row],[Position_Size]]*Tabela3[[#This Row],[Retorno_Diário]]</f>
        <v>0</v>
      </c>
    </row>
    <row r="282" spans="1:8" x14ac:dyDescent="0.2">
      <c r="A282" s="11" t="s">
        <v>1895</v>
      </c>
      <c r="B282" s="4" t="s">
        <v>1897</v>
      </c>
      <c r="C282" s="5">
        <f t="shared" si="8"/>
        <v>1.131180028317047E-2</v>
      </c>
      <c r="D282" s="5"/>
      <c r="E282" s="5"/>
      <c r="F282" s="5">
        <f>IF(Tabela3[[#This Row],[Retorno_Diário]]&gt;0,1,-1)</f>
        <v>1</v>
      </c>
      <c r="G282" s="5">
        <f>Tabela3[[#This Row],[Sinal_TSMOM]]*(0.4*Tabela3[[#This Row],[Volatilidade]])</f>
        <v>0</v>
      </c>
      <c r="H282" s="5">
        <f>Tabela3[[#This Row],[Position_Size]]*Tabela3[[#This Row],[Retorno_Diário]]</f>
        <v>0</v>
      </c>
    </row>
    <row r="283" spans="1:8" x14ac:dyDescent="0.2">
      <c r="A283" s="11" t="s">
        <v>1902</v>
      </c>
      <c r="B283" s="4" t="s">
        <v>1904</v>
      </c>
      <c r="C283" s="5">
        <f t="shared" si="8"/>
        <v>1.0792776079291411E-2</v>
      </c>
      <c r="D283" s="5"/>
      <c r="E283" s="5"/>
      <c r="F283" s="5">
        <f>IF(Tabela3[[#This Row],[Retorno_Diário]]&gt;0,1,-1)</f>
        <v>1</v>
      </c>
      <c r="G283" s="5">
        <f>Tabela3[[#This Row],[Sinal_TSMOM]]*(0.4*Tabela3[[#This Row],[Volatilidade]])</f>
        <v>0</v>
      </c>
      <c r="H283" s="5">
        <f>Tabela3[[#This Row],[Position_Size]]*Tabela3[[#This Row],[Retorno_Diário]]</f>
        <v>0</v>
      </c>
    </row>
    <row r="284" spans="1:8" x14ac:dyDescent="0.2">
      <c r="A284" s="11" t="s">
        <v>1909</v>
      </c>
      <c r="B284" s="4" t="s">
        <v>1911</v>
      </c>
      <c r="C284" s="5">
        <f t="shared" si="8"/>
        <v>1.8184180164402486E-2</v>
      </c>
      <c r="D284" s="5"/>
      <c r="E284" s="5"/>
      <c r="F284" s="5">
        <f>IF(Tabela3[[#This Row],[Retorno_Diário]]&gt;0,1,-1)</f>
        <v>1</v>
      </c>
      <c r="G284" s="5">
        <f>Tabela3[[#This Row],[Sinal_TSMOM]]*(0.4*Tabela3[[#This Row],[Volatilidade]])</f>
        <v>0</v>
      </c>
      <c r="H284" s="5">
        <f>Tabela3[[#This Row],[Position_Size]]*Tabela3[[#This Row],[Retorno_Diário]]</f>
        <v>0</v>
      </c>
    </row>
    <row r="285" spans="1:8" x14ac:dyDescent="0.2">
      <c r="A285" s="11" t="s">
        <v>1916</v>
      </c>
      <c r="B285" s="4" t="s">
        <v>1918</v>
      </c>
      <c r="C285" s="5">
        <f t="shared" si="8"/>
        <v>-4.4490051850828438E-3</v>
      </c>
      <c r="D285" s="5"/>
      <c r="E285" s="5"/>
      <c r="F285" s="5">
        <f>IF(Tabela3[[#This Row],[Retorno_Diário]]&gt;0,1,-1)</f>
        <v>-1</v>
      </c>
      <c r="G285" s="5">
        <f>Tabela3[[#This Row],[Sinal_TSMOM]]*(0.4*Tabela3[[#This Row],[Volatilidade]])</f>
        <v>0</v>
      </c>
      <c r="H285" s="5">
        <f>Tabela3[[#This Row],[Position_Size]]*Tabela3[[#This Row],[Retorno_Diário]]</f>
        <v>0</v>
      </c>
    </row>
    <row r="286" spans="1:8" x14ac:dyDescent="0.2">
      <c r="A286" s="11" t="s">
        <v>1922</v>
      </c>
      <c r="B286" s="4" t="s">
        <v>1807</v>
      </c>
      <c r="C286" s="5">
        <f t="shared" si="8"/>
        <v>1.2193564232440668E-2</v>
      </c>
      <c r="D286" s="5"/>
      <c r="E286" s="5"/>
      <c r="F286" s="5">
        <f>IF(Tabela3[[#This Row],[Retorno_Diário]]&gt;0,1,-1)</f>
        <v>1</v>
      </c>
      <c r="G286" s="5">
        <f>Tabela3[[#This Row],[Sinal_TSMOM]]*(0.4*Tabela3[[#This Row],[Volatilidade]])</f>
        <v>0</v>
      </c>
      <c r="H286" s="5">
        <f>Tabela3[[#This Row],[Position_Size]]*Tabela3[[#This Row],[Retorno_Diário]]</f>
        <v>0</v>
      </c>
    </row>
    <row r="287" spans="1:8" x14ac:dyDescent="0.2">
      <c r="A287" s="11" t="s">
        <v>1928</v>
      </c>
      <c r="B287" s="4" t="s">
        <v>1930</v>
      </c>
      <c r="C287" s="5">
        <f t="shared" si="8"/>
        <v>-1.753389378467729E-2</v>
      </c>
      <c r="D287" s="5"/>
      <c r="E287" s="5"/>
      <c r="F287" s="5">
        <f>IF(Tabela3[[#This Row],[Retorno_Diário]]&gt;0,1,-1)</f>
        <v>-1</v>
      </c>
      <c r="G287" s="5">
        <f>Tabela3[[#This Row],[Sinal_TSMOM]]*(0.4*Tabela3[[#This Row],[Volatilidade]])</f>
        <v>0</v>
      </c>
      <c r="H287" s="5">
        <f>Tabela3[[#This Row],[Position_Size]]*Tabela3[[#This Row],[Retorno_Diário]]</f>
        <v>0</v>
      </c>
    </row>
    <row r="288" spans="1:8" x14ac:dyDescent="0.2">
      <c r="A288" s="11" t="s">
        <v>1935</v>
      </c>
      <c r="B288" s="4" t="s">
        <v>1937</v>
      </c>
      <c r="C288" s="5">
        <f t="shared" si="8"/>
        <v>2.1955448096530494E-2</v>
      </c>
      <c r="D288" s="5"/>
      <c r="E288" s="5"/>
      <c r="F288" s="5">
        <f>IF(Tabela3[[#This Row],[Retorno_Diário]]&gt;0,1,-1)</f>
        <v>1</v>
      </c>
      <c r="G288" s="5">
        <f>Tabela3[[#This Row],[Sinal_TSMOM]]*(0.4*Tabela3[[#This Row],[Volatilidade]])</f>
        <v>0</v>
      </c>
      <c r="H288" s="5">
        <f>Tabela3[[#This Row],[Position_Size]]*Tabela3[[#This Row],[Retorno_Diário]]</f>
        <v>0</v>
      </c>
    </row>
    <row r="289" spans="1:8" x14ac:dyDescent="0.2">
      <c r="A289" s="11" t="s">
        <v>1942</v>
      </c>
      <c r="B289" s="4" t="s">
        <v>1944</v>
      </c>
      <c r="C289" s="5">
        <f t="shared" si="8"/>
        <v>-3.1408529487355619E-3</v>
      </c>
      <c r="D289" s="5"/>
      <c r="E289" s="5"/>
      <c r="F289" s="5">
        <f>IF(Tabela3[[#This Row],[Retorno_Diário]]&gt;0,1,-1)</f>
        <v>-1</v>
      </c>
      <c r="G289" s="5">
        <f>Tabela3[[#This Row],[Sinal_TSMOM]]*(0.4*Tabela3[[#This Row],[Volatilidade]])</f>
        <v>0</v>
      </c>
      <c r="H289" s="5">
        <f>Tabela3[[#This Row],[Position_Size]]*Tabela3[[#This Row],[Retorno_Diário]]</f>
        <v>0</v>
      </c>
    </row>
    <row r="290" spans="1:8" x14ac:dyDescent="0.2">
      <c r="A290" s="11" t="s">
        <v>1949</v>
      </c>
      <c r="B290" s="4" t="s">
        <v>1951</v>
      </c>
      <c r="C290" s="5">
        <f t="shared" si="8"/>
        <v>-1.0019559667985289E-2</v>
      </c>
      <c r="D290" s="5"/>
      <c r="E290" s="5"/>
      <c r="F290" s="5">
        <f>IF(Tabela3[[#This Row],[Retorno_Diário]]&gt;0,1,-1)</f>
        <v>-1</v>
      </c>
      <c r="G290" s="5">
        <f>Tabela3[[#This Row],[Sinal_TSMOM]]*(0.4*Tabela3[[#This Row],[Volatilidade]])</f>
        <v>0</v>
      </c>
      <c r="H290" s="5">
        <f>Tabela3[[#This Row],[Position_Size]]*Tabela3[[#This Row],[Retorno_Diário]]</f>
        <v>0</v>
      </c>
    </row>
    <row r="291" spans="1:8" x14ac:dyDescent="0.2">
      <c r="A291" s="11" t="s">
        <v>1956</v>
      </c>
      <c r="B291" s="4" t="s">
        <v>1958</v>
      </c>
      <c r="C291" s="5">
        <f t="shared" si="8"/>
        <v>-1.0757458403925946E-2</v>
      </c>
      <c r="D291" s="5"/>
      <c r="E291" s="5"/>
      <c r="F291" s="5">
        <f>IF(Tabela3[[#This Row],[Retorno_Diário]]&gt;0,1,-1)</f>
        <v>-1</v>
      </c>
      <c r="G291" s="5">
        <f>Tabela3[[#This Row],[Sinal_TSMOM]]*(0.4*Tabela3[[#This Row],[Volatilidade]])</f>
        <v>0</v>
      </c>
      <c r="H291" s="5">
        <f>Tabela3[[#This Row],[Position_Size]]*Tabela3[[#This Row],[Retorno_Diário]]</f>
        <v>0</v>
      </c>
    </row>
    <row r="292" spans="1:8" x14ac:dyDescent="0.2">
      <c r="A292" s="11" t="s">
        <v>1963</v>
      </c>
      <c r="B292" s="4" t="s">
        <v>1518</v>
      </c>
      <c r="C292" s="5">
        <f t="shared" si="8"/>
        <v>-7.3998276869302604E-3</v>
      </c>
      <c r="D292" s="5"/>
      <c r="E292" s="5"/>
      <c r="F292" s="5">
        <f>IF(Tabela3[[#This Row],[Retorno_Diário]]&gt;0,1,-1)</f>
        <v>-1</v>
      </c>
      <c r="G292" s="5">
        <f>Tabela3[[#This Row],[Sinal_TSMOM]]*(0.4*Tabela3[[#This Row],[Volatilidade]])</f>
        <v>0</v>
      </c>
      <c r="H292" s="5">
        <f>Tabela3[[#This Row],[Position_Size]]*Tabela3[[#This Row],[Retorno_Diário]]</f>
        <v>0</v>
      </c>
    </row>
    <row r="293" spans="1:8" x14ac:dyDescent="0.2">
      <c r="A293" s="11" t="s">
        <v>1969</v>
      </c>
      <c r="B293" s="4" t="s">
        <v>1971</v>
      </c>
      <c r="C293" s="5">
        <f t="shared" si="8"/>
        <v>1.4196863829633921E-2</v>
      </c>
      <c r="D293" s="5"/>
      <c r="E293" s="5"/>
      <c r="F293" s="5">
        <f>IF(Tabela3[[#This Row],[Retorno_Diário]]&gt;0,1,-1)</f>
        <v>1</v>
      </c>
      <c r="G293" s="5">
        <f>Tabela3[[#This Row],[Sinal_TSMOM]]*(0.4*Tabela3[[#This Row],[Volatilidade]])</f>
        <v>0</v>
      </c>
      <c r="H293" s="5">
        <f>Tabela3[[#This Row],[Position_Size]]*Tabela3[[#This Row],[Retorno_Diário]]</f>
        <v>0</v>
      </c>
    </row>
    <row r="294" spans="1:8" x14ac:dyDescent="0.2">
      <c r="A294" s="11" t="s">
        <v>1976</v>
      </c>
      <c r="B294" s="4" t="s">
        <v>1978</v>
      </c>
      <c r="C294" s="5">
        <f t="shared" si="8"/>
        <v>2.1092995465030739E-3</v>
      </c>
      <c r="D294" s="5"/>
      <c r="E294" s="5"/>
      <c r="F294" s="5">
        <f>IF(Tabela3[[#This Row],[Retorno_Diário]]&gt;0,1,-1)</f>
        <v>1</v>
      </c>
      <c r="G294" s="5">
        <f>Tabela3[[#This Row],[Sinal_TSMOM]]*(0.4*Tabela3[[#This Row],[Volatilidade]])</f>
        <v>0</v>
      </c>
      <c r="H294" s="5">
        <f>Tabela3[[#This Row],[Position_Size]]*Tabela3[[#This Row],[Retorno_Diário]]</f>
        <v>0</v>
      </c>
    </row>
    <row r="295" spans="1:8" x14ac:dyDescent="0.2">
      <c r="A295" s="11" t="s">
        <v>1983</v>
      </c>
      <c r="B295" s="4" t="s">
        <v>1961</v>
      </c>
      <c r="C295" s="5">
        <f t="shared" si="8"/>
        <v>-1.6583762049795503E-3</v>
      </c>
      <c r="D295" s="5"/>
      <c r="E295" s="5"/>
      <c r="F295" s="5">
        <f>IF(Tabela3[[#This Row],[Retorno_Diário]]&gt;0,1,-1)</f>
        <v>-1</v>
      </c>
      <c r="G295" s="5">
        <f>Tabela3[[#This Row],[Sinal_TSMOM]]*(0.4*Tabela3[[#This Row],[Volatilidade]])</f>
        <v>0</v>
      </c>
      <c r="H295" s="5">
        <f>Tabela3[[#This Row],[Position_Size]]*Tabela3[[#This Row],[Retorno_Diário]]</f>
        <v>0</v>
      </c>
    </row>
    <row r="296" spans="1:8" x14ac:dyDescent="0.2">
      <c r="A296" s="11" t="s">
        <v>1989</v>
      </c>
      <c r="B296" s="4" t="s">
        <v>1991</v>
      </c>
      <c r="C296" s="5">
        <f t="shared" si="8"/>
        <v>-2.8558682043090644E-2</v>
      </c>
      <c r="D296" s="5"/>
      <c r="E296" s="5"/>
      <c r="F296" s="5">
        <f>IF(Tabela3[[#This Row],[Retorno_Diário]]&gt;0,1,-1)</f>
        <v>-1</v>
      </c>
      <c r="G296" s="5">
        <f>Tabela3[[#This Row],[Sinal_TSMOM]]*(0.4*Tabela3[[#This Row],[Volatilidade]])</f>
        <v>0</v>
      </c>
      <c r="H296" s="5">
        <f>Tabela3[[#This Row],[Position_Size]]*Tabela3[[#This Row],[Retorno_Diário]]</f>
        <v>0</v>
      </c>
    </row>
    <row r="297" spans="1:8" x14ac:dyDescent="0.2">
      <c r="A297" s="11" t="s">
        <v>1995</v>
      </c>
      <c r="B297" s="4" t="s">
        <v>1997</v>
      </c>
      <c r="C297" s="5">
        <f t="shared" si="8"/>
        <v>-1.8349245885401988E-2</v>
      </c>
      <c r="D297" s="5"/>
      <c r="E297" s="5"/>
      <c r="F297" s="5">
        <f>IF(Tabela3[[#This Row],[Retorno_Diário]]&gt;0,1,-1)</f>
        <v>-1</v>
      </c>
      <c r="G297" s="5">
        <f>Tabela3[[#This Row],[Sinal_TSMOM]]*(0.4*Tabela3[[#This Row],[Volatilidade]])</f>
        <v>0</v>
      </c>
      <c r="H297" s="5">
        <f>Tabela3[[#This Row],[Position_Size]]*Tabela3[[#This Row],[Retorno_Diário]]</f>
        <v>0</v>
      </c>
    </row>
    <row r="298" spans="1:8" x14ac:dyDescent="0.2">
      <c r="A298" s="11" t="s">
        <v>2001</v>
      </c>
      <c r="B298" s="4" t="s">
        <v>2003</v>
      </c>
      <c r="C298" s="5">
        <f t="shared" si="8"/>
        <v>9.2456446198954101E-3</v>
      </c>
      <c r="D298" s="5"/>
      <c r="E298" s="5"/>
      <c r="F298" s="5">
        <f>IF(Tabela3[[#This Row],[Retorno_Diário]]&gt;0,1,-1)</f>
        <v>1</v>
      </c>
      <c r="G298" s="5">
        <f>Tabela3[[#This Row],[Sinal_TSMOM]]*(0.4*Tabela3[[#This Row],[Volatilidade]])</f>
        <v>0</v>
      </c>
      <c r="H298" s="5">
        <f>Tabela3[[#This Row],[Position_Size]]*Tabela3[[#This Row],[Retorno_Diário]]</f>
        <v>0</v>
      </c>
    </row>
    <row r="299" spans="1:8" x14ac:dyDescent="0.2">
      <c r="A299" s="11" t="s">
        <v>2007</v>
      </c>
      <c r="B299" s="4" t="s">
        <v>2009</v>
      </c>
      <c r="C299" s="5">
        <f t="shared" si="8"/>
        <v>6.9702614291985654E-2</v>
      </c>
      <c r="D299" s="5"/>
      <c r="E299" s="5"/>
      <c r="F299" s="5">
        <f>IF(Tabela3[[#This Row],[Retorno_Diário]]&gt;0,1,-1)</f>
        <v>1</v>
      </c>
      <c r="G299" s="5">
        <f>Tabela3[[#This Row],[Sinal_TSMOM]]*(0.4*Tabela3[[#This Row],[Volatilidade]])</f>
        <v>0</v>
      </c>
      <c r="H299" s="5">
        <f>Tabela3[[#This Row],[Position_Size]]*Tabela3[[#This Row],[Retorno_Diário]]</f>
        <v>0</v>
      </c>
    </row>
    <row r="300" spans="1:8" x14ac:dyDescent="0.2">
      <c r="A300" s="11" t="s">
        <v>2014</v>
      </c>
      <c r="B300" s="4" t="s">
        <v>2016</v>
      </c>
      <c r="C300" s="5">
        <f t="shared" si="8"/>
        <v>8.5640117622585166E-3</v>
      </c>
      <c r="D300" s="5"/>
      <c r="E300" s="5"/>
      <c r="F300" s="5">
        <f>IF(Tabela3[[#This Row],[Retorno_Diário]]&gt;0,1,-1)</f>
        <v>1</v>
      </c>
      <c r="G300" s="5">
        <f>Tabela3[[#This Row],[Sinal_TSMOM]]*(0.4*Tabela3[[#This Row],[Volatilidade]])</f>
        <v>0</v>
      </c>
      <c r="H300" s="5">
        <f>Tabela3[[#This Row],[Position_Size]]*Tabela3[[#This Row],[Retorno_Diário]]</f>
        <v>0</v>
      </c>
    </row>
    <row r="301" spans="1:8" x14ac:dyDescent="0.2">
      <c r="A301" s="11" t="s">
        <v>2020</v>
      </c>
      <c r="B301" s="4" t="s">
        <v>2022</v>
      </c>
      <c r="C301" s="5">
        <f t="shared" si="8"/>
        <v>3.7533760315578313E-2</v>
      </c>
      <c r="D301" s="5"/>
      <c r="E301" s="5"/>
      <c r="F301" s="5">
        <f>IF(Tabela3[[#This Row],[Retorno_Diário]]&gt;0,1,-1)</f>
        <v>1</v>
      </c>
      <c r="G301" s="5">
        <f>Tabela3[[#This Row],[Sinal_TSMOM]]*(0.4*Tabela3[[#This Row],[Volatilidade]])</f>
        <v>0</v>
      </c>
      <c r="H301" s="5">
        <f>Tabela3[[#This Row],[Position_Size]]*Tabela3[[#This Row],[Retorno_Diário]]</f>
        <v>0</v>
      </c>
    </row>
    <row r="302" spans="1:8" x14ac:dyDescent="0.2">
      <c r="A302" s="11" t="s">
        <v>2027</v>
      </c>
      <c r="B302" s="4" t="s">
        <v>2029</v>
      </c>
      <c r="C302" s="5">
        <f t="shared" si="8"/>
        <v>-1.8147299532697669E-2</v>
      </c>
      <c r="D302" s="5"/>
      <c r="E302" s="5"/>
      <c r="F302" s="5">
        <f>IF(Tabela3[[#This Row],[Retorno_Diário]]&gt;0,1,-1)</f>
        <v>-1</v>
      </c>
      <c r="G302" s="5">
        <f>Tabela3[[#This Row],[Sinal_TSMOM]]*(0.4*Tabela3[[#This Row],[Volatilidade]])</f>
        <v>0</v>
      </c>
      <c r="H302" s="5">
        <f>Tabela3[[#This Row],[Position_Size]]*Tabela3[[#This Row],[Retorno_Diário]]</f>
        <v>0</v>
      </c>
    </row>
    <row r="303" spans="1:8" x14ac:dyDescent="0.2">
      <c r="A303" s="11" t="s">
        <v>2034</v>
      </c>
      <c r="B303" s="4" t="s">
        <v>2036</v>
      </c>
      <c r="C303" s="5">
        <f t="shared" si="8"/>
        <v>2.5670521302028071E-2</v>
      </c>
      <c r="D303" s="5"/>
      <c r="E303" s="5"/>
      <c r="F303" s="5">
        <f>IF(Tabela3[[#This Row],[Retorno_Diário]]&gt;0,1,-1)</f>
        <v>1</v>
      </c>
      <c r="G303" s="5">
        <f>Tabela3[[#This Row],[Sinal_TSMOM]]*(0.4*Tabela3[[#This Row],[Volatilidade]])</f>
        <v>0</v>
      </c>
      <c r="H303" s="5">
        <f>Tabela3[[#This Row],[Position_Size]]*Tabela3[[#This Row],[Retorno_Diário]]</f>
        <v>0</v>
      </c>
    </row>
    <row r="304" spans="1:8" x14ac:dyDescent="0.2">
      <c r="A304" s="11" t="s">
        <v>2041</v>
      </c>
      <c r="B304" s="4" t="s">
        <v>2043</v>
      </c>
      <c r="C304" s="5">
        <f t="shared" si="8"/>
        <v>-5.064509625196445E-3</v>
      </c>
      <c r="D304" s="5"/>
      <c r="E304" s="5"/>
      <c r="F304" s="5">
        <f>IF(Tabela3[[#This Row],[Retorno_Diário]]&gt;0,1,-1)</f>
        <v>-1</v>
      </c>
      <c r="G304" s="5">
        <f>Tabela3[[#This Row],[Sinal_TSMOM]]*(0.4*Tabela3[[#This Row],[Volatilidade]])</f>
        <v>0</v>
      </c>
      <c r="H304" s="5">
        <f>Tabela3[[#This Row],[Position_Size]]*Tabela3[[#This Row],[Retorno_Diário]]</f>
        <v>0</v>
      </c>
    </row>
    <row r="305" spans="1:8" x14ac:dyDescent="0.2">
      <c r="A305" s="11" t="s">
        <v>2048</v>
      </c>
      <c r="B305" s="4" t="s">
        <v>2050</v>
      </c>
      <c r="C305" s="5">
        <f t="shared" si="8"/>
        <v>4.0011759066483021E-2</v>
      </c>
      <c r="D305" s="5"/>
      <c r="E305" s="5"/>
      <c r="F305" s="5">
        <f>IF(Tabela3[[#This Row],[Retorno_Diário]]&gt;0,1,-1)</f>
        <v>1</v>
      </c>
      <c r="G305" s="5">
        <f>Tabela3[[#This Row],[Sinal_TSMOM]]*(0.4*Tabela3[[#This Row],[Volatilidade]])</f>
        <v>0</v>
      </c>
      <c r="H305" s="5">
        <f>Tabela3[[#This Row],[Position_Size]]*Tabela3[[#This Row],[Retorno_Diário]]</f>
        <v>0</v>
      </c>
    </row>
    <row r="306" spans="1:8" x14ac:dyDescent="0.2">
      <c r="A306" s="11" t="s">
        <v>2055</v>
      </c>
      <c r="B306" s="4" t="s">
        <v>2057</v>
      </c>
      <c r="C306" s="5">
        <f t="shared" si="8"/>
        <v>-7.4553877309641026E-3</v>
      </c>
      <c r="D306" s="5"/>
      <c r="E306" s="5"/>
      <c r="F306" s="5">
        <f>IF(Tabela3[[#This Row],[Retorno_Diário]]&gt;0,1,-1)</f>
        <v>-1</v>
      </c>
      <c r="G306" s="5">
        <f>Tabela3[[#This Row],[Sinal_TSMOM]]*(0.4*Tabela3[[#This Row],[Volatilidade]])</f>
        <v>0</v>
      </c>
      <c r="H306" s="5">
        <f>Tabela3[[#This Row],[Position_Size]]*Tabela3[[#This Row],[Retorno_Diário]]</f>
        <v>0</v>
      </c>
    </row>
    <row r="307" spans="1:8" x14ac:dyDescent="0.2">
      <c r="A307" s="11" t="s">
        <v>2062</v>
      </c>
      <c r="B307" s="4" t="s">
        <v>2064</v>
      </c>
      <c r="C307" s="5">
        <f t="shared" si="8"/>
        <v>5.4701750943804806E-2</v>
      </c>
      <c r="D307" s="5"/>
      <c r="E307" s="5"/>
      <c r="F307" s="5">
        <f>IF(Tabela3[[#This Row],[Retorno_Diário]]&gt;0,1,-1)</f>
        <v>1</v>
      </c>
      <c r="G307" s="5">
        <f>Tabela3[[#This Row],[Sinal_TSMOM]]*(0.4*Tabela3[[#This Row],[Volatilidade]])</f>
        <v>0</v>
      </c>
      <c r="H307" s="5">
        <f>Tabela3[[#This Row],[Position_Size]]*Tabela3[[#This Row],[Retorno_Diário]]</f>
        <v>0</v>
      </c>
    </row>
    <row r="308" spans="1:8" x14ac:dyDescent="0.2">
      <c r="A308" s="11" t="s">
        <v>2069</v>
      </c>
      <c r="B308" s="4" t="s">
        <v>2051</v>
      </c>
      <c r="C308" s="5">
        <f t="shared" si="8"/>
        <v>-3.5011369536320336E-2</v>
      </c>
      <c r="D308" s="5"/>
      <c r="E308" s="5"/>
      <c r="F308" s="5">
        <f>IF(Tabela3[[#This Row],[Retorno_Diário]]&gt;0,1,-1)</f>
        <v>-1</v>
      </c>
      <c r="G308" s="5">
        <f>Tabela3[[#This Row],[Sinal_TSMOM]]*(0.4*Tabela3[[#This Row],[Volatilidade]])</f>
        <v>0</v>
      </c>
      <c r="H308" s="5">
        <f>Tabela3[[#This Row],[Position_Size]]*Tabela3[[#This Row],[Retorno_Diário]]</f>
        <v>0</v>
      </c>
    </row>
    <row r="309" spans="1:8" x14ac:dyDescent="0.2">
      <c r="A309" s="11" t="s">
        <v>2075</v>
      </c>
      <c r="B309" s="4" t="s">
        <v>2077</v>
      </c>
      <c r="C309" s="5">
        <f t="shared" si="8"/>
        <v>-2.0957731864822526E-2</v>
      </c>
      <c r="D309" s="5"/>
      <c r="E309" s="5"/>
      <c r="F309" s="5">
        <f>IF(Tabela3[[#This Row],[Retorno_Diário]]&gt;0,1,-1)</f>
        <v>-1</v>
      </c>
      <c r="G309" s="5">
        <f>Tabela3[[#This Row],[Sinal_TSMOM]]*(0.4*Tabela3[[#This Row],[Volatilidade]])</f>
        <v>0</v>
      </c>
      <c r="H309" s="5">
        <f>Tabela3[[#This Row],[Position_Size]]*Tabela3[[#This Row],[Retorno_Diário]]</f>
        <v>0</v>
      </c>
    </row>
    <row r="310" spans="1:8" x14ac:dyDescent="0.2">
      <c r="A310" s="11" t="s">
        <v>2082</v>
      </c>
      <c r="B310" s="4" t="s">
        <v>2084</v>
      </c>
      <c r="C310" s="5">
        <f t="shared" si="8"/>
        <v>1.7781103156081945E-2</v>
      </c>
      <c r="D310" s="5"/>
      <c r="E310" s="5"/>
      <c r="F310" s="5">
        <f>IF(Tabela3[[#This Row],[Retorno_Diário]]&gt;0,1,-1)</f>
        <v>1</v>
      </c>
      <c r="G310" s="5">
        <f>Tabela3[[#This Row],[Sinal_TSMOM]]*(0.4*Tabela3[[#This Row],[Volatilidade]])</f>
        <v>0</v>
      </c>
      <c r="H310" s="5">
        <f>Tabela3[[#This Row],[Position_Size]]*Tabela3[[#This Row],[Retorno_Diário]]</f>
        <v>0</v>
      </c>
    </row>
    <row r="311" spans="1:8" x14ac:dyDescent="0.2">
      <c r="A311" s="11" t="s">
        <v>2089</v>
      </c>
      <c r="B311" s="4" t="s">
        <v>2091</v>
      </c>
      <c r="C311" s="5">
        <f t="shared" si="8"/>
        <v>-2.091968991540738E-3</v>
      </c>
      <c r="D311" s="5"/>
      <c r="E311" s="5"/>
      <c r="F311" s="5">
        <f>IF(Tabela3[[#This Row],[Retorno_Diário]]&gt;0,1,-1)</f>
        <v>-1</v>
      </c>
      <c r="G311" s="5">
        <f>Tabela3[[#This Row],[Sinal_TSMOM]]*(0.4*Tabela3[[#This Row],[Volatilidade]])</f>
        <v>0</v>
      </c>
      <c r="H311" s="5">
        <f>Tabela3[[#This Row],[Position_Size]]*Tabela3[[#This Row],[Retorno_Diário]]</f>
        <v>0</v>
      </c>
    </row>
    <row r="312" spans="1:8" x14ac:dyDescent="0.2">
      <c r="A312" s="11" t="s">
        <v>2096</v>
      </c>
      <c r="B312" s="4" t="s">
        <v>2098</v>
      </c>
      <c r="C312" s="5">
        <f t="shared" si="8"/>
        <v>4.2493351025763015E-3</v>
      </c>
      <c r="D312" s="5"/>
      <c r="E312" s="5"/>
      <c r="F312" s="5">
        <f>IF(Tabela3[[#This Row],[Retorno_Diário]]&gt;0,1,-1)</f>
        <v>1</v>
      </c>
      <c r="G312" s="5">
        <f>Tabela3[[#This Row],[Sinal_TSMOM]]*(0.4*Tabela3[[#This Row],[Volatilidade]])</f>
        <v>0</v>
      </c>
      <c r="H312" s="5">
        <f>Tabela3[[#This Row],[Position_Size]]*Tabela3[[#This Row],[Retorno_Diário]]</f>
        <v>0</v>
      </c>
    </row>
    <row r="313" spans="1:8" x14ac:dyDescent="0.2">
      <c r="A313" s="11" t="s">
        <v>2103</v>
      </c>
      <c r="B313" s="4" t="s">
        <v>2105</v>
      </c>
      <c r="C313" s="5">
        <f t="shared" si="8"/>
        <v>1.3032382959010658E-2</v>
      </c>
      <c r="D313" s="5"/>
      <c r="E313" s="5"/>
      <c r="F313" s="5">
        <f>IF(Tabela3[[#This Row],[Retorno_Diário]]&gt;0,1,-1)</f>
        <v>1</v>
      </c>
      <c r="G313" s="5">
        <f>Tabela3[[#This Row],[Sinal_TSMOM]]*(0.4*Tabela3[[#This Row],[Volatilidade]])</f>
        <v>0</v>
      </c>
      <c r="H313" s="5">
        <f>Tabela3[[#This Row],[Position_Size]]*Tabela3[[#This Row],[Retorno_Diário]]</f>
        <v>0</v>
      </c>
    </row>
    <row r="314" spans="1:8" x14ac:dyDescent="0.2">
      <c r="A314" s="11" t="s">
        <v>2110</v>
      </c>
      <c r="B314" s="4" t="s">
        <v>2112</v>
      </c>
      <c r="C314" s="5">
        <f t="shared" si="8"/>
        <v>1.5148210957694141E-2</v>
      </c>
      <c r="D314" s="5"/>
      <c r="E314" s="5"/>
      <c r="F314" s="5">
        <f>IF(Tabela3[[#This Row],[Retorno_Diário]]&gt;0,1,-1)</f>
        <v>1</v>
      </c>
      <c r="G314" s="5">
        <f>Tabela3[[#This Row],[Sinal_TSMOM]]*(0.4*Tabela3[[#This Row],[Volatilidade]])</f>
        <v>0</v>
      </c>
      <c r="H314" s="5">
        <f>Tabela3[[#This Row],[Position_Size]]*Tabela3[[#This Row],[Retorno_Diário]]</f>
        <v>0</v>
      </c>
    </row>
    <row r="315" spans="1:8" x14ac:dyDescent="0.2">
      <c r="A315" s="11" t="s">
        <v>2117</v>
      </c>
      <c r="B315" s="4" t="s">
        <v>2119</v>
      </c>
      <c r="C315" s="5">
        <f t="shared" si="8"/>
        <v>3.949889930877637E-3</v>
      </c>
      <c r="D315" s="5"/>
      <c r="E315" s="5"/>
      <c r="F315" s="5">
        <f>IF(Tabela3[[#This Row],[Retorno_Diário]]&gt;0,1,-1)</f>
        <v>1</v>
      </c>
      <c r="G315" s="5">
        <f>Tabela3[[#This Row],[Sinal_TSMOM]]*(0.4*Tabela3[[#This Row],[Volatilidade]])</f>
        <v>0</v>
      </c>
      <c r="H315" s="5">
        <f>Tabela3[[#This Row],[Position_Size]]*Tabela3[[#This Row],[Retorno_Diário]]</f>
        <v>0</v>
      </c>
    </row>
    <row r="316" spans="1:8" x14ac:dyDescent="0.2">
      <c r="A316" s="11" t="s">
        <v>2124</v>
      </c>
      <c r="B316" s="4" t="s">
        <v>2126</v>
      </c>
      <c r="C316" s="5">
        <f t="shared" si="8"/>
        <v>3.071039880264359E-2</v>
      </c>
      <c r="D316" s="5"/>
      <c r="E316" s="5"/>
      <c r="F316" s="5">
        <f>IF(Tabela3[[#This Row],[Retorno_Diário]]&gt;0,1,-1)</f>
        <v>1</v>
      </c>
      <c r="G316" s="5">
        <f>Tabela3[[#This Row],[Sinal_TSMOM]]*(0.4*Tabela3[[#This Row],[Volatilidade]])</f>
        <v>0</v>
      </c>
      <c r="H316" s="5">
        <f>Tabela3[[#This Row],[Position_Size]]*Tabela3[[#This Row],[Retorno_Diário]]</f>
        <v>0</v>
      </c>
    </row>
    <row r="317" spans="1:8" x14ac:dyDescent="0.2">
      <c r="A317" s="11" t="s">
        <v>2129</v>
      </c>
      <c r="B317" s="4" t="s">
        <v>2131</v>
      </c>
      <c r="C317" s="5">
        <f t="shared" si="8"/>
        <v>-1.9085621369736572E-3</v>
      </c>
      <c r="D317" s="5"/>
      <c r="E317" s="5"/>
      <c r="F317" s="5">
        <f>IF(Tabela3[[#This Row],[Retorno_Diário]]&gt;0,1,-1)</f>
        <v>-1</v>
      </c>
      <c r="G317" s="5">
        <f>Tabela3[[#This Row],[Sinal_TSMOM]]*(0.4*Tabela3[[#This Row],[Volatilidade]])</f>
        <v>0</v>
      </c>
      <c r="H317" s="5">
        <f>Tabela3[[#This Row],[Position_Size]]*Tabela3[[#This Row],[Retorno_Diário]]</f>
        <v>0</v>
      </c>
    </row>
    <row r="318" spans="1:8" x14ac:dyDescent="0.2">
      <c r="A318" s="11" t="s">
        <v>2136</v>
      </c>
      <c r="B318" s="4" t="s">
        <v>2138</v>
      </c>
      <c r="C318" s="5">
        <f t="shared" si="8"/>
        <v>1.4288701618986765E-2</v>
      </c>
      <c r="D318" s="5"/>
      <c r="E318" s="5"/>
      <c r="F318" s="5">
        <f>IF(Tabela3[[#This Row],[Retorno_Diário]]&gt;0,1,-1)</f>
        <v>1</v>
      </c>
      <c r="G318" s="5">
        <f>Tabela3[[#This Row],[Sinal_TSMOM]]*(0.4*Tabela3[[#This Row],[Volatilidade]])</f>
        <v>0</v>
      </c>
      <c r="H318" s="5">
        <f>Tabela3[[#This Row],[Position_Size]]*Tabela3[[#This Row],[Retorno_Diário]]</f>
        <v>0</v>
      </c>
    </row>
    <row r="319" spans="1:8" x14ac:dyDescent="0.2">
      <c r="A319" s="11" t="s">
        <v>2143</v>
      </c>
      <c r="B319" s="4" t="s">
        <v>2145</v>
      </c>
      <c r="C319" s="5">
        <f t="shared" si="8"/>
        <v>4.3991382120096567E-3</v>
      </c>
      <c r="D319" s="5"/>
      <c r="E319" s="5"/>
      <c r="F319" s="5">
        <f>IF(Tabela3[[#This Row],[Retorno_Diário]]&gt;0,1,-1)</f>
        <v>1</v>
      </c>
      <c r="G319" s="5">
        <f>Tabela3[[#This Row],[Sinal_TSMOM]]*(0.4*Tabela3[[#This Row],[Volatilidade]])</f>
        <v>0</v>
      </c>
      <c r="H319" s="5">
        <f>Tabela3[[#This Row],[Position_Size]]*Tabela3[[#This Row],[Retorno_Diário]]</f>
        <v>0</v>
      </c>
    </row>
    <row r="320" spans="1:8" x14ac:dyDescent="0.2">
      <c r="A320" s="11" t="s">
        <v>2150</v>
      </c>
      <c r="B320" s="4" t="s">
        <v>2152</v>
      </c>
      <c r="C320" s="5">
        <f t="shared" si="8"/>
        <v>-1.3191524486539707E-2</v>
      </c>
      <c r="D320" s="5"/>
      <c r="E320" s="5"/>
      <c r="F320" s="5">
        <f>IF(Tabela3[[#This Row],[Retorno_Diário]]&gt;0,1,-1)</f>
        <v>-1</v>
      </c>
      <c r="G320" s="5">
        <f>Tabela3[[#This Row],[Sinal_TSMOM]]*(0.4*Tabela3[[#This Row],[Volatilidade]])</f>
        <v>0</v>
      </c>
      <c r="H320" s="5">
        <f>Tabela3[[#This Row],[Position_Size]]*Tabela3[[#This Row],[Retorno_Diário]]</f>
        <v>0</v>
      </c>
    </row>
    <row r="321" spans="1:8" x14ac:dyDescent="0.2">
      <c r="A321" s="11" t="s">
        <v>2157</v>
      </c>
      <c r="B321" s="4" t="s">
        <v>2159</v>
      </c>
      <c r="C321" s="5">
        <f t="shared" si="8"/>
        <v>1.5005731821308155E-2</v>
      </c>
      <c r="D321" s="5"/>
      <c r="E321" s="5"/>
      <c r="F321" s="5">
        <f>IF(Tabela3[[#This Row],[Retorno_Diário]]&gt;0,1,-1)</f>
        <v>1</v>
      </c>
      <c r="G321" s="5">
        <f>Tabela3[[#This Row],[Sinal_TSMOM]]*(0.4*Tabela3[[#This Row],[Volatilidade]])</f>
        <v>0</v>
      </c>
      <c r="H321" s="5">
        <f>Tabela3[[#This Row],[Position_Size]]*Tabela3[[#This Row],[Retorno_Diário]]</f>
        <v>0</v>
      </c>
    </row>
    <row r="322" spans="1:8" x14ac:dyDescent="0.2">
      <c r="A322" s="11" t="s">
        <v>2164</v>
      </c>
      <c r="B322" s="4" t="s">
        <v>2166</v>
      </c>
      <c r="C322" s="5">
        <f t="shared" si="8"/>
        <v>-2.9151357901220365E-3</v>
      </c>
      <c r="D322" s="5"/>
      <c r="E322" s="5"/>
      <c r="F322" s="5">
        <f>IF(Tabela3[[#This Row],[Retorno_Diário]]&gt;0,1,-1)</f>
        <v>-1</v>
      </c>
      <c r="G322" s="5">
        <f>Tabela3[[#This Row],[Sinal_TSMOM]]*(0.4*Tabela3[[#This Row],[Volatilidade]])</f>
        <v>0</v>
      </c>
      <c r="H322" s="5">
        <f>Tabela3[[#This Row],[Position_Size]]*Tabela3[[#This Row],[Retorno_Diário]]</f>
        <v>0</v>
      </c>
    </row>
    <row r="323" spans="1:8" x14ac:dyDescent="0.2">
      <c r="A323" s="11" t="s">
        <v>2171</v>
      </c>
      <c r="B323" s="4" t="s">
        <v>2173</v>
      </c>
      <c r="C323" s="5">
        <f t="shared" si="8"/>
        <v>-7.9878815543844572E-3</v>
      </c>
      <c r="D323" s="5"/>
      <c r="E323" s="5"/>
      <c r="F323" s="5">
        <f>IF(Tabela3[[#This Row],[Retorno_Diário]]&gt;0,1,-1)</f>
        <v>-1</v>
      </c>
      <c r="G323" s="5">
        <f>Tabela3[[#This Row],[Sinal_TSMOM]]*(0.4*Tabela3[[#This Row],[Volatilidade]])</f>
        <v>0</v>
      </c>
      <c r="H323" s="5">
        <f>Tabela3[[#This Row],[Position_Size]]*Tabela3[[#This Row],[Retorno_Diário]]</f>
        <v>0</v>
      </c>
    </row>
    <row r="324" spans="1:8" x14ac:dyDescent="0.2">
      <c r="A324" s="11" t="s">
        <v>2178</v>
      </c>
      <c r="B324" s="4" t="s">
        <v>2180</v>
      </c>
      <c r="C324" s="5">
        <f t="shared" ref="C324:C387" si="9">B324/B323-1</f>
        <v>-2.7945905619715883E-2</v>
      </c>
      <c r="D324" s="5"/>
      <c r="E324" s="5"/>
      <c r="F324" s="5">
        <f>IF(Tabela3[[#This Row],[Retorno_Diário]]&gt;0,1,-1)</f>
        <v>-1</v>
      </c>
      <c r="G324" s="5">
        <f>Tabela3[[#This Row],[Sinal_TSMOM]]*(0.4*Tabela3[[#This Row],[Volatilidade]])</f>
        <v>0</v>
      </c>
      <c r="H324" s="5">
        <f>Tabela3[[#This Row],[Position_Size]]*Tabela3[[#This Row],[Retorno_Diário]]</f>
        <v>0</v>
      </c>
    </row>
    <row r="325" spans="1:8" x14ac:dyDescent="0.2">
      <c r="A325" s="11" t="s">
        <v>2185</v>
      </c>
      <c r="B325" s="4" t="s">
        <v>2187</v>
      </c>
      <c r="C325" s="5">
        <f t="shared" si="9"/>
        <v>1.900378154857485E-2</v>
      </c>
      <c r="D325" s="5"/>
      <c r="E325" s="5"/>
      <c r="F325" s="5">
        <f>IF(Tabela3[[#This Row],[Retorno_Diário]]&gt;0,1,-1)</f>
        <v>1</v>
      </c>
      <c r="G325" s="5">
        <f>Tabela3[[#This Row],[Sinal_TSMOM]]*(0.4*Tabela3[[#This Row],[Volatilidade]])</f>
        <v>0</v>
      </c>
      <c r="H325" s="5">
        <f>Tabela3[[#This Row],[Position_Size]]*Tabela3[[#This Row],[Retorno_Diário]]</f>
        <v>0</v>
      </c>
    </row>
    <row r="326" spans="1:8" x14ac:dyDescent="0.2">
      <c r="A326" s="11" t="s">
        <v>2192</v>
      </c>
      <c r="B326" s="4" t="s">
        <v>2194</v>
      </c>
      <c r="C326" s="5">
        <f t="shared" si="9"/>
        <v>-4.8881068026102037E-3</v>
      </c>
      <c r="D326" s="5"/>
      <c r="E326" s="5"/>
      <c r="F326" s="5">
        <f>IF(Tabela3[[#This Row],[Retorno_Diário]]&gt;0,1,-1)</f>
        <v>-1</v>
      </c>
      <c r="G326" s="5">
        <f>Tabela3[[#This Row],[Sinal_TSMOM]]*(0.4*Tabela3[[#This Row],[Volatilidade]])</f>
        <v>0</v>
      </c>
      <c r="H326" s="5">
        <f>Tabela3[[#This Row],[Position_Size]]*Tabela3[[#This Row],[Retorno_Diário]]</f>
        <v>0</v>
      </c>
    </row>
    <row r="327" spans="1:8" x14ac:dyDescent="0.2">
      <c r="A327" s="11" t="s">
        <v>2199</v>
      </c>
      <c r="B327" s="4" t="s">
        <v>2201</v>
      </c>
      <c r="C327" s="5">
        <f t="shared" si="9"/>
        <v>-5.2859699024065954E-3</v>
      </c>
      <c r="D327" s="5"/>
      <c r="E327" s="5"/>
      <c r="F327" s="5">
        <f>IF(Tabela3[[#This Row],[Retorno_Diário]]&gt;0,1,-1)</f>
        <v>-1</v>
      </c>
      <c r="G327" s="5">
        <f>Tabela3[[#This Row],[Sinal_TSMOM]]*(0.4*Tabela3[[#This Row],[Volatilidade]])</f>
        <v>0</v>
      </c>
      <c r="H327" s="5">
        <f>Tabela3[[#This Row],[Position_Size]]*Tabela3[[#This Row],[Retorno_Diário]]</f>
        <v>0</v>
      </c>
    </row>
    <row r="328" spans="1:8" x14ac:dyDescent="0.2">
      <c r="A328" s="11" t="s">
        <v>2205</v>
      </c>
      <c r="B328" s="4" t="s">
        <v>2207</v>
      </c>
      <c r="C328" s="5">
        <f t="shared" si="9"/>
        <v>1.1647931888299157E-2</v>
      </c>
      <c r="D328" s="5"/>
      <c r="E328" s="5"/>
      <c r="F328" s="5">
        <f>IF(Tabela3[[#This Row],[Retorno_Diário]]&gt;0,1,-1)</f>
        <v>1</v>
      </c>
      <c r="G328" s="5">
        <f>Tabela3[[#This Row],[Sinal_TSMOM]]*(0.4*Tabela3[[#This Row],[Volatilidade]])</f>
        <v>0</v>
      </c>
      <c r="H328" s="5">
        <f>Tabela3[[#This Row],[Position_Size]]*Tabela3[[#This Row],[Retorno_Diário]]</f>
        <v>0</v>
      </c>
    </row>
    <row r="329" spans="1:8" x14ac:dyDescent="0.2">
      <c r="A329" s="11" t="s">
        <v>2212</v>
      </c>
      <c r="B329" s="4" t="s">
        <v>2214</v>
      </c>
      <c r="C329" s="5">
        <f t="shared" si="9"/>
        <v>1.1672908788115111E-2</v>
      </c>
      <c r="D329" s="5"/>
      <c r="E329" s="5"/>
      <c r="F329" s="5">
        <f>IF(Tabela3[[#This Row],[Retorno_Diário]]&gt;0,1,-1)</f>
        <v>1</v>
      </c>
      <c r="G329" s="5">
        <f>Tabela3[[#This Row],[Sinal_TSMOM]]*(0.4*Tabela3[[#This Row],[Volatilidade]])</f>
        <v>0</v>
      </c>
      <c r="H329" s="5">
        <f>Tabela3[[#This Row],[Position_Size]]*Tabela3[[#This Row],[Retorno_Diário]]</f>
        <v>0</v>
      </c>
    </row>
    <row r="330" spans="1:8" x14ac:dyDescent="0.2">
      <c r="A330" s="11" t="s">
        <v>2219</v>
      </c>
      <c r="B330" s="4" t="s">
        <v>2221</v>
      </c>
      <c r="C330" s="5">
        <f t="shared" si="9"/>
        <v>2.6223918754757491E-3</v>
      </c>
      <c r="D330" s="5"/>
      <c r="E330" s="5"/>
      <c r="F330" s="5">
        <f>IF(Tabela3[[#This Row],[Retorno_Diário]]&gt;0,1,-1)</f>
        <v>1</v>
      </c>
      <c r="G330" s="5">
        <f>Tabela3[[#This Row],[Sinal_TSMOM]]*(0.4*Tabela3[[#This Row],[Volatilidade]])</f>
        <v>0</v>
      </c>
      <c r="H330" s="5">
        <f>Tabela3[[#This Row],[Position_Size]]*Tabela3[[#This Row],[Retorno_Diário]]</f>
        <v>0</v>
      </c>
    </row>
    <row r="331" spans="1:8" x14ac:dyDescent="0.2">
      <c r="A331" s="11" t="s">
        <v>2226</v>
      </c>
      <c r="B331" s="4" t="s">
        <v>2228</v>
      </c>
      <c r="C331" s="5">
        <f t="shared" si="9"/>
        <v>-2.2283861598149213E-2</v>
      </c>
      <c r="D331" s="5"/>
      <c r="E331" s="5"/>
      <c r="F331" s="5">
        <f>IF(Tabela3[[#This Row],[Retorno_Diário]]&gt;0,1,-1)</f>
        <v>-1</v>
      </c>
      <c r="G331" s="5">
        <f>Tabela3[[#This Row],[Sinal_TSMOM]]*(0.4*Tabela3[[#This Row],[Volatilidade]])</f>
        <v>0</v>
      </c>
      <c r="H331" s="5">
        <f>Tabela3[[#This Row],[Position_Size]]*Tabela3[[#This Row],[Retorno_Diário]]</f>
        <v>0</v>
      </c>
    </row>
    <row r="332" spans="1:8" x14ac:dyDescent="0.2">
      <c r="A332" s="11" t="s">
        <v>2232</v>
      </c>
      <c r="B332" s="4" t="s">
        <v>2234</v>
      </c>
      <c r="C332" s="5">
        <f t="shared" si="9"/>
        <v>-4.7188484843105227E-2</v>
      </c>
      <c r="D332" s="5"/>
      <c r="E332" s="5"/>
      <c r="F332" s="5">
        <f>IF(Tabela3[[#This Row],[Retorno_Diário]]&gt;0,1,-1)</f>
        <v>-1</v>
      </c>
      <c r="G332" s="5">
        <f>Tabela3[[#This Row],[Sinal_TSMOM]]*(0.4*Tabela3[[#This Row],[Volatilidade]])</f>
        <v>0</v>
      </c>
      <c r="H332" s="5">
        <f>Tabela3[[#This Row],[Position_Size]]*Tabela3[[#This Row],[Retorno_Diário]]</f>
        <v>0</v>
      </c>
    </row>
    <row r="333" spans="1:8" x14ac:dyDescent="0.2">
      <c r="A333" s="11" t="s">
        <v>2239</v>
      </c>
      <c r="B333" s="4" t="s">
        <v>2241</v>
      </c>
      <c r="C333" s="5">
        <f t="shared" si="9"/>
        <v>6.9628024712311554E-3</v>
      </c>
      <c r="D333" s="5"/>
      <c r="E333" s="5"/>
      <c r="F333" s="5">
        <f>IF(Tabela3[[#This Row],[Retorno_Diário]]&gt;0,1,-1)</f>
        <v>1</v>
      </c>
      <c r="G333" s="5">
        <f>Tabela3[[#This Row],[Sinal_TSMOM]]*(0.4*Tabela3[[#This Row],[Volatilidade]])</f>
        <v>0</v>
      </c>
      <c r="H333" s="5">
        <f>Tabela3[[#This Row],[Position_Size]]*Tabela3[[#This Row],[Retorno_Diário]]</f>
        <v>0</v>
      </c>
    </row>
    <row r="334" spans="1:8" x14ac:dyDescent="0.2">
      <c r="A334" s="11" t="s">
        <v>2246</v>
      </c>
      <c r="B334" s="4" t="s">
        <v>2248</v>
      </c>
      <c r="C334" s="5">
        <f t="shared" si="9"/>
        <v>9.3124302479781207E-3</v>
      </c>
      <c r="D334" s="5"/>
      <c r="E334" s="5"/>
      <c r="F334" s="5">
        <f>IF(Tabela3[[#This Row],[Retorno_Diário]]&gt;0,1,-1)</f>
        <v>1</v>
      </c>
      <c r="G334" s="5">
        <f>Tabela3[[#This Row],[Sinal_TSMOM]]*(0.4*Tabela3[[#This Row],[Volatilidade]])</f>
        <v>0</v>
      </c>
      <c r="H334" s="5">
        <f>Tabela3[[#This Row],[Position_Size]]*Tabela3[[#This Row],[Retorno_Diário]]</f>
        <v>0</v>
      </c>
    </row>
    <row r="335" spans="1:8" x14ac:dyDescent="0.2">
      <c r="A335" s="11" t="s">
        <v>2253</v>
      </c>
      <c r="B335" s="4" t="s">
        <v>2255</v>
      </c>
      <c r="C335" s="5">
        <f t="shared" si="9"/>
        <v>-2.9281489139757477E-3</v>
      </c>
      <c r="D335" s="5"/>
      <c r="E335" s="5"/>
      <c r="F335" s="5">
        <f>IF(Tabela3[[#This Row],[Retorno_Diário]]&gt;0,1,-1)</f>
        <v>-1</v>
      </c>
      <c r="G335" s="5">
        <f>Tabela3[[#This Row],[Sinal_TSMOM]]*(0.4*Tabela3[[#This Row],[Volatilidade]])</f>
        <v>0</v>
      </c>
      <c r="H335" s="5">
        <f>Tabela3[[#This Row],[Position_Size]]*Tabela3[[#This Row],[Retorno_Diário]]</f>
        <v>0</v>
      </c>
    </row>
    <row r="336" spans="1:8" x14ac:dyDescent="0.2">
      <c r="A336" s="11" t="s">
        <v>2260</v>
      </c>
      <c r="B336" s="4" t="s">
        <v>2262</v>
      </c>
      <c r="C336" s="5">
        <f t="shared" si="9"/>
        <v>1.50717208285156E-2</v>
      </c>
      <c r="D336" s="5"/>
      <c r="E336" s="5"/>
      <c r="F336" s="5">
        <f>IF(Tabela3[[#This Row],[Retorno_Diário]]&gt;0,1,-1)</f>
        <v>1</v>
      </c>
      <c r="G336" s="5">
        <f>Tabela3[[#This Row],[Sinal_TSMOM]]*(0.4*Tabela3[[#This Row],[Volatilidade]])</f>
        <v>0</v>
      </c>
      <c r="H336" s="5">
        <f>Tabela3[[#This Row],[Position_Size]]*Tabela3[[#This Row],[Retorno_Diário]]</f>
        <v>0</v>
      </c>
    </row>
    <row r="337" spans="1:8" x14ac:dyDescent="0.2">
      <c r="A337" s="11" t="s">
        <v>2267</v>
      </c>
      <c r="B337" s="4" t="s">
        <v>2269</v>
      </c>
      <c r="C337" s="5">
        <f t="shared" si="9"/>
        <v>-9.8256721480194376E-4</v>
      </c>
      <c r="D337" s="5"/>
      <c r="E337" s="5"/>
      <c r="F337" s="5">
        <f>IF(Tabela3[[#This Row],[Retorno_Diário]]&gt;0,1,-1)</f>
        <v>-1</v>
      </c>
      <c r="G337" s="5">
        <f>Tabela3[[#This Row],[Sinal_TSMOM]]*(0.4*Tabela3[[#This Row],[Volatilidade]])</f>
        <v>0</v>
      </c>
      <c r="H337" s="5">
        <f>Tabela3[[#This Row],[Position_Size]]*Tabela3[[#This Row],[Retorno_Diário]]</f>
        <v>0</v>
      </c>
    </row>
    <row r="338" spans="1:8" x14ac:dyDescent="0.2">
      <c r="A338" s="11" t="s">
        <v>2274</v>
      </c>
      <c r="B338" s="4" t="s">
        <v>2276</v>
      </c>
      <c r="C338" s="5">
        <f t="shared" si="9"/>
        <v>-1.7266814625749638E-2</v>
      </c>
      <c r="D338" s="5"/>
      <c r="E338" s="5"/>
      <c r="F338" s="5">
        <f>IF(Tabela3[[#This Row],[Retorno_Diário]]&gt;0,1,-1)</f>
        <v>-1</v>
      </c>
      <c r="G338" s="5">
        <f>Tabela3[[#This Row],[Sinal_TSMOM]]*(0.4*Tabela3[[#This Row],[Volatilidade]])</f>
        <v>0</v>
      </c>
      <c r="H338" s="5">
        <f>Tabela3[[#This Row],[Position_Size]]*Tabela3[[#This Row],[Retorno_Diário]]</f>
        <v>0</v>
      </c>
    </row>
    <row r="339" spans="1:8" x14ac:dyDescent="0.2">
      <c r="A339" s="11" t="s">
        <v>2280</v>
      </c>
      <c r="B339" s="4" t="s">
        <v>2282</v>
      </c>
      <c r="C339" s="5">
        <f t="shared" si="9"/>
        <v>-3.7475661023276707E-2</v>
      </c>
      <c r="D339" s="5"/>
      <c r="E339" s="5"/>
      <c r="F339" s="5">
        <f>IF(Tabela3[[#This Row],[Retorno_Diário]]&gt;0,1,-1)</f>
        <v>-1</v>
      </c>
      <c r="G339" s="5">
        <f>Tabela3[[#This Row],[Sinal_TSMOM]]*(0.4*Tabela3[[#This Row],[Volatilidade]])</f>
        <v>0</v>
      </c>
      <c r="H339" s="5">
        <f>Tabela3[[#This Row],[Position_Size]]*Tabela3[[#This Row],[Retorno_Diário]]</f>
        <v>0</v>
      </c>
    </row>
    <row r="340" spans="1:8" x14ac:dyDescent="0.2">
      <c r="A340" s="11" t="s">
        <v>2285</v>
      </c>
      <c r="B340" s="4" t="s">
        <v>2287</v>
      </c>
      <c r="C340" s="5">
        <f t="shared" si="9"/>
        <v>4.6790694087115448E-3</v>
      </c>
      <c r="D340" s="5"/>
      <c r="E340" s="5"/>
      <c r="F340" s="5">
        <f>IF(Tabela3[[#This Row],[Retorno_Diário]]&gt;0,1,-1)</f>
        <v>1</v>
      </c>
      <c r="G340" s="5">
        <f>Tabela3[[#This Row],[Sinal_TSMOM]]*(0.4*Tabela3[[#This Row],[Volatilidade]])</f>
        <v>0</v>
      </c>
      <c r="H340" s="5">
        <f>Tabela3[[#This Row],[Position_Size]]*Tabela3[[#This Row],[Retorno_Diário]]</f>
        <v>0</v>
      </c>
    </row>
    <row r="341" spans="1:8" x14ac:dyDescent="0.2">
      <c r="A341" s="11" t="s">
        <v>2292</v>
      </c>
      <c r="B341" s="4" t="s">
        <v>2294</v>
      </c>
      <c r="C341" s="5">
        <f t="shared" si="9"/>
        <v>-2.1446705058563609E-2</v>
      </c>
      <c r="D341" s="5"/>
      <c r="E341" s="5"/>
      <c r="F341" s="5">
        <f>IF(Tabela3[[#This Row],[Retorno_Diário]]&gt;0,1,-1)</f>
        <v>-1</v>
      </c>
      <c r="G341" s="5">
        <f>Tabela3[[#This Row],[Sinal_TSMOM]]*(0.4*Tabela3[[#This Row],[Volatilidade]])</f>
        <v>0</v>
      </c>
      <c r="H341" s="5">
        <f>Tabela3[[#This Row],[Position_Size]]*Tabela3[[#This Row],[Retorno_Diário]]</f>
        <v>0</v>
      </c>
    </row>
    <row r="342" spans="1:8" x14ac:dyDescent="0.2">
      <c r="A342" s="11" t="s">
        <v>2298</v>
      </c>
      <c r="B342" s="4" t="s">
        <v>2300</v>
      </c>
      <c r="C342" s="5">
        <f t="shared" si="9"/>
        <v>-8.0497759854281092E-3</v>
      </c>
      <c r="D342" s="5"/>
      <c r="E342" s="5"/>
      <c r="F342" s="5">
        <f>IF(Tabela3[[#This Row],[Retorno_Diário]]&gt;0,1,-1)</f>
        <v>-1</v>
      </c>
      <c r="G342" s="5">
        <f>Tabela3[[#This Row],[Sinal_TSMOM]]*(0.4*Tabela3[[#This Row],[Volatilidade]])</f>
        <v>0</v>
      </c>
      <c r="H342" s="5">
        <f>Tabela3[[#This Row],[Position_Size]]*Tabela3[[#This Row],[Retorno_Diário]]</f>
        <v>0</v>
      </c>
    </row>
    <row r="343" spans="1:8" x14ac:dyDescent="0.2">
      <c r="A343" s="11" t="s">
        <v>2304</v>
      </c>
      <c r="B343" s="4" t="s">
        <v>2306</v>
      </c>
      <c r="C343" s="5">
        <f t="shared" si="9"/>
        <v>-6.1426353768995745E-2</v>
      </c>
      <c r="D343" s="5"/>
      <c r="E343" s="5"/>
      <c r="F343" s="5">
        <f>IF(Tabela3[[#This Row],[Retorno_Diário]]&gt;0,1,-1)</f>
        <v>-1</v>
      </c>
      <c r="G343" s="5">
        <f>Tabela3[[#This Row],[Sinal_TSMOM]]*(0.4*Tabela3[[#This Row],[Volatilidade]])</f>
        <v>0</v>
      </c>
      <c r="H343" s="5">
        <f>Tabela3[[#This Row],[Position_Size]]*Tabela3[[#This Row],[Retorno_Diário]]</f>
        <v>0</v>
      </c>
    </row>
    <row r="344" spans="1:8" x14ac:dyDescent="0.2">
      <c r="A344" s="11" t="s">
        <v>2310</v>
      </c>
      <c r="B344" s="4" t="s">
        <v>2312</v>
      </c>
      <c r="C344" s="5">
        <f t="shared" si="9"/>
        <v>2.2657002205337173E-2</v>
      </c>
      <c r="D344" s="5"/>
      <c r="E344" s="5"/>
      <c r="F344" s="5">
        <f>IF(Tabela3[[#This Row],[Retorno_Diário]]&gt;0,1,-1)</f>
        <v>1</v>
      </c>
      <c r="G344" s="5">
        <f>Tabela3[[#This Row],[Sinal_TSMOM]]*(0.4*Tabela3[[#This Row],[Volatilidade]])</f>
        <v>0</v>
      </c>
      <c r="H344" s="5">
        <f>Tabela3[[#This Row],[Position_Size]]*Tabela3[[#This Row],[Retorno_Diário]]</f>
        <v>0</v>
      </c>
    </row>
    <row r="345" spans="1:8" x14ac:dyDescent="0.2">
      <c r="A345" s="11" t="s">
        <v>2315</v>
      </c>
      <c r="B345" s="4" t="s">
        <v>2317</v>
      </c>
      <c r="C345" s="5">
        <f t="shared" si="9"/>
        <v>-1.5181454130821503E-2</v>
      </c>
      <c r="D345" s="5"/>
      <c r="E345" s="5"/>
      <c r="F345" s="5">
        <f>IF(Tabela3[[#This Row],[Retorno_Diário]]&gt;0,1,-1)</f>
        <v>-1</v>
      </c>
      <c r="G345" s="5">
        <f>Tabela3[[#This Row],[Sinal_TSMOM]]*(0.4*Tabela3[[#This Row],[Volatilidade]])</f>
        <v>0</v>
      </c>
      <c r="H345" s="5">
        <f>Tabela3[[#This Row],[Position_Size]]*Tabela3[[#This Row],[Retorno_Diário]]</f>
        <v>0</v>
      </c>
    </row>
    <row r="346" spans="1:8" x14ac:dyDescent="0.2">
      <c r="A346" s="11" t="s">
        <v>2322</v>
      </c>
      <c r="B346" s="4" t="s">
        <v>2324</v>
      </c>
      <c r="C346" s="5">
        <f t="shared" si="9"/>
        <v>3.8224662192059E-3</v>
      </c>
      <c r="D346" s="5"/>
      <c r="E346" s="5"/>
      <c r="F346" s="5">
        <f>IF(Tabela3[[#This Row],[Retorno_Diário]]&gt;0,1,-1)</f>
        <v>1</v>
      </c>
      <c r="G346" s="5">
        <f>Tabela3[[#This Row],[Sinal_TSMOM]]*(0.4*Tabela3[[#This Row],[Volatilidade]])</f>
        <v>0</v>
      </c>
      <c r="H346" s="5">
        <f>Tabela3[[#This Row],[Position_Size]]*Tabela3[[#This Row],[Retorno_Diário]]</f>
        <v>0</v>
      </c>
    </row>
    <row r="347" spans="1:8" x14ac:dyDescent="0.2">
      <c r="A347" s="11" t="s">
        <v>2329</v>
      </c>
      <c r="B347" s="4" t="s">
        <v>2331</v>
      </c>
      <c r="C347" s="5">
        <f t="shared" si="9"/>
        <v>-2.2847820860911194E-2</v>
      </c>
      <c r="D347" s="5"/>
      <c r="E347" s="5"/>
      <c r="F347" s="5">
        <f>IF(Tabela3[[#This Row],[Retorno_Diário]]&gt;0,1,-1)</f>
        <v>-1</v>
      </c>
      <c r="G347" s="5">
        <f>Tabela3[[#This Row],[Sinal_TSMOM]]*(0.4*Tabela3[[#This Row],[Volatilidade]])</f>
        <v>0</v>
      </c>
      <c r="H347" s="5">
        <f>Tabela3[[#This Row],[Position_Size]]*Tabela3[[#This Row],[Retorno_Diário]]</f>
        <v>0</v>
      </c>
    </row>
    <row r="348" spans="1:8" x14ac:dyDescent="0.2">
      <c r="A348" s="11" t="s">
        <v>2335</v>
      </c>
      <c r="B348" s="4" t="s">
        <v>2337</v>
      </c>
      <c r="C348" s="5">
        <f t="shared" si="9"/>
        <v>-3.0537257453685074E-2</v>
      </c>
      <c r="D348" s="5"/>
      <c r="E348" s="5"/>
      <c r="F348" s="5">
        <f>IF(Tabela3[[#This Row],[Retorno_Diário]]&gt;0,1,-1)</f>
        <v>-1</v>
      </c>
      <c r="G348" s="5">
        <f>Tabela3[[#This Row],[Sinal_TSMOM]]*(0.4*Tabela3[[#This Row],[Volatilidade]])</f>
        <v>0</v>
      </c>
      <c r="H348" s="5">
        <f>Tabela3[[#This Row],[Position_Size]]*Tabela3[[#This Row],[Retorno_Diário]]</f>
        <v>0</v>
      </c>
    </row>
    <row r="349" spans="1:8" x14ac:dyDescent="0.2">
      <c r="A349" s="11" t="s">
        <v>2342</v>
      </c>
      <c r="B349" s="4" t="s">
        <v>2344</v>
      </c>
      <c r="C349" s="5">
        <f t="shared" si="9"/>
        <v>2.1812149603248843E-2</v>
      </c>
      <c r="D349" s="5"/>
      <c r="E349" s="5"/>
      <c r="F349" s="5">
        <f>IF(Tabela3[[#This Row],[Retorno_Diário]]&gt;0,1,-1)</f>
        <v>1</v>
      </c>
      <c r="G349" s="5">
        <f>Tabela3[[#This Row],[Sinal_TSMOM]]*(0.4*Tabela3[[#This Row],[Volatilidade]])</f>
        <v>0</v>
      </c>
      <c r="H349" s="5">
        <f>Tabela3[[#This Row],[Position_Size]]*Tabela3[[#This Row],[Retorno_Diário]]</f>
        <v>0</v>
      </c>
    </row>
    <row r="350" spans="1:8" x14ac:dyDescent="0.2">
      <c r="A350" s="11" t="s">
        <v>2349</v>
      </c>
      <c r="B350" s="4" t="s">
        <v>2351</v>
      </c>
      <c r="C350" s="5">
        <f t="shared" si="9"/>
        <v>-1.8444428357842768E-2</v>
      </c>
      <c r="D350" s="5"/>
      <c r="E350" s="5"/>
      <c r="F350" s="5">
        <f>IF(Tabela3[[#This Row],[Retorno_Diário]]&gt;0,1,-1)</f>
        <v>-1</v>
      </c>
      <c r="G350" s="5">
        <f>Tabela3[[#This Row],[Sinal_TSMOM]]*(0.4*Tabela3[[#This Row],[Volatilidade]])</f>
        <v>0</v>
      </c>
      <c r="H350" s="5">
        <f>Tabela3[[#This Row],[Position_Size]]*Tabela3[[#This Row],[Retorno_Diário]]</f>
        <v>0</v>
      </c>
    </row>
    <row r="351" spans="1:8" x14ac:dyDescent="0.2">
      <c r="A351" s="11" t="s">
        <v>2355</v>
      </c>
      <c r="B351" s="4" t="s">
        <v>2357</v>
      </c>
      <c r="C351" s="5">
        <f t="shared" si="9"/>
        <v>-3.2063068824895957E-2</v>
      </c>
      <c r="D351" s="5"/>
      <c r="E351" s="5"/>
      <c r="F351" s="5">
        <f>IF(Tabela3[[#This Row],[Retorno_Diário]]&gt;0,1,-1)</f>
        <v>-1</v>
      </c>
      <c r="G351" s="5">
        <f>Tabela3[[#This Row],[Sinal_TSMOM]]*(0.4*Tabela3[[#This Row],[Volatilidade]])</f>
        <v>0</v>
      </c>
      <c r="H351" s="5">
        <f>Tabela3[[#This Row],[Position_Size]]*Tabela3[[#This Row],[Retorno_Diário]]</f>
        <v>0</v>
      </c>
    </row>
    <row r="352" spans="1:8" x14ac:dyDescent="0.2">
      <c r="A352" s="11" t="s">
        <v>2360</v>
      </c>
      <c r="B352" s="4" t="s">
        <v>2362</v>
      </c>
      <c r="C352" s="5">
        <f t="shared" si="9"/>
        <v>-1.4729839971485914E-2</v>
      </c>
      <c r="D352" s="5"/>
      <c r="E352" s="5"/>
      <c r="F352" s="5">
        <f>IF(Tabela3[[#This Row],[Retorno_Diário]]&gt;0,1,-1)</f>
        <v>-1</v>
      </c>
      <c r="G352" s="5">
        <f>Tabela3[[#This Row],[Sinal_TSMOM]]*(0.4*Tabela3[[#This Row],[Volatilidade]])</f>
        <v>0</v>
      </c>
      <c r="H352" s="5">
        <f>Tabela3[[#This Row],[Position_Size]]*Tabela3[[#This Row],[Retorno_Diário]]</f>
        <v>0</v>
      </c>
    </row>
    <row r="353" spans="1:8" x14ac:dyDescent="0.2">
      <c r="A353" s="11" t="s">
        <v>2367</v>
      </c>
      <c r="B353" s="4" t="s">
        <v>2369</v>
      </c>
      <c r="C353" s="5">
        <f t="shared" si="9"/>
        <v>-1.2538763755593374E-2</v>
      </c>
      <c r="D353" s="5"/>
      <c r="E353" s="5"/>
      <c r="F353" s="5">
        <f>IF(Tabela3[[#This Row],[Retorno_Diário]]&gt;0,1,-1)</f>
        <v>-1</v>
      </c>
      <c r="G353" s="5">
        <f>Tabela3[[#This Row],[Sinal_TSMOM]]*(0.4*Tabela3[[#This Row],[Volatilidade]])</f>
        <v>0</v>
      </c>
      <c r="H353" s="5">
        <f>Tabela3[[#This Row],[Position_Size]]*Tabela3[[#This Row],[Retorno_Diário]]</f>
        <v>0</v>
      </c>
    </row>
    <row r="354" spans="1:8" x14ac:dyDescent="0.2">
      <c r="A354" s="11" t="s">
        <v>2374</v>
      </c>
      <c r="B354" s="4" t="s">
        <v>2376</v>
      </c>
      <c r="C354" s="5">
        <f t="shared" si="9"/>
        <v>-2.0860935083876986E-2</v>
      </c>
      <c r="D354" s="5"/>
      <c r="E354" s="5"/>
      <c r="F354" s="5">
        <f>IF(Tabela3[[#This Row],[Retorno_Diário]]&gt;0,1,-1)</f>
        <v>-1</v>
      </c>
      <c r="G354" s="5">
        <f>Tabela3[[#This Row],[Sinal_TSMOM]]*(0.4*Tabela3[[#This Row],[Volatilidade]])</f>
        <v>0</v>
      </c>
      <c r="H354" s="5">
        <f>Tabela3[[#This Row],[Position_Size]]*Tabela3[[#This Row],[Retorno_Diário]]</f>
        <v>0</v>
      </c>
    </row>
    <row r="355" spans="1:8" x14ac:dyDescent="0.2">
      <c r="A355" s="11" t="s">
        <v>2381</v>
      </c>
      <c r="B355" s="4" t="s">
        <v>2383</v>
      </c>
      <c r="C355" s="5">
        <f t="shared" si="9"/>
        <v>-8.7644393245958074E-3</v>
      </c>
      <c r="D355" s="5"/>
      <c r="E355" s="5"/>
      <c r="F355" s="5">
        <f>IF(Tabela3[[#This Row],[Retorno_Diário]]&gt;0,1,-1)</f>
        <v>-1</v>
      </c>
      <c r="G355" s="5">
        <f>Tabela3[[#This Row],[Sinal_TSMOM]]*(0.4*Tabela3[[#This Row],[Volatilidade]])</f>
        <v>0</v>
      </c>
      <c r="H355" s="5">
        <f>Tabela3[[#This Row],[Position_Size]]*Tabela3[[#This Row],[Retorno_Diário]]</f>
        <v>0</v>
      </c>
    </row>
    <row r="356" spans="1:8" x14ac:dyDescent="0.2">
      <c r="A356" s="11" t="s">
        <v>2388</v>
      </c>
      <c r="B356" s="4" t="s">
        <v>2390</v>
      </c>
      <c r="C356" s="5">
        <f t="shared" si="9"/>
        <v>-2.6238280367081313E-2</v>
      </c>
      <c r="D356" s="5"/>
      <c r="E356" s="5"/>
      <c r="F356" s="5">
        <f>IF(Tabela3[[#This Row],[Retorno_Diário]]&gt;0,1,-1)</f>
        <v>-1</v>
      </c>
      <c r="G356" s="5">
        <f>Tabela3[[#This Row],[Sinal_TSMOM]]*(0.4*Tabela3[[#This Row],[Volatilidade]])</f>
        <v>0</v>
      </c>
      <c r="H356" s="5">
        <f>Tabela3[[#This Row],[Position_Size]]*Tabela3[[#This Row],[Retorno_Diário]]</f>
        <v>0</v>
      </c>
    </row>
    <row r="357" spans="1:8" x14ac:dyDescent="0.2">
      <c r="A357" s="11" t="s">
        <v>2395</v>
      </c>
      <c r="B357" s="4" t="s">
        <v>2397</v>
      </c>
      <c r="C357" s="5">
        <f t="shared" si="9"/>
        <v>-1.2402131510749093E-2</v>
      </c>
      <c r="D357" s="5"/>
      <c r="E357" s="5"/>
      <c r="F357" s="5">
        <f>IF(Tabela3[[#This Row],[Retorno_Diário]]&gt;0,1,-1)</f>
        <v>-1</v>
      </c>
      <c r="G357" s="5">
        <f>Tabela3[[#This Row],[Sinal_TSMOM]]*(0.4*Tabela3[[#This Row],[Volatilidade]])</f>
        <v>0</v>
      </c>
      <c r="H357" s="5">
        <f>Tabela3[[#This Row],[Position_Size]]*Tabela3[[#This Row],[Retorno_Diário]]</f>
        <v>0</v>
      </c>
    </row>
    <row r="358" spans="1:8" x14ac:dyDescent="0.2">
      <c r="A358" s="11" t="s">
        <v>2402</v>
      </c>
      <c r="B358" s="4" t="s">
        <v>2404</v>
      </c>
      <c r="C358" s="5">
        <f t="shared" si="9"/>
        <v>6.8919114475845644E-2</v>
      </c>
      <c r="D358" s="5"/>
      <c r="E358" s="5"/>
      <c r="F358" s="5">
        <f>IF(Tabela3[[#This Row],[Retorno_Diário]]&gt;0,1,-1)</f>
        <v>1</v>
      </c>
      <c r="G358" s="5">
        <f>Tabela3[[#This Row],[Sinal_TSMOM]]*(0.4*Tabela3[[#This Row],[Volatilidade]])</f>
        <v>0</v>
      </c>
      <c r="H358" s="5">
        <f>Tabela3[[#This Row],[Position_Size]]*Tabela3[[#This Row],[Retorno_Diário]]</f>
        <v>0</v>
      </c>
    </row>
    <row r="359" spans="1:8" x14ac:dyDescent="0.2">
      <c r="A359" s="11" t="s">
        <v>2408</v>
      </c>
      <c r="B359" s="4" t="s">
        <v>2410</v>
      </c>
      <c r="C359" s="5">
        <f t="shared" si="9"/>
        <v>-1.2027967065824319E-2</v>
      </c>
      <c r="D359" s="5"/>
      <c r="E359" s="5"/>
      <c r="F359" s="5">
        <f>IF(Tabela3[[#This Row],[Retorno_Diário]]&gt;0,1,-1)</f>
        <v>-1</v>
      </c>
      <c r="G359" s="5">
        <f>Tabela3[[#This Row],[Sinal_TSMOM]]*(0.4*Tabela3[[#This Row],[Volatilidade]])</f>
        <v>0</v>
      </c>
      <c r="H359" s="5">
        <f>Tabela3[[#This Row],[Position_Size]]*Tabela3[[#This Row],[Retorno_Diário]]</f>
        <v>0</v>
      </c>
    </row>
    <row r="360" spans="1:8" x14ac:dyDescent="0.2">
      <c r="A360" s="11" t="s">
        <v>2415</v>
      </c>
      <c r="B360" s="4" t="s">
        <v>2417</v>
      </c>
      <c r="C360" s="5">
        <f t="shared" si="9"/>
        <v>1.7695356413493402E-2</v>
      </c>
      <c r="D360" s="5"/>
      <c r="E360" s="5"/>
      <c r="F360" s="5">
        <f>IF(Tabela3[[#This Row],[Retorno_Diário]]&gt;0,1,-1)</f>
        <v>1</v>
      </c>
      <c r="G360" s="5">
        <f>Tabela3[[#This Row],[Sinal_TSMOM]]*(0.4*Tabela3[[#This Row],[Volatilidade]])</f>
        <v>0</v>
      </c>
      <c r="H360" s="5">
        <f>Tabela3[[#This Row],[Position_Size]]*Tabela3[[#This Row],[Retorno_Diário]]</f>
        <v>0</v>
      </c>
    </row>
    <row r="361" spans="1:8" x14ac:dyDescent="0.2">
      <c r="A361" s="11" t="s">
        <v>2422</v>
      </c>
      <c r="B361" s="4" t="s">
        <v>1630</v>
      </c>
      <c r="C361" s="5">
        <f t="shared" si="9"/>
        <v>1.1962715831987714E-2</v>
      </c>
      <c r="D361" s="5"/>
      <c r="E361" s="5"/>
      <c r="F361" s="5">
        <f>IF(Tabela3[[#This Row],[Retorno_Diário]]&gt;0,1,-1)</f>
        <v>1</v>
      </c>
      <c r="G361" s="5">
        <f>Tabela3[[#This Row],[Sinal_TSMOM]]*(0.4*Tabela3[[#This Row],[Volatilidade]])</f>
        <v>0</v>
      </c>
      <c r="H361" s="5">
        <f>Tabela3[[#This Row],[Position_Size]]*Tabela3[[#This Row],[Retorno_Diário]]</f>
        <v>0</v>
      </c>
    </row>
    <row r="362" spans="1:8" x14ac:dyDescent="0.2">
      <c r="A362" s="11" t="s">
        <v>2427</v>
      </c>
      <c r="B362" s="4" t="s">
        <v>2429</v>
      </c>
      <c r="C362" s="5">
        <f t="shared" si="9"/>
        <v>2.0137471987046185E-2</v>
      </c>
      <c r="D362" s="5"/>
      <c r="E362" s="5"/>
      <c r="F362" s="5">
        <f>IF(Tabela3[[#This Row],[Retorno_Diário]]&gt;0,1,-1)</f>
        <v>1</v>
      </c>
      <c r="G362" s="5">
        <f>Tabela3[[#This Row],[Sinal_TSMOM]]*(0.4*Tabela3[[#This Row],[Volatilidade]])</f>
        <v>0</v>
      </c>
      <c r="H362" s="5">
        <f>Tabela3[[#This Row],[Position_Size]]*Tabela3[[#This Row],[Retorno_Diário]]</f>
        <v>0</v>
      </c>
    </row>
    <row r="363" spans="1:8" x14ac:dyDescent="0.2">
      <c r="A363" s="11" t="s">
        <v>2433</v>
      </c>
      <c r="B363" s="4" t="s">
        <v>2339</v>
      </c>
      <c r="C363" s="5">
        <f t="shared" si="9"/>
        <v>1.5630222383506531E-2</v>
      </c>
      <c r="D363" s="5"/>
      <c r="E363" s="5"/>
      <c r="F363" s="5">
        <f>IF(Tabela3[[#This Row],[Retorno_Diário]]&gt;0,1,-1)</f>
        <v>1</v>
      </c>
      <c r="G363" s="5">
        <f>Tabela3[[#This Row],[Sinal_TSMOM]]*(0.4*Tabela3[[#This Row],[Volatilidade]])</f>
        <v>0</v>
      </c>
      <c r="H363" s="5">
        <f>Tabela3[[#This Row],[Position_Size]]*Tabela3[[#This Row],[Retorno_Diário]]</f>
        <v>0</v>
      </c>
    </row>
    <row r="364" spans="1:8" x14ac:dyDescent="0.2">
      <c r="A364" s="11" t="s">
        <v>2438</v>
      </c>
      <c r="B364" s="4" t="s">
        <v>2440</v>
      </c>
      <c r="C364" s="5">
        <f t="shared" si="9"/>
        <v>-3.0182416548118041E-2</v>
      </c>
      <c r="D364" s="5"/>
      <c r="E364" s="5"/>
      <c r="F364" s="5">
        <f>IF(Tabela3[[#This Row],[Retorno_Diário]]&gt;0,1,-1)</f>
        <v>-1</v>
      </c>
      <c r="G364" s="5">
        <f>Tabela3[[#This Row],[Sinal_TSMOM]]*(0.4*Tabela3[[#This Row],[Volatilidade]])</f>
        <v>0</v>
      </c>
      <c r="H364" s="5">
        <f>Tabela3[[#This Row],[Position_Size]]*Tabela3[[#This Row],[Retorno_Diário]]</f>
        <v>0</v>
      </c>
    </row>
    <row r="365" spans="1:8" x14ac:dyDescent="0.2">
      <c r="A365" s="11" t="s">
        <v>2445</v>
      </c>
      <c r="B365" s="4" t="s">
        <v>2447</v>
      </c>
      <c r="C365" s="5">
        <f t="shared" si="9"/>
        <v>1.4090309827391678E-2</v>
      </c>
      <c r="D365" s="5"/>
      <c r="E365" s="5"/>
      <c r="F365" s="5">
        <f>IF(Tabela3[[#This Row],[Retorno_Diário]]&gt;0,1,-1)</f>
        <v>1</v>
      </c>
      <c r="G365" s="5">
        <f>Tabela3[[#This Row],[Sinal_TSMOM]]*(0.4*Tabela3[[#This Row],[Volatilidade]])</f>
        <v>0</v>
      </c>
      <c r="H365" s="5">
        <f>Tabela3[[#This Row],[Position_Size]]*Tabela3[[#This Row],[Retorno_Diário]]</f>
        <v>0</v>
      </c>
    </row>
    <row r="366" spans="1:8" x14ac:dyDescent="0.2">
      <c r="A366" s="11" t="s">
        <v>2451</v>
      </c>
      <c r="B366" s="4" t="s">
        <v>2453</v>
      </c>
      <c r="C366" s="5">
        <f t="shared" si="9"/>
        <v>-2.441659653157513E-2</v>
      </c>
      <c r="D366" s="5"/>
      <c r="E366" s="5"/>
      <c r="F366" s="5">
        <f>IF(Tabela3[[#This Row],[Retorno_Diário]]&gt;0,1,-1)</f>
        <v>-1</v>
      </c>
      <c r="G366" s="5">
        <f>Tabela3[[#This Row],[Sinal_TSMOM]]*(0.4*Tabela3[[#This Row],[Volatilidade]])</f>
        <v>0</v>
      </c>
      <c r="H366" s="5">
        <f>Tabela3[[#This Row],[Position_Size]]*Tabela3[[#This Row],[Retorno_Diário]]</f>
        <v>0</v>
      </c>
    </row>
    <row r="367" spans="1:8" x14ac:dyDescent="0.2">
      <c r="A367" s="11" t="s">
        <v>2458</v>
      </c>
      <c r="B367" s="4" t="s">
        <v>2460</v>
      </c>
      <c r="C367" s="5">
        <f t="shared" si="9"/>
        <v>2.696384945264807E-3</v>
      </c>
      <c r="D367" s="5"/>
      <c r="E367" s="5"/>
      <c r="F367" s="5">
        <f>IF(Tabela3[[#This Row],[Retorno_Diário]]&gt;0,1,-1)</f>
        <v>1</v>
      </c>
      <c r="G367" s="5">
        <f>Tabela3[[#This Row],[Sinal_TSMOM]]*(0.4*Tabela3[[#This Row],[Volatilidade]])</f>
        <v>0</v>
      </c>
      <c r="H367" s="5">
        <f>Tabela3[[#This Row],[Position_Size]]*Tabela3[[#This Row],[Retorno_Diário]]</f>
        <v>0</v>
      </c>
    </row>
    <row r="368" spans="1:8" x14ac:dyDescent="0.2">
      <c r="A368" s="11" t="s">
        <v>2465</v>
      </c>
      <c r="B368" s="4" t="s">
        <v>1897</v>
      </c>
      <c r="C368" s="5">
        <f t="shared" si="9"/>
        <v>5.4126720910961934E-2</v>
      </c>
      <c r="D368" s="5"/>
      <c r="E368" s="5"/>
      <c r="F368" s="5">
        <f>IF(Tabela3[[#This Row],[Retorno_Diário]]&gt;0,1,-1)</f>
        <v>1</v>
      </c>
      <c r="G368" s="5">
        <f>Tabela3[[#This Row],[Sinal_TSMOM]]*(0.4*Tabela3[[#This Row],[Volatilidade]])</f>
        <v>0</v>
      </c>
      <c r="H368" s="5">
        <f>Tabela3[[#This Row],[Position_Size]]*Tabela3[[#This Row],[Retorno_Diário]]</f>
        <v>0</v>
      </c>
    </row>
    <row r="369" spans="1:8" x14ac:dyDescent="0.2">
      <c r="A369" s="11" t="s">
        <v>2471</v>
      </c>
      <c r="B369" s="4" t="s">
        <v>2473</v>
      </c>
      <c r="C369" s="5">
        <f t="shared" si="9"/>
        <v>1.5698696807300294E-3</v>
      </c>
      <c r="D369" s="5"/>
      <c r="E369" s="5"/>
      <c r="F369" s="5">
        <f>IF(Tabela3[[#This Row],[Retorno_Diário]]&gt;0,1,-1)</f>
        <v>1</v>
      </c>
      <c r="G369" s="5">
        <f>Tabela3[[#This Row],[Sinal_TSMOM]]*(0.4*Tabela3[[#This Row],[Volatilidade]])</f>
        <v>0</v>
      </c>
      <c r="H369" s="5">
        <f>Tabela3[[#This Row],[Position_Size]]*Tabela3[[#This Row],[Retorno_Diário]]</f>
        <v>0</v>
      </c>
    </row>
    <row r="370" spans="1:8" x14ac:dyDescent="0.2">
      <c r="A370" s="11" t="s">
        <v>2478</v>
      </c>
      <c r="B370" s="4" t="s">
        <v>2480</v>
      </c>
      <c r="C370" s="5">
        <f t="shared" si="9"/>
        <v>6.4001809689144817E-3</v>
      </c>
      <c r="D370" s="5"/>
      <c r="E370" s="5"/>
      <c r="F370" s="5">
        <f>IF(Tabela3[[#This Row],[Retorno_Diário]]&gt;0,1,-1)</f>
        <v>1</v>
      </c>
      <c r="G370" s="5">
        <f>Tabela3[[#This Row],[Sinal_TSMOM]]*(0.4*Tabela3[[#This Row],[Volatilidade]])</f>
        <v>0</v>
      </c>
      <c r="H370" s="5">
        <f>Tabela3[[#This Row],[Position_Size]]*Tabela3[[#This Row],[Retorno_Diário]]</f>
        <v>0</v>
      </c>
    </row>
    <row r="371" spans="1:8" x14ac:dyDescent="0.2">
      <c r="A371" s="11" t="s">
        <v>2485</v>
      </c>
      <c r="B371" s="4" t="s">
        <v>1768</v>
      </c>
      <c r="C371" s="5">
        <f t="shared" si="9"/>
        <v>-1.5184958358902101E-2</v>
      </c>
      <c r="D371" s="5"/>
      <c r="E371" s="5"/>
      <c r="F371" s="5">
        <f>IF(Tabela3[[#This Row],[Retorno_Diário]]&gt;0,1,-1)</f>
        <v>-1</v>
      </c>
      <c r="G371" s="5">
        <f>Tabela3[[#This Row],[Sinal_TSMOM]]*(0.4*Tabela3[[#This Row],[Volatilidade]])</f>
        <v>0</v>
      </c>
      <c r="H371" s="5">
        <f>Tabela3[[#This Row],[Position_Size]]*Tabela3[[#This Row],[Retorno_Diário]]</f>
        <v>0</v>
      </c>
    </row>
    <row r="372" spans="1:8" x14ac:dyDescent="0.2">
      <c r="A372" s="11" t="s">
        <v>2490</v>
      </c>
      <c r="B372" s="4" t="s">
        <v>2492</v>
      </c>
      <c r="C372" s="5">
        <f t="shared" si="9"/>
        <v>5.9304266416988494E-3</v>
      </c>
      <c r="D372" s="5"/>
      <c r="E372" s="5"/>
      <c r="F372" s="5">
        <f>IF(Tabela3[[#This Row],[Retorno_Diário]]&gt;0,1,-1)</f>
        <v>1</v>
      </c>
      <c r="G372" s="5">
        <f>Tabela3[[#This Row],[Sinal_TSMOM]]*(0.4*Tabela3[[#This Row],[Volatilidade]])</f>
        <v>0</v>
      </c>
      <c r="H372" s="5">
        <f>Tabela3[[#This Row],[Position_Size]]*Tabela3[[#This Row],[Retorno_Diário]]</f>
        <v>0</v>
      </c>
    </row>
    <row r="373" spans="1:8" x14ac:dyDescent="0.2">
      <c r="A373" s="11" t="s">
        <v>2497</v>
      </c>
      <c r="B373" s="4" t="s">
        <v>2499</v>
      </c>
      <c r="C373" s="5">
        <f t="shared" si="9"/>
        <v>-7.7295972821830317E-3</v>
      </c>
      <c r="D373" s="5"/>
      <c r="E373" s="5"/>
      <c r="F373" s="5">
        <f>IF(Tabela3[[#This Row],[Retorno_Diário]]&gt;0,1,-1)</f>
        <v>-1</v>
      </c>
      <c r="G373" s="5">
        <f>Tabela3[[#This Row],[Sinal_TSMOM]]*(0.4*Tabela3[[#This Row],[Volatilidade]])</f>
        <v>0</v>
      </c>
      <c r="H373" s="5">
        <f>Tabela3[[#This Row],[Position_Size]]*Tabela3[[#This Row],[Retorno_Diário]]</f>
        <v>0</v>
      </c>
    </row>
    <row r="374" spans="1:8" x14ac:dyDescent="0.2">
      <c r="A374" s="11" t="s">
        <v>2503</v>
      </c>
      <c r="B374" s="4" t="s">
        <v>2505</v>
      </c>
      <c r="C374" s="5">
        <f t="shared" si="9"/>
        <v>5.1359908243786334E-2</v>
      </c>
      <c r="D374" s="5"/>
      <c r="E374" s="5"/>
      <c r="F374" s="5">
        <f>IF(Tabela3[[#This Row],[Retorno_Diário]]&gt;0,1,-1)</f>
        <v>1</v>
      </c>
      <c r="G374" s="5">
        <f>Tabela3[[#This Row],[Sinal_TSMOM]]*(0.4*Tabela3[[#This Row],[Volatilidade]])</f>
        <v>0</v>
      </c>
      <c r="H374" s="5">
        <f>Tabela3[[#This Row],[Position_Size]]*Tabela3[[#This Row],[Retorno_Diário]]</f>
        <v>0</v>
      </c>
    </row>
    <row r="375" spans="1:8" x14ac:dyDescent="0.2">
      <c r="A375" s="11" t="s">
        <v>2510</v>
      </c>
      <c r="B375" s="4" t="s">
        <v>2512</v>
      </c>
      <c r="C375" s="5">
        <f t="shared" si="9"/>
        <v>2.4927811235954778E-2</v>
      </c>
      <c r="D375" s="5"/>
      <c r="E375" s="5"/>
      <c r="F375" s="5">
        <f>IF(Tabela3[[#This Row],[Retorno_Diário]]&gt;0,1,-1)</f>
        <v>1</v>
      </c>
      <c r="G375" s="5">
        <f>Tabela3[[#This Row],[Sinal_TSMOM]]*(0.4*Tabela3[[#This Row],[Volatilidade]])</f>
        <v>0</v>
      </c>
      <c r="H375" s="5">
        <f>Tabela3[[#This Row],[Position_Size]]*Tabela3[[#This Row],[Retorno_Diário]]</f>
        <v>0</v>
      </c>
    </row>
    <row r="376" spans="1:8" x14ac:dyDescent="0.2">
      <c r="A376" s="11" t="s">
        <v>2515</v>
      </c>
      <c r="B376" s="4" t="s">
        <v>2517</v>
      </c>
      <c r="C376" s="5">
        <f t="shared" si="9"/>
        <v>6.1263482049991325E-3</v>
      </c>
      <c r="D376" s="5"/>
      <c r="E376" s="5"/>
      <c r="F376" s="5">
        <f>IF(Tabela3[[#This Row],[Retorno_Diário]]&gt;0,1,-1)</f>
        <v>1</v>
      </c>
      <c r="G376" s="5">
        <f>Tabela3[[#This Row],[Sinal_TSMOM]]*(0.4*Tabela3[[#This Row],[Volatilidade]])</f>
        <v>0</v>
      </c>
      <c r="H376" s="5">
        <f>Tabela3[[#This Row],[Position_Size]]*Tabela3[[#This Row],[Retorno_Diário]]</f>
        <v>0</v>
      </c>
    </row>
    <row r="377" spans="1:8" x14ac:dyDescent="0.2">
      <c r="A377" s="11" t="s">
        <v>2522</v>
      </c>
      <c r="B377" s="4" t="s">
        <v>2524</v>
      </c>
      <c r="C377" s="5">
        <f t="shared" si="9"/>
        <v>1.1812716323153394E-2</v>
      </c>
      <c r="D377" s="5"/>
      <c r="E377" s="5"/>
      <c r="F377" s="5">
        <f>IF(Tabela3[[#This Row],[Retorno_Diário]]&gt;0,1,-1)</f>
        <v>1</v>
      </c>
      <c r="G377" s="5">
        <f>Tabela3[[#This Row],[Sinal_TSMOM]]*(0.4*Tabela3[[#This Row],[Volatilidade]])</f>
        <v>0</v>
      </c>
      <c r="H377" s="5">
        <f>Tabela3[[#This Row],[Position_Size]]*Tabela3[[#This Row],[Retorno_Diário]]</f>
        <v>0</v>
      </c>
    </row>
    <row r="378" spans="1:8" x14ac:dyDescent="0.2">
      <c r="A378" s="11" t="s">
        <v>2529</v>
      </c>
      <c r="B378" s="4" t="s">
        <v>2531</v>
      </c>
      <c r="C378" s="5">
        <f t="shared" si="9"/>
        <v>-2.3710717538171666E-2</v>
      </c>
      <c r="D378" s="5"/>
      <c r="E378" s="5"/>
      <c r="F378" s="5">
        <f>IF(Tabela3[[#This Row],[Retorno_Diário]]&gt;0,1,-1)</f>
        <v>-1</v>
      </c>
      <c r="G378" s="5">
        <f>Tabela3[[#This Row],[Sinal_TSMOM]]*(0.4*Tabela3[[#This Row],[Volatilidade]])</f>
        <v>0</v>
      </c>
      <c r="H378" s="5">
        <f>Tabela3[[#This Row],[Position_Size]]*Tabela3[[#This Row],[Retorno_Diário]]</f>
        <v>0</v>
      </c>
    </row>
    <row r="379" spans="1:8" x14ac:dyDescent="0.2">
      <c r="A379" s="11" t="s">
        <v>2536</v>
      </c>
      <c r="B379" s="4" t="s">
        <v>2538</v>
      </c>
      <c r="C379" s="5">
        <f t="shared" si="9"/>
        <v>3.2053286781621448E-3</v>
      </c>
      <c r="D379" s="5"/>
      <c r="E379" s="5"/>
      <c r="F379" s="5">
        <f>IF(Tabela3[[#This Row],[Retorno_Diário]]&gt;0,1,-1)</f>
        <v>1</v>
      </c>
      <c r="G379" s="5">
        <f>Tabela3[[#This Row],[Sinal_TSMOM]]*(0.4*Tabela3[[#This Row],[Volatilidade]])</f>
        <v>0</v>
      </c>
      <c r="H379" s="5">
        <f>Tabela3[[#This Row],[Position_Size]]*Tabela3[[#This Row],[Retorno_Diário]]</f>
        <v>0</v>
      </c>
    </row>
    <row r="380" spans="1:8" x14ac:dyDescent="0.2">
      <c r="A380" s="11" t="s">
        <v>2543</v>
      </c>
      <c r="B380" s="4" t="s">
        <v>2545</v>
      </c>
      <c r="C380" s="5">
        <f t="shared" si="9"/>
        <v>-1.5483803826345066E-2</v>
      </c>
      <c r="D380" s="5"/>
      <c r="E380" s="5"/>
      <c r="F380" s="5">
        <f>IF(Tabela3[[#This Row],[Retorno_Diário]]&gt;0,1,-1)</f>
        <v>-1</v>
      </c>
      <c r="G380" s="5">
        <f>Tabela3[[#This Row],[Sinal_TSMOM]]*(0.4*Tabela3[[#This Row],[Volatilidade]])</f>
        <v>0</v>
      </c>
      <c r="H380" s="5">
        <f>Tabela3[[#This Row],[Position_Size]]*Tabela3[[#This Row],[Retorno_Diário]]</f>
        <v>0</v>
      </c>
    </row>
    <row r="381" spans="1:8" x14ac:dyDescent="0.2">
      <c r="A381" s="11" t="s">
        <v>2550</v>
      </c>
      <c r="B381" s="4" t="s">
        <v>2552</v>
      </c>
      <c r="C381" s="5">
        <f t="shared" si="9"/>
        <v>-1.8847967667328991E-2</v>
      </c>
      <c r="D381" s="5"/>
      <c r="E381" s="5"/>
      <c r="F381" s="5">
        <f>IF(Tabela3[[#This Row],[Retorno_Diário]]&gt;0,1,-1)</f>
        <v>-1</v>
      </c>
      <c r="G381" s="5">
        <f>Tabela3[[#This Row],[Sinal_TSMOM]]*(0.4*Tabela3[[#This Row],[Volatilidade]])</f>
        <v>0</v>
      </c>
      <c r="H381" s="5">
        <f>Tabela3[[#This Row],[Position_Size]]*Tabela3[[#This Row],[Retorno_Diário]]</f>
        <v>0</v>
      </c>
    </row>
    <row r="382" spans="1:8" x14ac:dyDescent="0.2">
      <c r="A382" s="11" t="s">
        <v>2557</v>
      </c>
      <c r="B382" s="4" t="s">
        <v>1939</v>
      </c>
      <c r="C382" s="5">
        <f t="shared" si="9"/>
        <v>6.3610642207012624E-4</v>
      </c>
      <c r="D382" s="5"/>
      <c r="E382" s="5"/>
      <c r="F382" s="5">
        <f>IF(Tabela3[[#This Row],[Retorno_Diário]]&gt;0,1,-1)</f>
        <v>1</v>
      </c>
      <c r="G382" s="5">
        <f>Tabela3[[#This Row],[Sinal_TSMOM]]*(0.4*Tabela3[[#This Row],[Volatilidade]])</f>
        <v>0</v>
      </c>
      <c r="H382" s="5">
        <f>Tabela3[[#This Row],[Position_Size]]*Tabela3[[#This Row],[Retorno_Diário]]</f>
        <v>0</v>
      </c>
    </row>
    <row r="383" spans="1:8" x14ac:dyDescent="0.2">
      <c r="A383" s="11" t="s">
        <v>2562</v>
      </c>
      <c r="B383" s="4" t="s">
        <v>2564</v>
      </c>
      <c r="C383" s="5">
        <f t="shared" si="9"/>
        <v>1.7481442574420525E-2</v>
      </c>
      <c r="D383" s="5"/>
      <c r="E383" s="5"/>
      <c r="F383" s="5">
        <f>IF(Tabela3[[#This Row],[Retorno_Diário]]&gt;0,1,-1)</f>
        <v>1</v>
      </c>
      <c r="G383" s="5">
        <f>Tabela3[[#This Row],[Sinal_TSMOM]]*(0.4*Tabela3[[#This Row],[Volatilidade]])</f>
        <v>0</v>
      </c>
      <c r="H383" s="5">
        <f>Tabela3[[#This Row],[Position_Size]]*Tabela3[[#This Row],[Retorno_Diário]]</f>
        <v>0</v>
      </c>
    </row>
    <row r="384" spans="1:8" x14ac:dyDescent="0.2">
      <c r="A384" s="11" t="s">
        <v>2567</v>
      </c>
      <c r="B384" s="4" t="s">
        <v>2569</v>
      </c>
      <c r="C384" s="5">
        <f t="shared" si="9"/>
        <v>3.8860409873789026E-2</v>
      </c>
      <c r="D384" s="5"/>
      <c r="E384" s="5"/>
      <c r="F384" s="5">
        <f>IF(Tabela3[[#This Row],[Retorno_Diário]]&gt;0,1,-1)</f>
        <v>1</v>
      </c>
      <c r="G384" s="5">
        <f>Tabela3[[#This Row],[Sinal_TSMOM]]*(0.4*Tabela3[[#This Row],[Volatilidade]])</f>
        <v>0</v>
      </c>
      <c r="H384" s="5">
        <f>Tabela3[[#This Row],[Position_Size]]*Tabela3[[#This Row],[Retorno_Diário]]</f>
        <v>0</v>
      </c>
    </row>
    <row r="385" spans="1:8" x14ac:dyDescent="0.2">
      <c r="A385" s="11" t="s">
        <v>2573</v>
      </c>
      <c r="B385" s="4" t="s">
        <v>2575</v>
      </c>
      <c r="C385" s="5">
        <f t="shared" si="9"/>
        <v>7.998521655712576E-3</v>
      </c>
      <c r="D385" s="5"/>
      <c r="E385" s="5"/>
      <c r="F385" s="5">
        <f>IF(Tabela3[[#This Row],[Retorno_Diário]]&gt;0,1,-1)</f>
        <v>1</v>
      </c>
      <c r="G385" s="5">
        <f>Tabela3[[#This Row],[Sinal_TSMOM]]*(0.4*Tabela3[[#This Row],[Volatilidade]])</f>
        <v>0</v>
      </c>
      <c r="H385" s="5">
        <f>Tabela3[[#This Row],[Position_Size]]*Tabela3[[#This Row],[Retorno_Diário]]</f>
        <v>0</v>
      </c>
    </row>
    <row r="386" spans="1:8" x14ac:dyDescent="0.2">
      <c r="A386" s="11" t="s">
        <v>2579</v>
      </c>
      <c r="B386" s="4" t="s">
        <v>2581</v>
      </c>
      <c r="C386" s="5">
        <f t="shared" si="9"/>
        <v>-2.0285422933320474E-3</v>
      </c>
      <c r="D386" s="5"/>
      <c r="E386" s="5"/>
      <c r="F386" s="5">
        <f>IF(Tabela3[[#This Row],[Retorno_Diário]]&gt;0,1,-1)</f>
        <v>-1</v>
      </c>
      <c r="G386" s="5">
        <f>Tabela3[[#This Row],[Sinal_TSMOM]]*(0.4*Tabela3[[#This Row],[Volatilidade]])</f>
        <v>0</v>
      </c>
      <c r="H386" s="5">
        <f>Tabela3[[#This Row],[Position_Size]]*Tabela3[[#This Row],[Retorno_Diário]]</f>
        <v>0</v>
      </c>
    </row>
    <row r="387" spans="1:8" x14ac:dyDescent="0.2">
      <c r="A387" s="11" t="s">
        <v>2586</v>
      </c>
      <c r="B387" s="4" t="s">
        <v>2588</v>
      </c>
      <c r="C387" s="5">
        <f t="shared" si="9"/>
        <v>-1.1358343125495995E-3</v>
      </c>
      <c r="D387" s="5"/>
      <c r="E387" s="5"/>
      <c r="F387" s="5">
        <f>IF(Tabela3[[#This Row],[Retorno_Diário]]&gt;0,1,-1)</f>
        <v>-1</v>
      </c>
      <c r="G387" s="5">
        <f>Tabela3[[#This Row],[Sinal_TSMOM]]*(0.4*Tabela3[[#This Row],[Volatilidade]])</f>
        <v>0</v>
      </c>
      <c r="H387" s="5">
        <f>Tabela3[[#This Row],[Position_Size]]*Tabela3[[#This Row],[Retorno_Diário]]</f>
        <v>0</v>
      </c>
    </row>
    <row r="388" spans="1:8" x14ac:dyDescent="0.2">
      <c r="A388" s="11" t="s">
        <v>2593</v>
      </c>
      <c r="B388" s="4" t="s">
        <v>2595</v>
      </c>
      <c r="C388" s="5">
        <f t="shared" ref="C388:C451" si="10">B388/B387-1</f>
        <v>1.5740991465107657E-2</v>
      </c>
      <c r="D388" s="5"/>
      <c r="E388" s="5"/>
      <c r="F388" s="5">
        <f>IF(Tabela3[[#This Row],[Retorno_Diário]]&gt;0,1,-1)</f>
        <v>1</v>
      </c>
      <c r="G388" s="5">
        <f>Tabela3[[#This Row],[Sinal_TSMOM]]*(0.4*Tabela3[[#This Row],[Volatilidade]])</f>
        <v>0</v>
      </c>
      <c r="H388" s="5">
        <f>Tabela3[[#This Row],[Position_Size]]*Tabela3[[#This Row],[Retorno_Diário]]</f>
        <v>0</v>
      </c>
    </row>
    <row r="389" spans="1:8" x14ac:dyDescent="0.2">
      <c r="A389" s="11" t="s">
        <v>2600</v>
      </c>
      <c r="B389" s="4" t="s">
        <v>2602</v>
      </c>
      <c r="C389" s="5">
        <f t="shared" si="10"/>
        <v>2.7693698545638856E-3</v>
      </c>
      <c r="D389" s="5"/>
      <c r="E389" s="5"/>
      <c r="F389" s="5">
        <f>IF(Tabela3[[#This Row],[Retorno_Diário]]&gt;0,1,-1)</f>
        <v>1</v>
      </c>
      <c r="G389" s="5">
        <f>Tabela3[[#This Row],[Sinal_TSMOM]]*(0.4*Tabela3[[#This Row],[Volatilidade]])</f>
        <v>0</v>
      </c>
      <c r="H389" s="5">
        <f>Tabela3[[#This Row],[Position_Size]]*Tabela3[[#This Row],[Retorno_Diário]]</f>
        <v>0</v>
      </c>
    </row>
    <row r="390" spans="1:8" x14ac:dyDescent="0.2">
      <c r="A390" s="11" t="s">
        <v>2607</v>
      </c>
      <c r="B390" s="4" t="s">
        <v>1581</v>
      </c>
      <c r="C390" s="5">
        <f t="shared" si="10"/>
        <v>-1.0224455868213411E-2</v>
      </c>
      <c r="D390" s="5"/>
      <c r="E390" s="5"/>
      <c r="F390" s="5">
        <f>IF(Tabela3[[#This Row],[Retorno_Diário]]&gt;0,1,-1)</f>
        <v>-1</v>
      </c>
      <c r="G390" s="5">
        <f>Tabela3[[#This Row],[Sinal_TSMOM]]*(0.4*Tabela3[[#This Row],[Volatilidade]])</f>
        <v>0</v>
      </c>
      <c r="H390" s="5">
        <f>Tabela3[[#This Row],[Position_Size]]*Tabela3[[#This Row],[Retorno_Diário]]</f>
        <v>0</v>
      </c>
    </row>
    <row r="391" spans="1:8" x14ac:dyDescent="0.2">
      <c r="A391" s="11" t="s">
        <v>2613</v>
      </c>
      <c r="B391" s="4" t="s">
        <v>2615</v>
      </c>
      <c r="C391" s="5">
        <f t="shared" si="10"/>
        <v>1.7098082947018867E-2</v>
      </c>
      <c r="D391" s="5"/>
      <c r="E391" s="5"/>
      <c r="F391" s="5">
        <f>IF(Tabela3[[#This Row],[Retorno_Diário]]&gt;0,1,-1)</f>
        <v>1</v>
      </c>
      <c r="G391" s="5">
        <f>Tabela3[[#This Row],[Sinal_TSMOM]]*(0.4*Tabela3[[#This Row],[Volatilidade]])</f>
        <v>0</v>
      </c>
      <c r="H391" s="5">
        <f>Tabela3[[#This Row],[Position_Size]]*Tabela3[[#This Row],[Retorno_Diário]]</f>
        <v>0</v>
      </c>
    </row>
    <row r="392" spans="1:8" x14ac:dyDescent="0.2">
      <c r="A392" s="11" t="s">
        <v>2620</v>
      </c>
      <c r="B392" s="4" t="s">
        <v>2622</v>
      </c>
      <c r="C392" s="5">
        <f t="shared" si="10"/>
        <v>2.533271165257367E-2</v>
      </c>
      <c r="D392" s="5"/>
      <c r="E392" s="5"/>
      <c r="F392" s="5">
        <f>IF(Tabela3[[#This Row],[Retorno_Diário]]&gt;0,1,-1)</f>
        <v>1</v>
      </c>
      <c r="G392" s="5">
        <f>Tabela3[[#This Row],[Sinal_TSMOM]]*(0.4*Tabela3[[#This Row],[Volatilidade]])</f>
        <v>0</v>
      </c>
      <c r="H392" s="5">
        <f>Tabela3[[#This Row],[Position_Size]]*Tabela3[[#This Row],[Retorno_Diário]]</f>
        <v>0</v>
      </c>
    </row>
    <row r="393" spans="1:8" x14ac:dyDescent="0.2">
      <c r="A393" s="11" t="s">
        <v>2627</v>
      </c>
      <c r="B393" s="4" t="s">
        <v>2629</v>
      </c>
      <c r="C393" s="5">
        <f t="shared" si="10"/>
        <v>1.7078403581983093E-2</v>
      </c>
      <c r="D393" s="5"/>
      <c r="E393" s="5"/>
      <c r="F393" s="5">
        <f>IF(Tabela3[[#This Row],[Retorno_Diário]]&gt;0,1,-1)</f>
        <v>1</v>
      </c>
      <c r="G393" s="5">
        <f>Tabela3[[#This Row],[Sinal_TSMOM]]*(0.4*Tabela3[[#This Row],[Volatilidade]])</f>
        <v>0</v>
      </c>
      <c r="H393" s="5">
        <f>Tabela3[[#This Row],[Position_Size]]*Tabela3[[#This Row],[Retorno_Diário]]</f>
        <v>0</v>
      </c>
    </row>
    <row r="394" spans="1:8" x14ac:dyDescent="0.2">
      <c r="A394" s="11" t="s">
        <v>2634</v>
      </c>
      <c r="B394" s="4" t="s">
        <v>2636</v>
      </c>
      <c r="C394" s="5">
        <f t="shared" si="10"/>
        <v>-2.9553335997315355E-2</v>
      </c>
      <c r="D394" s="5"/>
      <c r="E394" s="5"/>
      <c r="F394" s="5">
        <f>IF(Tabela3[[#This Row],[Retorno_Diário]]&gt;0,1,-1)</f>
        <v>-1</v>
      </c>
      <c r="G394" s="5">
        <f>Tabela3[[#This Row],[Sinal_TSMOM]]*(0.4*Tabela3[[#This Row],[Volatilidade]])</f>
        <v>0</v>
      </c>
      <c r="H394" s="5">
        <f>Tabela3[[#This Row],[Position_Size]]*Tabela3[[#This Row],[Retorno_Diário]]</f>
        <v>0</v>
      </c>
    </row>
    <row r="395" spans="1:8" x14ac:dyDescent="0.2">
      <c r="A395" s="11" t="s">
        <v>2640</v>
      </c>
      <c r="B395" s="4" t="s">
        <v>2642</v>
      </c>
      <c r="C395" s="5">
        <f t="shared" si="10"/>
        <v>9.7474121586060836E-3</v>
      </c>
      <c r="D395" s="5"/>
      <c r="E395" s="5"/>
      <c r="F395" s="5">
        <f>IF(Tabela3[[#This Row],[Retorno_Diário]]&gt;0,1,-1)</f>
        <v>1</v>
      </c>
      <c r="G395" s="5">
        <f>Tabela3[[#This Row],[Sinal_TSMOM]]*(0.4*Tabela3[[#This Row],[Volatilidade]])</f>
        <v>0</v>
      </c>
      <c r="H395" s="5">
        <f>Tabela3[[#This Row],[Position_Size]]*Tabela3[[#This Row],[Retorno_Diário]]</f>
        <v>0</v>
      </c>
    </row>
    <row r="396" spans="1:8" x14ac:dyDescent="0.2">
      <c r="A396" s="11" t="s">
        <v>2646</v>
      </c>
      <c r="B396" s="4" t="s">
        <v>2648</v>
      </c>
      <c r="C396" s="5">
        <f t="shared" si="10"/>
        <v>-1.4279784414154006E-3</v>
      </c>
      <c r="D396" s="5"/>
      <c r="E396" s="5"/>
      <c r="F396" s="5">
        <f>IF(Tabela3[[#This Row],[Retorno_Diário]]&gt;0,1,-1)</f>
        <v>-1</v>
      </c>
      <c r="G396" s="5">
        <f>Tabela3[[#This Row],[Sinal_TSMOM]]*(0.4*Tabela3[[#This Row],[Volatilidade]])</f>
        <v>0</v>
      </c>
      <c r="H396" s="5">
        <f>Tabela3[[#This Row],[Position_Size]]*Tabela3[[#This Row],[Retorno_Diário]]</f>
        <v>0</v>
      </c>
    </row>
    <row r="397" spans="1:8" x14ac:dyDescent="0.2">
      <c r="A397" s="11" t="s">
        <v>2653</v>
      </c>
      <c r="B397" s="4" t="s">
        <v>2655</v>
      </c>
      <c r="C397" s="5">
        <f t="shared" si="10"/>
        <v>3.6036908864591766E-3</v>
      </c>
      <c r="D397" s="5"/>
      <c r="E397" s="5"/>
      <c r="F397" s="5">
        <f>IF(Tabela3[[#This Row],[Retorno_Diário]]&gt;0,1,-1)</f>
        <v>1</v>
      </c>
      <c r="G397" s="5">
        <f>Tabela3[[#This Row],[Sinal_TSMOM]]*(0.4*Tabela3[[#This Row],[Volatilidade]])</f>
        <v>0</v>
      </c>
      <c r="H397" s="5">
        <f>Tabela3[[#This Row],[Position_Size]]*Tabela3[[#This Row],[Retorno_Diário]]</f>
        <v>0</v>
      </c>
    </row>
    <row r="398" spans="1:8" x14ac:dyDescent="0.2">
      <c r="A398" s="11" t="s">
        <v>2660</v>
      </c>
      <c r="B398" s="4" t="s">
        <v>2662</v>
      </c>
      <c r="C398" s="5">
        <f t="shared" si="10"/>
        <v>-3.8358525663541587E-2</v>
      </c>
      <c r="D398" s="5"/>
      <c r="E398" s="5"/>
      <c r="F398" s="5">
        <f>IF(Tabela3[[#This Row],[Retorno_Diário]]&gt;0,1,-1)</f>
        <v>-1</v>
      </c>
      <c r="G398" s="5">
        <f>Tabela3[[#This Row],[Sinal_TSMOM]]*(0.4*Tabela3[[#This Row],[Volatilidade]])</f>
        <v>0</v>
      </c>
      <c r="H398" s="5">
        <f>Tabela3[[#This Row],[Position_Size]]*Tabela3[[#This Row],[Retorno_Diário]]</f>
        <v>0</v>
      </c>
    </row>
    <row r="399" spans="1:8" x14ac:dyDescent="0.2">
      <c r="A399" s="11" t="s">
        <v>2667</v>
      </c>
      <c r="B399" s="4" t="s">
        <v>2669</v>
      </c>
      <c r="C399" s="5">
        <f t="shared" si="10"/>
        <v>-2.2522473127603027E-2</v>
      </c>
      <c r="D399" s="5"/>
      <c r="E399" s="5"/>
      <c r="F399" s="5">
        <f>IF(Tabela3[[#This Row],[Retorno_Diário]]&gt;0,1,-1)</f>
        <v>-1</v>
      </c>
      <c r="G399" s="5">
        <f>Tabela3[[#This Row],[Sinal_TSMOM]]*(0.4*Tabela3[[#This Row],[Volatilidade]])</f>
        <v>0</v>
      </c>
      <c r="H399" s="5">
        <f>Tabela3[[#This Row],[Position_Size]]*Tabela3[[#This Row],[Retorno_Diário]]</f>
        <v>0</v>
      </c>
    </row>
    <row r="400" spans="1:8" x14ac:dyDescent="0.2">
      <c r="A400" s="11" t="s">
        <v>2674</v>
      </c>
      <c r="B400" s="4" t="s">
        <v>2676</v>
      </c>
      <c r="C400" s="5">
        <f t="shared" si="10"/>
        <v>-2.261709225798203E-2</v>
      </c>
      <c r="D400" s="5"/>
      <c r="E400" s="5"/>
      <c r="F400" s="5">
        <f>IF(Tabela3[[#This Row],[Retorno_Diário]]&gt;0,1,-1)</f>
        <v>-1</v>
      </c>
      <c r="G400" s="5">
        <f>Tabela3[[#This Row],[Sinal_TSMOM]]*(0.4*Tabela3[[#This Row],[Volatilidade]])</f>
        <v>0</v>
      </c>
      <c r="H400" s="5">
        <f>Tabela3[[#This Row],[Position_Size]]*Tabela3[[#This Row],[Retorno_Diário]]</f>
        <v>0</v>
      </c>
    </row>
    <row r="401" spans="1:8" x14ac:dyDescent="0.2">
      <c r="A401" s="11" t="s">
        <v>2680</v>
      </c>
      <c r="B401" s="4" t="s">
        <v>1624</v>
      </c>
      <c r="C401" s="5">
        <f t="shared" si="10"/>
        <v>-6.4520072067228762E-2</v>
      </c>
      <c r="D401" s="5"/>
      <c r="E401" s="5"/>
      <c r="F401" s="5">
        <f>IF(Tabela3[[#This Row],[Retorno_Diário]]&gt;0,1,-1)</f>
        <v>-1</v>
      </c>
      <c r="G401" s="5">
        <f>Tabela3[[#This Row],[Sinal_TSMOM]]*(0.4*Tabela3[[#This Row],[Volatilidade]])</f>
        <v>0</v>
      </c>
      <c r="H401" s="5">
        <f>Tabela3[[#This Row],[Position_Size]]*Tabela3[[#This Row],[Retorno_Diário]]</f>
        <v>0</v>
      </c>
    </row>
    <row r="402" spans="1:8" x14ac:dyDescent="0.2">
      <c r="A402" s="11" t="s">
        <v>2684</v>
      </c>
      <c r="B402" s="4" t="s">
        <v>2686</v>
      </c>
      <c r="C402" s="5">
        <f t="shared" si="10"/>
        <v>1.0345459165804538E-2</v>
      </c>
      <c r="D402" s="5"/>
      <c r="E402" s="5"/>
      <c r="F402" s="5">
        <f>IF(Tabela3[[#This Row],[Retorno_Diário]]&gt;0,1,-1)</f>
        <v>1</v>
      </c>
      <c r="G402" s="5">
        <f>Tabela3[[#This Row],[Sinal_TSMOM]]*(0.4*Tabela3[[#This Row],[Volatilidade]])</f>
        <v>0</v>
      </c>
      <c r="H402" s="5">
        <f>Tabela3[[#This Row],[Position_Size]]*Tabela3[[#This Row],[Retorno_Diário]]</f>
        <v>0</v>
      </c>
    </row>
    <row r="403" spans="1:8" x14ac:dyDescent="0.2">
      <c r="A403" s="11" t="s">
        <v>2690</v>
      </c>
      <c r="B403" s="4" t="s">
        <v>2692</v>
      </c>
      <c r="C403" s="5">
        <f t="shared" si="10"/>
        <v>1.0108322005777159E-2</v>
      </c>
      <c r="D403" s="5"/>
      <c r="E403" s="5"/>
      <c r="F403" s="5">
        <f>IF(Tabela3[[#This Row],[Retorno_Diário]]&gt;0,1,-1)</f>
        <v>1</v>
      </c>
      <c r="G403" s="5">
        <f>Tabela3[[#This Row],[Sinal_TSMOM]]*(0.4*Tabela3[[#This Row],[Volatilidade]])</f>
        <v>0</v>
      </c>
      <c r="H403" s="5">
        <f>Tabela3[[#This Row],[Position_Size]]*Tabela3[[#This Row],[Retorno_Diário]]</f>
        <v>0</v>
      </c>
    </row>
    <row r="404" spans="1:8" x14ac:dyDescent="0.2">
      <c r="A404" s="11" t="s">
        <v>2697</v>
      </c>
      <c r="B404" s="4" t="s">
        <v>2699</v>
      </c>
      <c r="C404" s="5">
        <f t="shared" si="10"/>
        <v>2.8396924841861848E-2</v>
      </c>
      <c r="D404" s="5"/>
      <c r="E404" s="5"/>
      <c r="F404" s="5">
        <f>IF(Tabela3[[#This Row],[Retorno_Diário]]&gt;0,1,-1)</f>
        <v>1</v>
      </c>
      <c r="G404" s="5">
        <f>Tabela3[[#This Row],[Sinal_TSMOM]]*(0.4*Tabela3[[#This Row],[Volatilidade]])</f>
        <v>0</v>
      </c>
      <c r="H404" s="5">
        <f>Tabela3[[#This Row],[Position_Size]]*Tabela3[[#This Row],[Retorno_Diário]]</f>
        <v>0</v>
      </c>
    </row>
    <row r="405" spans="1:8" x14ac:dyDescent="0.2">
      <c r="A405" s="11" t="s">
        <v>2704</v>
      </c>
      <c r="B405" s="4" t="s">
        <v>2706</v>
      </c>
      <c r="C405" s="5">
        <f t="shared" si="10"/>
        <v>-2.5780360600487828E-2</v>
      </c>
      <c r="D405" s="5"/>
      <c r="E405" s="5"/>
      <c r="F405" s="5">
        <f>IF(Tabela3[[#This Row],[Retorno_Diário]]&gt;0,1,-1)</f>
        <v>-1</v>
      </c>
      <c r="G405" s="5">
        <f>Tabela3[[#This Row],[Sinal_TSMOM]]*(0.4*Tabela3[[#This Row],[Volatilidade]])</f>
        <v>0</v>
      </c>
      <c r="H405" s="5">
        <f>Tabela3[[#This Row],[Position_Size]]*Tabela3[[#This Row],[Retorno_Diário]]</f>
        <v>0</v>
      </c>
    </row>
    <row r="406" spans="1:8" x14ac:dyDescent="0.2">
      <c r="A406" s="11" t="s">
        <v>2710</v>
      </c>
      <c r="B406" s="4" t="s">
        <v>2712</v>
      </c>
      <c r="C406" s="5">
        <f t="shared" si="10"/>
        <v>-1.7706561134464893E-2</v>
      </c>
      <c r="D406" s="5"/>
      <c r="E406" s="5"/>
      <c r="F406" s="5">
        <f>IF(Tabela3[[#This Row],[Retorno_Diário]]&gt;0,1,-1)</f>
        <v>-1</v>
      </c>
      <c r="G406" s="5">
        <f>Tabela3[[#This Row],[Sinal_TSMOM]]*(0.4*Tabela3[[#This Row],[Volatilidade]])</f>
        <v>0</v>
      </c>
      <c r="H406" s="5">
        <f>Tabela3[[#This Row],[Position_Size]]*Tabela3[[#This Row],[Retorno_Diário]]</f>
        <v>0</v>
      </c>
    </row>
    <row r="407" spans="1:8" x14ac:dyDescent="0.2">
      <c r="A407" s="11" t="s">
        <v>2716</v>
      </c>
      <c r="B407" s="4" t="s">
        <v>2718</v>
      </c>
      <c r="C407" s="5">
        <f t="shared" si="10"/>
        <v>3.0372999047145965E-2</v>
      </c>
      <c r="D407" s="5"/>
      <c r="E407" s="5"/>
      <c r="F407" s="5">
        <f>IF(Tabela3[[#This Row],[Retorno_Diário]]&gt;0,1,-1)</f>
        <v>1</v>
      </c>
      <c r="G407" s="5">
        <f>Tabela3[[#This Row],[Sinal_TSMOM]]*(0.4*Tabela3[[#This Row],[Volatilidade]])</f>
        <v>0</v>
      </c>
      <c r="H407" s="5">
        <f>Tabela3[[#This Row],[Position_Size]]*Tabela3[[#This Row],[Retorno_Diário]]</f>
        <v>0</v>
      </c>
    </row>
    <row r="408" spans="1:8" x14ac:dyDescent="0.2">
      <c r="A408" s="11" t="s">
        <v>2723</v>
      </c>
      <c r="B408" s="4" t="s">
        <v>2725</v>
      </c>
      <c r="C408" s="5">
        <f t="shared" si="10"/>
        <v>-3.8321024690540995E-2</v>
      </c>
      <c r="D408" s="5"/>
      <c r="E408" s="5"/>
      <c r="F408" s="5">
        <f>IF(Tabela3[[#This Row],[Retorno_Diário]]&gt;0,1,-1)</f>
        <v>-1</v>
      </c>
      <c r="G408" s="5">
        <f>Tabela3[[#This Row],[Sinal_TSMOM]]*(0.4*Tabela3[[#This Row],[Volatilidade]])</f>
        <v>0</v>
      </c>
      <c r="H408" s="5">
        <f>Tabela3[[#This Row],[Position_Size]]*Tabela3[[#This Row],[Retorno_Diário]]</f>
        <v>0</v>
      </c>
    </row>
    <row r="409" spans="1:8" x14ac:dyDescent="0.2">
      <c r="A409" s="11" t="s">
        <v>2730</v>
      </c>
      <c r="B409" s="4" t="s">
        <v>1792</v>
      </c>
      <c r="C409" s="5">
        <f t="shared" si="10"/>
        <v>-8.6626317522011664E-3</v>
      </c>
      <c r="D409" s="5"/>
      <c r="E409" s="5"/>
      <c r="F409" s="5">
        <f>IF(Tabela3[[#This Row],[Retorno_Diário]]&gt;0,1,-1)</f>
        <v>-1</v>
      </c>
      <c r="G409" s="5">
        <f>Tabela3[[#This Row],[Sinal_TSMOM]]*(0.4*Tabela3[[#This Row],[Volatilidade]])</f>
        <v>0</v>
      </c>
      <c r="H409" s="5">
        <f>Tabela3[[#This Row],[Position_Size]]*Tabela3[[#This Row],[Retorno_Diário]]</f>
        <v>0</v>
      </c>
    </row>
    <row r="410" spans="1:8" x14ac:dyDescent="0.2">
      <c r="A410" s="11" t="s">
        <v>2736</v>
      </c>
      <c r="B410" s="4" t="s">
        <v>2738</v>
      </c>
      <c r="C410" s="5">
        <f t="shared" si="10"/>
        <v>7.2528095955908034E-2</v>
      </c>
      <c r="D410" s="5"/>
      <c r="E410" s="5"/>
      <c r="F410" s="5">
        <f>IF(Tabela3[[#This Row],[Retorno_Diário]]&gt;0,1,-1)</f>
        <v>1</v>
      </c>
      <c r="G410" s="5">
        <f>Tabela3[[#This Row],[Sinal_TSMOM]]*(0.4*Tabela3[[#This Row],[Volatilidade]])</f>
        <v>0</v>
      </c>
      <c r="H410" s="5">
        <f>Tabela3[[#This Row],[Position_Size]]*Tabela3[[#This Row],[Retorno_Diário]]</f>
        <v>0</v>
      </c>
    </row>
    <row r="411" spans="1:8" x14ac:dyDescent="0.2">
      <c r="A411" s="11" t="s">
        <v>2743</v>
      </c>
      <c r="B411" s="4" t="s">
        <v>2745</v>
      </c>
      <c r="C411" s="5">
        <f t="shared" si="10"/>
        <v>7.031829806075085E-2</v>
      </c>
      <c r="D411" s="5"/>
      <c r="E411" s="5"/>
      <c r="F411" s="5">
        <f>IF(Tabela3[[#This Row],[Retorno_Diário]]&gt;0,1,-1)</f>
        <v>1</v>
      </c>
      <c r="G411" s="5">
        <f>Tabela3[[#This Row],[Sinal_TSMOM]]*(0.4*Tabela3[[#This Row],[Volatilidade]])</f>
        <v>0</v>
      </c>
      <c r="H411" s="5">
        <f>Tabela3[[#This Row],[Position_Size]]*Tabela3[[#This Row],[Retorno_Diário]]</f>
        <v>0</v>
      </c>
    </row>
    <row r="412" spans="1:8" x14ac:dyDescent="0.2">
      <c r="A412" s="11" t="s">
        <v>2750</v>
      </c>
      <c r="B412" s="4" t="s">
        <v>2752</v>
      </c>
      <c r="C412" s="5">
        <f t="shared" si="10"/>
        <v>-1.7039376621518665E-2</v>
      </c>
      <c r="D412" s="5"/>
      <c r="E412" s="5"/>
      <c r="F412" s="5">
        <f>IF(Tabela3[[#This Row],[Retorno_Diário]]&gt;0,1,-1)</f>
        <v>-1</v>
      </c>
      <c r="G412" s="5">
        <f>Tabela3[[#This Row],[Sinal_TSMOM]]*(0.4*Tabela3[[#This Row],[Volatilidade]])</f>
        <v>0</v>
      </c>
      <c r="H412" s="5">
        <f>Tabela3[[#This Row],[Position_Size]]*Tabela3[[#This Row],[Retorno_Diário]]</f>
        <v>0</v>
      </c>
    </row>
    <row r="413" spans="1:8" x14ac:dyDescent="0.2">
      <c r="A413" s="11" t="s">
        <v>2756</v>
      </c>
      <c r="B413" s="4" t="s">
        <v>2758</v>
      </c>
      <c r="C413" s="5">
        <f t="shared" si="10"/>
        <v>2.0015400132458172E-2</v>
      </c>
      <c r="D413" s="5"/>
      <c r="E413" s="5"/>
      <c r="F413" s="5">
        <f>IF(Tabela3[[#This Row],[Retorno_Diário]]&gt;0,1,-1)</f>
        <v>1</v>
      </c>
      <c r="G413" s="5">
        <f>Tabela3[[#This Row],[Sinal_TSMOM]]*(0.4*Tabela3[[#This Row],[Volatilidade]])</f>
        <v>0</v>
      </c>
      <c r="H413" s="5">
        <f>Tabela3[[#This Row],[Position_Size]]*Tabela3[[#This Row],[Retorno_Diário]]</f>
        <v>0</v>
      </c>
    </row>
    <row r="414" spans="1:8" x14ac:dyDescent="0.2">
      <c r="A414" s="11" t="s">
        <v>2763</v>
      </c>
      <c r="B414" s="4" t="s">
        <v>2765</v>
      </c>
      <c r="C414" s="5">
        <f t="shared" si="10"/>
        <v>1.4601137101990513E-3</v>
      </c>
      <c r="D414" s="5"/>
      <c r="E414" s="5"/>
      <c r="F414" s="5">
        <f>IF(Tabela3[[#This Row],[Retorno_Diário]]&gt;0,1,-1)</f>
        <v>1</v>
      </c>
      <c r="G414" s="5">
        <f>Tabela3[[#This Row],[Sinal_TSMOM]]*(0.4*Tabela3[[#This Row],[Volatilidade]])</f>
        <v>0</v>
      </c>
      <c r="H414" s="5">
        <f>Tabela3[[#This Row],[Position_Size]]*Tabela3[[#This Row],[Retorno_Diário]]</f>
        <v>0</v>
      </c>
    </row>
    <row r="415" spans="1:8" x14ac:dyDescent="0.2">
      <c r="A415" s="11" t="s">
        <v>2770</v>
      </c>
      <c r="B415" s="4" t="s">
        <v>2772</v>
      </c>
      <c r="C415" s="5">
        <f t="shared" si="10"/>
        <v>-5.2717587949312472E-2</v>
      </c>
      <c r="D415" s="5"/>
      <c r="E415" s="5"/>
      <c r="F415" s="5">
        <f>IF(Tabela3[[#This Row],[Retorno_Diário]]&gt;0,1,-1)</f>
        <v>-1</v>
      </c>
      <c r="G415" s="5">
        <f>Tabela3[[#This Row],[Sinal_TSMOM]]*(0.4*Tabela3[[#This Row],[Volatilidade]])</f>
        <v>0</v>
      </c>
      <c r="H415" s="5">
        <f>Tabela3[[#This Row],[Position_Size]]*Tabela3[[#This Row],[Retorno_Diário]]</f>
        <v>0</v>
      </c>
    </row>
    <row r="416" spans="1:8" x14ac:dyDescent="0.2">
      <c r="A416" s="11" t="s">
        <v>2777</v>
      </c>
      <c r="B416" s="4" t="s">
        <v>2779</v>
      </c>
      <c r="C416" s="5">
        <f t="shared" si="10"/>
        <v>1.8529955965653766E-2</v>
      </c>
      <c r="D416" s="5"/>
      <c r="E416" s="5"/>
      <c r="F416" s="5">
        <f>IF(Tabela3[[#This Row],[Retorno_Diário]]&gt;0,1,-1)</f>
        <v>1</v>
      </c>
      <c r="G416" s="5">
        <f>Tabela3[[#This Row],[Sinal_TSMOM]]*(0.4*Tabela3[[#This Row],[Volatilidade]])</f>
        <v>0</v>
      </c>
      <c r="H416" s="5">
        <f>Tabela3[[#This Row],[Position_Size]]*Tabela3[[#This Row],[Retorno_Diário]]</f>
        <v>0</v>
      </c>
    </row>
    <row r="417" spans="1:8" x14ac:dyDescent="0.2">
      <c r="A417" s="11" t="s">
        <v>2784</v>
      </c>
      <c r="B417" s="4" t="s">
        <v>2786</v>
      </c>
      <c r="C417" s="5">
        <f t="shared" si="10"/>
        <v>-2.206103169749396E-2</v>
      </c>
      <c r="D417" s="5"/>
      <c r="E417" s="5"/>
      <c r="F417" s="5">
        <f>IF(Tabela3[[#This Row],[Retorno_Diário]]&gt;0,1,-1)</f>
        <v>-1</v>
      </c>
      <c r="G417" s="5">
        <f>Tabela3[[#This Row],[Sinal_TSMOM]]*(0.4*Tabela3[[#This Row],[Volatilidade]])</f>
        <v>0</v>
      </c>
      <c r="H417" s="5">
        <f>Tabela3[[#This Row],[Position_Size]]*Tabela3[[#This Row],[Retorno_Diário]]</f>
        <v>0</v>
      </c>
    </row>
    <row r="418" spans="1:8" x14ac:dyDescent="0.2">
      <c r="A418" s="11" t="s">
        <v>2791</v>
      </c>
      <c r="B418" s="4" t="s">
        <v>2793</v>
      </c>
      <c r="C418" s="5">
        <f t="shared" si="10"/>
        <v>-3.584707260891995E-3</v>
      </c>
      <c r="D418" s="5"/>
      <c r="E418" s="5"/>
      <c r="F418" s="5">
        <f>IF(Tabela3[[#This Row],[Retorno_Diário]]&gt;0,1,-1)</f>
        <v>-1</v>
      </c>
      <c r="G418" s="5">
        <f>Tabela3[[#This Row],[Sinal_TSMOM]]*(0.4*Tabela3[[#This Row],[Volatilidade]])</f>
        <v>0</v>
      </c>
      <c r="H418" s="5">
        <f>Tabela3[[#This Row],[Position_Size]]*Tabela3[[#This Row],[Retorno_Diário]]</f>
        <v>0</v>
      </c>
    </row>
    <row r="419" spans="1:8" x14ac:dyDescent="0.2">
      <c r="A419" s="11" t="s">
        <v>2797</v>
      </c>
      <c r="B419" s="4" t="s">
        <v>2799</v>
      </c>
      <c r="C419" s="5">
        <f t="shared" si="10"/>
        <v>3.5851695300755937E-2</v>
      </c>
      <c r="D419" s="5"/>
      <c r="E419" s="5"/>
      <c r="F419" s="5">
        <f>IF(Tabela3[[#This Row],[Retorno_Diário]]&gt;0,1,-1)</f>
        <v>1</v>
      </c>
      <c r="G419" s="5">
        <f>Tabela3[[#This Row],[Sinal_TSMOM]]*(0.4*Tabela3[[#This Row],[Volatilidade]])</f>
        <v>0</v>
      </c>
      <c r="H419" s="5">
        <f>Tabela3[[#This Row],[Position_Size]]*Tabela3[[#This Row],[Retorno_Diário]]</f>
        <v>0</v>
      </c>
    </row>
    <row r="420" spans="1:8" x14ac:dyDescent="0.2">
      <c r="A420" s="11" t="s">
        <v>2804</v>
      </c>
      <c r="B420" s="4" t="s">
        <v>2806</v>
      </c>
      <c r="C420" s="5">
        <f t="shared" si="10"/>
        <v>3.0538134978590481E-3</v>
      </c>
      <c r="D420" s="5"/>
      <c r="E420" s="5"/>
      <c r="F420" s="5">
        <f>IF(Tabela3[[#This Row],[Retorno_Diário]]&gt;0,1,-1)</f>
        <v>1</v>
      </c>
      <c r="G420" s="5">
        <f>Tabela3[[#This Row],[Sinal_TSMOM]]*(0.4*Tabela3[[#This Row],[Volatilidade]])</f>
        <v>0</v>
      </c>
      <c r="H420" s="5">
        <f>Tabela3[[#This Row],[Position_Size]]*Tabela3[[#This Row],[Retorno_Diário]]</f>
        <v>0</v>
      </c>
    </row>
    <row r="421" spans="1:8" x14ac:dyDescent="0.2">
      <c r="A421" s="11" t="s">
        <v>2811</v>
      </c>
      <c r="B421" s="4" t="s">
        <v>2813</v>
      </c>
      <c r="C421" s="5">
        <f t="shared" si="10"/>
        <v>-1.9939086904776193E-2</v>
      </c>
      <c r="D421" s="5"/>
      <c r="E421" s="5"/>
      <c r="F421" s="5">
        <f>IF(Tabela3[[#This Row],[Retorno_Diário]]&gt;0,1,-1)</f>
        <v>-1</v>
      </c>
      <c r="G421" s="5">
        <f>Tabela3[[#This Row],[Sinal_TSMOM]]*(0.4*Tabela3[[#This Row],[Volatilidade]])</f>
        <v>0</v>
      </c>
      <c r="H421" s="5">
        <f>Tabela3[[#This Row],[Position_Size]]*Tabela3[[#This Row],[Retorno_Diário]]</f>
        <v>0</v>
      </c>
    </row>
    <row r="422" spans="1:8" x14ac:dyDescent="0.2">
      <c r="A422" s="11" t="s">
        <v>2818</v>
      </c>
      <c r="B422" s="4" t="s">
        <v>2820</v>
      </c>
      <c r="C422" s="5">
        <f t="shared" si="10"/>
        <v>2.7958801176125148E-2</v>
      </c>
      <c r="D422" s="5"/>
      <c r="E422" s="5"/>
      <c r="F422" s="5">
        <f>IF(Tabela3[[#This Row],[Retorno_Diário]]&gt;0,1,-1)</f>
        <v>1</v>
      </c>
      <c r="G422" s="5">
        <f>Tabela3[[#This Row],[Sinal_TSMOM]]*(0.4*Tabela3[[#This Row],[Volatilidade]])</f>
        <v>0</v>
      </c>
      <c r="H422" s="5">
        <f>Tabela3[[#This Row],[Position_Size]]*Tabela3[[#This Row],[Retorno_Diário]]</f>
        <v>0</v>
      </c>
    </row>
    <row r="423" spans="1:8" x14ac:dyDescent="0.2">
      <c r="A423" s="11" t="s">
        <v>2824</v>
      </c>
      <c r="B423" s="4" t="s">
        <v>2826</v>
      </c>
      <c r="C423" s="5">
        <f t="shared" si="10"/>
        <v>6.5062900915067612E-2</v>
      </c>
      <c r="D423" s="5"/>
      <c r="E423" s="5"/>
      <c r="F423" s="5">
        <f>IF(Tabela3[[#This Row],[Retorno_Diário]]&gt;0,1,-1)</f>
        <v>1</v>
      </c>
      <c r="G423" s="5">
        <f>Tabela3[[#This Row],[Sinal_TSMOM]]*(0.4*Tabela3[[#This Row],[Volatilidade]])</f>
        <v>0</v>
      </c>
      <c r="H423" s="5">
        <f>Tabela3[[#This Row],[Position_Size]]*Tabela3[[#This Row],[Retorno_Diário]]</f>
        <v>0</v>
      </c>
    </row>
    <row r="424" spans="1:8" x14ac:dyDescent="0.2">
      <c r="A424" s="11" t="s">
        <v>2831</v>
      </c>
      <c r="B424" s="4" t="s">
        <v>2833</v>
      </c>
      <c r="C424" s="5">
        <f t="shared" si="10"/>
        <v>-6.0643793269899993E-3</v>
      </c>
      <c r="D424" s="5"/>
      <c r="E424" s="5"/>
      <c r="F424" s="5">
        <f>IF(Tabela3[[#This Row],[Retorno_Diário]]&gt;0,1,-1)</f>
        <v>-1</v>
      </c>
      <c r="G424" s="5">
        <f>Tabela3[[#This Row],[Sinal_TSMOM]]*(0.4*Tabela3[[#This Row],[Volatilidade]])</f>
        <v>0</v>
      </c>
      <c r="H424" s="5">
        <f>Tabela3[[#This Row],[Position_Size]]*Tabela3[[#This Row],[Retorno_Diário]]</f>
        <v>0</v>
      </c>
    </row>
    <row r="425" spans="1:8" x14ac:dyDescent="0.2">
      <c r="A425" s="11" t="s">
        <v>2838</v>
      </c>
      <c r="B425" s="4" t="s">
        <v>2840</v>
      </c>
      <c r="C425" s="5">
        <f t="shared" si="10"/>
        <v>1.0355413843410322E-2</v>
      </c>
      <c r="D425" s="5"/>
      <c r="E425" s="5"/>
      <c r="F425" s="5">
        <f>IF(Tabela3[[#This Row],[Retorno_Diário]]&gt;0,1,-1)</f>
        <v>1</v>
      </c>
      <c r="G425" s="5">
        <f>Tabela3[[#This Row],[Sinal_TSMOM]]*(0.4*Tabela3[[#This Row],[Volatilidade]])</f>
        <v>0</v>
      </c>
      <c r="H425" s="5">
        <f>Tabela3[[#This Row],[Position_Size]]*Tabela3[[#This Row],[Retorno_Diário]]</f>
        <v>0</v>
      </c>
    </row>
    <row r="426" spans="1:8" x14ac:dyDescent="0.2">
      <c r="A426" s="11" t="s">
        <v>2844</v>
      </c>
      <c r="B426" s="4" t="s">
        <v>2846</v>
      </c>
      <c r="C426" s="5">
        <f t="shared" si="10"/>
        <v>1.4847732283900461E-2</v>
      </c>
      <c r="D426" s="5"/>
      <c r="E426" s="5"/>
      <c r="F426" s="5">
        <f>IF(Tabela3[[#This Row],[Retorno_Diário]]&gt;0,1,-1)</f>
        <v>1</v>
      </c>
      <c r="G426" s="5">
        <f>Tabela3[[#This Row],[Sinal_TSMOM]]*(0.4*Tabela3[[#This Row],[Volatilidade]])</f>
        <v>0</v>
      </c>
      <c r="H426" s="5">
        <f>Tabela3[[#This Row],[Position_Size]]*Tabela3[[#This Row],[Retorno_Diário]]</f>
        <v>0</v>
      </c>
    </row>
    <row r="427" spans="1:8" x14ac:dyDescent="0.2">
      <c r="A427" s="11" t="s">
        <v>2851</v>
      </c>
      <c r="B427" s="4" t="s">
        <v>2853</v>
      </c>
      <c r="C427" s="5">
        <f t="shared" si="10"/>
        <v>6.2779651783417822E-3</v>
      </c>
      <c r="D427" s="5"/>
      <c r="E427" s="5"/>
      <c r="F427" s="5">
        <f>IF(Tabela3[[#This Row],[Retorno_Diário]]&gt;0,1,-1)</f>
        <v>1</v>
      </c>
      <c r="G427" s="5">
        <f>Tabela3[[#This Row],[Sinal_TSMOM]]*(0.4*Tabela3[[#This Row],[Volatilidade]])</f>
        <v>0</v>
      </c>
      <c r="H427" s="5">
        <f>Tabela3[[#This Row],[Position_Size]]*Tabela3[[#This Row],[Retorno_Diário]]</f>
        <v>0</v>
      </c>
    </row>
    <row r="428" spans="1:8" x14ac:dyDescent="0.2">
      <c r="A428" s="11" t="s">
        <v>2858</v>
      </c>
      <c r="B428" s="4" t="s">
        <v>2860</v>
      </c>
      <c r="C428" s="5">
        <f t="shared" si="10"/>
        <v>-3.2553130879475756E-4</v>
      </c>
      <c r="D428" s="5"/>
      <c r="E428" s="5"/>
      <c r="F428" s="5">
        <f>IF(Tabela3[[#This Row],[Retorno_Diário]]&gt;0,1,-1)</f>
        <v>-1</v>
      </c>
      <c r="G428" s="5">
        <f>Tabela3[[#This Row],[Sinal_TSMOM]]*(0.4*Tabela3[[#This Row],[Volatilidade]])</f>
        <v>0</v>
      </c>
      <c r="H428" s="5">
        <f>Tabela3[[#This Row],[Position_Size]]*Tabela3[[#This Row],[Retorno_Diário]]</f>
        <v>0</v>
      </c>
    </row>
    <row r="429" spans="1:8" x14ac:dyDescent="0.2">
      <c r="A429" s="11" t="s">
        <v>2865</v>
      </c>
      <c r="B429" s="4" t="s">
        <v>2867</v>
      </c>
      <c r="C429" s="5">
        <f t="shared" si="10"/>
        <v>-1.2644478268678649E-2</v>
      </c>
      <c r="D429" s="5"/>
      <c r="E429" s="5"/>
      <c r="F429" s="5">
        <f>IF(Tabela3[[#This Row],[Retorno_Diário]]&gt;0,1,-1)</f>
        <v>-1</v>
      </c>
      <c r="G429" s="5">
        <f>Tabela3[[#This Row],[Sinal_TSMOM]]*(0.4*Tabela3[[#This Row],[Volatilidade]])</f>
        <v>0</v>
      </c>
      <c r="H429" s="5">
        <f>Tabela3[[#This Row],[Position_Size]]*Tabela3[[#This Row],[Retorno_Diário]]</f>
        <v>0</v>
      </c>
    </row>
    <row r="430" spans="1:8" x14ac:dyDescent="0.2">
      <c r="A430" s="11" t="s">
        <v>2872</v>
      </c>
      <c r="B430" s="4" t="s">
        <v>2874</v>
      </c>
      <c r="C430" s="5">
        <f t="shared" si="10"/>
        <v>-9.5086475416022997E-3</v>
      </c>
      <c r="D430" s="5"/>
      <c r="E430" s="5"/>
      <c r="F430" s="5">
        <f>IF(Tabela3[[#This Row],[Retorno_Diário]]&gt;0,1,-1)</f>
        <v>-1</v>
      </c>
      <c r="G430" s="5">
        <f>Tabela3[[#This Row],[Sinal_TSMOM]]*(0.4*Tabela3[[#This Row],[Volatilidade]])</f>
        <v>0</v>
      </c>
      <c r="H430" s="5">
        <f>Tabela3[[#This Row],[Position_Size]]*Tabela3[[#This Row],[Retorno_Diário]]</f>
        <v>0</v>
      </c>
    </row>
    <row r="431" spans="1:8" x14ac:dyDescent="0.2">
      <c r="A431" s="11" t="s">
        <v>2879</v>
      </c>
      <c r="B431" s="4" t="s">
        <v>2881</v>
      </c>
      <c r="C431" s="5">
        <f t="shared" si="10"/>
        <v>4.7722347784135977E-3</v>
      </c>
      <c r="D431" s="5"/>
      <c r="E431" s="5"/>
      <c r="F431" s="5">
        <f>IF(Tabela3[[#This Row],[Retorno_Diário]]&gt;0,1,-1)</f>
        <v>1</v>
      </c>
      <c r="G431" s="5">
        <f>Tabela3[[#This Row],[Sinal_TSMOM]]*(0.4*Tabela3[[#This Row],[Volatilidade]])</f>
        <v>0</v>
      </c>
      <c r="H431" s="5">
        <f>Tabela3[[#This Row],[Position_Size]]*Tabela3[[#This Row],[Retorno_Diário]]</f>
        <v>0</v>
      </c>
    </row>
    <row r="432" spans="1:8" x14ac:dyDescent="0.2">
      <c r="A432" s="11" t="s">
        <v>2886</v>
      </c>
      <c r="B432" s="4" t="s">
        <v>2888</v>
      </c>
      <c r="C432" s="5">
        <f t="shared" si="10"/>
        <v>-6.0198352877499639E-3</v>
      </c>
      <c r="D432" s="5"/>
      <c r="E432" s="5"/>
      <c r="F432" s="5">
        <f>IF(Tabela3[[#This Row],[Retorno_Diário]]&gt;0,1,-1)</f>
        <v>-1</v>
      </c>
      <c r="G432" s="5">
        <f>Tabela3[[#This Row],[Sinal_TSMOM]]*(0.4*Tabela3[[#This Row],[Volatilidade]])</f>
        <v>0</v>
      </c>
      <c r="H432" s="5">
        <f>Tabela3[[#This Row],[Position_Size]]*Tabela3[[#This Row],[Retorno_Diário]]</f>
        <v>0</v>
      </c>
    </row>
    <row r="433" spans="1:8" x14ac:dyDescent="0.2">
      <c r="A433" s="11" t="s">
        <v>2892</v>
      </c>
      <c r="B433" s="4" t="s">
        <v>2072</v>
      </c>
      <c r="C433" s="5">
        <f t="shared" si="10"/>
        <v>-1.6890707901063506E-2</v>
      </c>
      <c r="D433" s="5"/>
      <c r="E433" s="5"/>
      <c r="F433" s="5">
        <f>IF(Tabela3[[#This Row],[Retorno_Diário]]&gt;0,1,-1)</f>
        <v>-1</v>
      </c>
      <c r="G433" s="5">
        <f>Tabela3[[#This Row],[Sinal_TSMOM]]*(0.4*Tabela3[[#This Row],[Volatilidade]])</f>
        <v>0</v>
      </c>
      <c r="H433" s="5">
        <f>Tabela3[[#This Row],[Position_Size]]*Tabela3[[#This Row],[Retorno_Diário]]</f>
        <v>0</v>
      </c>
    </row>
    <row r="434" spans="1:8" x14ac:dyDescent="0.2">
      <c r="A434" s="11" t="s">
        <v>2898</v>
      </c>
      <c r="B434" s="4" t="s">
        <v>2900</v>
      </c>
      <c r="C434" s="5">
        <f t="shared" si="10"/>
        <v>-2.4019505965017673E-2</v>
      </c>
      <c r="D434" s="5"/>
      <c r="E434" s="5"/>
      <c r="F434" s="5">
        <f>IF(Tabela3[[#This Row],[Retorno_Diário]]&gt;0,1,-1)</f>
        <v>-1</v>
      </c>
      <c r="G434" s="5">
        <f>Tabela3[[#This Row],[Sinal_TSMOM]]*(0.4*Tabela3[[#This Row],[Volatilidade]])</f>
        <v>0</v>
      </c>
      <c r="H434" s="5">
        <f>Tabela3[[#This Row],[Position_Size]]*Tabela3[[#This Row],[Retorno_Diário]]</f>
        <v>0</v>
      </c>
    </row>
    <row r="435" spans="1:8" x14ac:dyDescent="0.2">
      <c r="A435" s="11" t="s">
        <v>2905</v>
      </c>
      <c r="B435" s="4" t="s">
        <v>2907</v>
      </c>
      <c r="C435" s="5">
        <f t="shared" si="10"/>
        <v>1.2450064496860369E-2</v>
      </c>
      <c r="D435" s="5"/>
      <c r="E435" s="5"/>
      <c r="F435" s="5">
        <f>IF(Tabela3[[#This Row],[Retorno_Diário]]&gt;0,1,-1)</f>
        <v>1</v>
      </c>
      <c r="G435" s="5">
        <f>Tabela3[[#This Row],[Sinal_TSMOM]]*(0.4*Tabela3[[#This Row],[Volatilidade]])</f>
        <v>0</v>
      </c>
      <c r="H435" s="5">
        <f>Tabela3[[#This Row],[Position_Size]]*Tabela3[[#This Row],[Retorno_Diário]]</f>
        <v>0</v>
      </c>
    </row>
    <row r="436" spans="1:8" x14ac:dyDescent="0.2">
      <c r="A436" s="11" t="s">
        <v>2912</v>
      </c>
      <c r="B436" s="4" t="s">
        <v>2914</v>
      </c>
      <c r="C436" s="5">
        <f t="shared" si="10"/>
        <v>-1.3212022580547655E-2</v>
      </c>
      <c r="D436" s="5"/>
      <c r="E436" s="5"/>
      <c r="F436" s="5">
        <f>IF(Tabela3[[#This Row],[Retorno_Diário]]&gt;0,1,-1)</f>
        <v>-1</v>
      </c>
      <c r="G436" s="5">
        <f>Tabela3[[#This Row],[Sinal_TSMOM]]*(0.4*Tabela3[[#This Row],[Volatilidade]])</f>
        <v>0</v>
      </c>
      <c r="H436" s="5">
        <f>Tabela3[[#This Row],[Position_Size]]*Tabela3[[#This Row],[Retorno_Diário]]</f>
        <v>0</v>
      </c>
    </row>
    <row r="437" spans="1:8" x14ac:dyDescent="0.2">
      <c r="A437" s="11" t="s">
        <v>2919</v>
      </c>
      <c r="B437" s="4" t="s">
        <v>2921</v>
      </c>
      <c r="C437" s="5">
        <f t="shared" si="10"/>
        <v>3.3037714383251426E-2</v>
      </c>
      <c r="D437" s="5"/>
      <c r="E437" s="5"/>
      <c r="F437" s="5">
        <f>IF(Tabela3[[#This Row],[Retorno_Diário]]&gt;0,1,-1)</f>
        <v>1</v>
      </c>
      <c r="G437" s="5">
        <f>Tabela3[[#This Row],[Sinal_TSMOM]]*(0.4*Tabela3[[#This Row],[Volatilidade]])</f>
        <v>0</v>
      </c>
      <c r="H437" s="5">
        <f>Tabela3[[#This Row],[Position_Size]]*Tabela3[[#This Row],[Retorno_Diário]]</f>
        <v>0</v>
      </c>
    </row>
    <row r="438" spans="1:8" x14ac:dyDescent="0.2">
      <c r="A438" s="11" t="s">
        <v>2926</v>
      </c>
      <c r="B438" s="4" t="s">
        <v>2928</v>
      </c>
      <c r="C438" s="5">
        <f t="shared" si="10"/>
        <v>-4.9935870578953212E-3</v>
      </c>
      <c r="D438" s="5"/>
      <c r="E438" s="5"/>
      <c r="F438" s="5">
        <f>IF(Tabela3[[#This Row],[Retorno_Diário]]&gt;0,1,-1)</f>
        <v>-1</v>
      </c>
      <c r="G438" s="5">
        <f>Tabela3[[#This Row],[Sinal_TSMOM]]*(0.4*Tabela3[[#This Row],[Volatilidade]])</f>
        <v>0</v>
      </c>
      <c r="H438" s="5">
        <f>Tabela3[[#This Row],[Position_Size]]*Tabela3[[#This Row],[Retorno_Diário]]</f>
        <v>0</v>
      </c>
    </row>
    <row r="439" spans="1:8" x14ac:dyDescent="0.2">
      <c r="A439" s="11" t="s">
        <v>2933</v>
      </c>
      <c r="B439" s="4" t="s">
        <v>2935</v>
      </c>
      <c r="C439" s="5">
        <f t="shared" si="10"/>
        <v>-3.1464908128581603E-2</v>
      </c>
      <c r="D439" s="5"/>
      <c r="E439" s="5"/>
      <c r="F439" s="5">
        <f>IF(Tabela3[[#This Row],[Retorno_Diário]]&gt;0,1,-1)</f>
        <v>-1</v>
      </c>
      <c r="G439" s="5">
        <f>Tabela3[[#This Row],[Sinal_TSMOM]]*(0.4*Tabela3[[#This Row],[Volatilidade]])</f>
        <v>0</v>
      </c>
      <c r="H439" s="5">
        <f>Tabela3[[#This Row],[Position_Size]]*Tabela3[[#This Row],[Retorno_Diário]]</f>
        <v>0</v>
      </c>
    </row>
    <row r="440" spans="1:8" x14ac:dyDescent="0.2">
      <c r="A440" s="11" t="s">
        <v>2939</v>
      </c>
      <c r="B440" s="4" t="s">
        <v>2941</v>
      </c>
      <c r="C440" s="5">
        <f t="shared" si="10"/>
        <v>1.3448939503758472E-2</v>
      </c>
      <c r="D440" s="5"/>
      <c r="E440" s="5"/>
      <c r="F440" s="5">
        <f>IF(Tabela3[[#This Row],[Retorno_Diário]]&gt;0,1,-1)</f>
        <v>1</v>
      </c>
      <c r="G440" s="5">
        <f>Tabela3[[#This Row],[Sinal_TSMOM]]*(0.4*Tabela3[[#This Row],[Volatilidade]])</f>
        <v>0</v>
      </c>
      <c r="H440" s="5">
        <f>Tabela3[[#This Row],[Position_Size]]*Tabela3[[#This Row],[Retorno_Diário]]</f>
        <v>0</v>
      </c>
    </row>
    <row r="441" spans="1:8" x14ac:dyDescent="0.2">
      <c r="A441" s="11" t="s">
        <v>2945</v>
      </c>
      <c r="B441" s="4" t="s">
        <v>2278</v>
      </c>
      <c r="C441" s="5">
        <f t="shared" si="10"/>
        <v>-4.0213532763333504E-4</v>
      </c>
      <c r="D441" s="5"/>
      <c r="E441" s="5"/>
      <c r="F441" s="5">
        <f>IF(Tabela3[[#This Row],[Retorno_Diário]]&gt;0,1,-1)</f>
        <v>-1</v>
      </c>
      <c r="G441" s="5">
        <f>Tabela3[[#This Row],[Sinal_TSMOM]]*(0.4*Tabela3[[#This Row],[Volatilidade]])</f>
        <v>0</v>
      </c>
      <c r="H441" s="5">
        <f>Tabela3[[#This Row],[Position_Size]]*Tabela3[[#This Row],[Retorno_Diário]]</f>
        <v>0</v>
      </c>
    </row>
    <row r="442" spans="1:8" x14ac:dyDescent="0.2">
      <c r="A442" s="11" t="s">
        <v>2950</v>
      </c>
      <c r="B442" s="4" t="s">
        <v>2952</v>
      </c>
      <c r="C442" s="5">
        <f t="shared" si="10"/>
        <v>-5.5171704679721767E-3</v>
      </c>
      <c r="D442" s="5"/>
      <c r="E442" s="5"/>
      <c r="F442" s="5">
        <f>IF(Tabela3[[#This Row],[Retorno_Diário]]&gt;0,1,-1)</f>
        <v>-1</v>
      </c>
      <c r="G442" s="5">
        <f>Tabela3[[#This Row],[Sinal_TSMOM]]*(0.4*Tabela3[[#This Row],[Volatilidade]])</f>
        <v>0</v>
      </c>
      <c r="H442" s="5">
        <f>Tabela3[[#This Row],[Position_Size]]*Tabela3[[#This Row],[Retorno_Diário]]</f>
        <v>0</v>
      </c>
    </row>
    <row r="443" spans="1:8" x14ac:dyDescent="0.2">
      <c r="A443" s="11" t="s">
        <v>2956</v>
      </c>
      <c r="B443" s="4" t="s">
        <v>2958</v>
      </c>
      <c r="C443" s="5">
        <f t="shared" si="10"/>
        <v>4.7792396178248486E-2</v>
      </c>
      <c r="D443" s="5"/>
      <c r="E443" s="5"/>
      <c r="F443" s="5">
        <f>IF(Tabela3[[#This Row],[Retorno_Diário]]&gt;0,1,-1)</f>
        <v>1</v>
      </c>
      <c r="G443" s="5">
        <f>Tabela3[[#This Row],[Sinal_TSMOM]]*(0.4*Tabela3[[#This Row],[Volatilidade]])</f>
        <v>0</v>
      </c>
      <c r="H443" s="5">
        <f>Tabela3[[#This Row],[Position_Size]]*Tabela3[[#This Row],[Retorno_Diário]]</f>
        <v>0</v>
      </c>
    </row>
    <row r="444" spans="1:8" x14ac:dyDescent="0.2">
      <c r="A444" s="11" t="s">
        <v>2962</v>
      </c>
      <c r="B444" s="4" t="s">
        <v>2964</v>
      </c>
      <c r="C444" s="5">
        <f t="shared" si="10"/>
        <v>3.6401733413888859E-3</v>
      </c>
      <c r="D444" s="5"/>
      <c r="E444" s="5"/>
      <c r="F444" s="5">
        <f>IF(Tabela3[[#This Row],[Retorno_Diário]]&gt;0,1,-1)</f>
        <v>1</v>
      </c>
      <c r="G444" s="5">
        <f>Tabela3[[#This Row],[Sinal_TSMOM]]*(0.4*Tabela3[[#This Row],[Volatilidade]])</f>
        <v>0</v>
      </c>
      <c r="H444" s="5">
        <f>Tabela3[[#This Row],[Position_Size]]*Tabela3[[#This Row],[Retorno_Diário]]</f>
        <v>0</v>
      </c>
    </row>
    <row r="445" spans="1:8" x14ac:dyDescent="0.2">
      <c r="A445" s="11" t="s">
        <v>2969</v>
      </c>
      <c r="B445" s="4" t="s">
        <v>2853</v>
      </c>
      <c r="C445" s="5">
        <f t="shared" si="10"/>
        <v>1.2969173737683359E-2</v>
      </c>
      <c r="D445" s="5"/>
      <c r="E445" s="5"/>
      <c r="F445" s="5">
        <f>IF(Tabela3[[#This Row],[Retorno_Diário]]&gt;0,1,-1)</f>
        <v>1</v>
      </c>
      <c r="G445" s="5">
        <f>Tabela3[[#This Row],[Sinal_TSMOM]]*(0.4*Tabela3[[#This Row],[Volatilidade]])</f>
        <v>0</v>
      </c>
      <c r="H445" s="5">
        <f>Tabela3[[#This Row],[Position_Size]]*Tabela3[[#This Row],[Retorno_Diário]]</f>
        <v>0</v>
      </c>
    </row>
    <row r="446" spans="1:8" x14ac:dyDescent="0.2">
      <c r="A446" s="11" t="s">
        <v>2974</v>
      </c>
      <c r="B446" s="4" t="s">
        <v>2976</v>
      </c>
      <c r="C446" s="5">
        <f t="shared" si="10"/>
        <v>-3.8517928176369121E-2</v>
      </c>
      <c r="D446" s="5"/>
      <c r="E446" s="5"/>
      <c r="F446" s="5">
        <f>IF(Tabela3[[#This Row],[Retorno_Diário]]&gt;0,1,-1)</f>
        <v>-1</v>
      </c>
      <c r="G446" s="5">
        <f>Tabela3[[#This Row],[Sinal_TSMOM]]*(0.4*Tabela3[[#This Row],[Volatilidade]])</f>
        <v>0</v>
      </c>
      <c r="H446" s="5">
        <f>Tabela3[[#This Row],[Position_Size]]*Tabela3[[#This Row],[Retorno_Diário]]</f>
        <v>0</v>
      </c>
    </row>
    <row r="447" spans="1:8" x14ac:dyDescent="0.2">
      <c r="A447" s="11" t="s">
        <v>2979</v>
      </c>
      <c r="B447" s="4" t="s">
        <v>2237</v>
      </c>
      <c r="C447" s="5">
        <f t="shared" si="10"/>
        <v>1.9635478256677663E-2</v>
      </c>
      <c r="D447" s="5"/>
      <c r="E447" s="5"/>
      <c r="F447" s="5">
        <f>IF(Tabela3[[#This Row],[Retorno_Diário]]&gt;0,1,-1)</f>
        <v>1</v>
      </c>
      <c r="G447" s="5">
        <f>Tabela3[[#This Row],[Sinal_TSMOM]]*(0.4*Tabela3[[#This Row],[Volatilidade]])</f>
        <v>0</v>
      </c>
      <c r="H447" s="5">
        <f>Tabela3[[#This Row],[Position_Size]]*Tabela3[[#This Row],[Retorno_Diário]]</f>
        <v>0</v>
      </c>
    </row>
    <row r="448" spans="1:8" x14ac:dyDescent="0.2">
      <c r="A448" s="11" t="s">
        <v>2985</v>
      </c>
      <c r="B448" s="4" t="s">
        <v>2987</v>
      </c>
      <c r="C448" s="5">
        <f t="shared" si="10"/>
        <v>1.2838269156237203E-2</v>
      </c>
      <c r="D448" s="5"/>
      <c r="E448" s="5"/>
      <c r="F448" s="5">
        <f>IF(Tabela3[[#This Row],[Retorno_Diário]]&gt;0,1,-1)</f>
        <v>1</v>
      </c>
      <c r="G448" s="5">
        <f>Tabela3[[#This Row],[Sinal_TSMOM]]*(0.4*Tabela3[[#This Row],[Volatilidade]])</f>
        <v>0</v>
      </c>
      <c r="H448" s="5">
        <f>Tabela3[[#This Row],[Position_Size]]*Tabela3[[#This Row],[Retorno_Diário]]</f>
        <v>0</v>
      </c>
    </row>
    <row r="449" spans="1:8" x14ac:dyDescent="0.2">
      <c r="A449" s="11" t="s">
        <v>2992</v>
      </c>
      <c r="B449" s="4" t="s">
        <v>2994</v>
      </c>
      <c r="C449" s="5">
        <f t="shared" si="10"/>
        <v>1.6172291016202545E-2</v>
      </c>
      <c r="D449" s="5"/>
      <c r="E449" s="5"/>
      <c r="F449" s="5">
        <f>IF(Tabela3[[#This Row],[Retorno_Diário]]&gt;0,1,-1)</f>
        <v>1</v>
      </c>
      <c r="G449" s="5">
        <f>Tabela3[[#This Row],[Sinal_TSMOM]]*(0.4*Tabela3[[#This Row],[Volatilidade]])</f>
        <v>0</v>
      </c>
      <c r="H449" s="5">
        <f>Tabela3[[#This Row],[Position_Size]]*Tabela3[[#This Row],[Retorno_Diário]]</f>
        <v>0</v>
      </c>
    </row>
    <row r="450" spans="1:8" x14ac:dyDescent="0.2">
      <c r="A450" s="11" t="s">
        <v>2999</v>
      </c>
      <c r="B450" s="4" t="s">
        <v>3001</v>
      </c>
      <c r="C450" s="5">
        <f t="shared" si="10"/>
        <v>2.90332514872782E-3</v>
      </c>
      <c r="D450" s="5"/>
      <c r="E450" s="5"/>
      <c r="F450" s="5">
        <f>IF(Tabela3[[#This Row],[Retorno_Diário]]&gt;0,1,-1)</f>
        <v>1</v>
      </c>
      <c r="G450" s="5">
        <f>Tabela3[[#This Row],[Sinal_TSMOM]]*(0.4*Tabela3[[#This Row],[Volatilidade]])</f>
        <v>0</v>
      </c>
      <c r="H450" s="5">
        <f>Tabela3[[#This Row],[Position_Size]]*Tabela3[[#This Row],[Retorno_Diário]]</f>
        <v>0</v>
      </c>
    </row>
    <row r="451" spans="1:8" x14ac:dyDescent="0.2">
      <c r="A451" s="11" t="s">
        <v>3006</v>
      </c>
      <c r="B451" s="4" t="s">
        <v>3008</v>
      </c>
      <c r="C451" s="5">
        <f t="shared" si="10"/>
        <v>5.2752868640909112E-2</v>
      </c>
      <c r="D451" s="5"/>
      <c r="E451" s="5"/>
      <c r="F451" s="5">
        <f>IF(Tabela3[[#This Row],[Retorno_Diário]]&gt;0,1,-1)</f>
        <v>1</v>
      </c>
      <c r="G451" s="5">
        <f>Tabela3[[#This Row],[Sinal_TSMOM]]*(0.4*Tabela3[[#This Row],[Volatilidade]])</f>
        <v>0</v>
      </c>
      <c r="H451" s="5">
        <f>Tabela3[[#This Row],[Position_Size]]*Tabela3[[#This Row],[Retorno_Diário]]</f>
        <v>0</v>
      </c>
    </row>
    <row r="452" spans="1:8" x14ac:dyDescent="0.2">
      <c r="A452" s="11" t="s">
        <v>3013</v>
      </c>
      <c r="B452" s="4" t="s">
        <v>3015</v>
      </c>
      <c r="C452" s="5">
        <f t="shared" ref="C452:C514" si="11">B452/B451-1</f>
        <v>-1.0999623814147319E-2</v>
      </c>
      <c r="D452" s="5"/>
      <c r="E452" s="5"/>
      <c r="F452" s="5">
        <f>IF(Tabela3[[#This Row],[Retorno_Diário]]&gt;0,1,-1)</f>
        <v>-1</v>
      </c>
      <c r="G452" s="5">
        <f>Tabela3[[#This Row],[Sinal_TSMOM]]*(0.4*Tabela3[[#This Row],[Volatilidade]])</f>
        <v>0</v>
      </c>
      <c r="H452" s="5">
        <f>Tabela3[[#This Row],[Position_Size]]*Tabela3[[#This Row],[Retorno_Diário]]</f>
        <v>0</v>
      </c>
    </row>
    <row r="453" spans="1:8" x14ac:dyDescent="0.2">
      <c r="A453" s="11" t="s">
        <v>3020</v>
      </c>
      <c r="B453" s="4" t="s">
        <v>3022</v>
      </c>
      <c r="C453" s="5">
        <f t="shared" si="11"/>
        <v>4.1199360020183207E-4</v>
      </c>
      <c r="D453" s="5"/>
      <c r="E453" s="5"/>
      <c r="F453" s="5">
        <f>IF(Tabela3[[#This Row],[Retorno_Diário]]&gt;0,1,-1)</f>
        <v>1</v>
      </c>
      <c r="G453" s="5">
        <f>Tabela3[[#This Row],[Sinal_TSMOM]]*(0.4*Tabela3[[#This Row],[Volatilidade]])</f>
        <v>0</v>
      </c>
      <c r="H453" s="5">
        <f>Tabela3[[#This Row],[Position_Size]]*Tabela3[[#This Row],[Retorno_Diário]]</f>
        <v>0</v>
      </c>
    </row>
    <row r="454" spans="1:8" x14ac:dyDescent="0.2">
      <c r="A454" s="11" t="s">
        <v>3026</v>
      </c>
      <c r="B454" s="4" t="s">
        <v>3028</v>
      </c>
      <c r="C454" s="5">
        <f t="shared" si="11"/>
        <v>-1.9558446209413716E-2</v>
      </c>
      <c r="D454" s="5"/>
      <c r="E454" s="5"/>
      <c r="F454" s="5">
        <f>IF(Tabela3[[#This Row],[Retorno_Diário]]&gt;0,1,-1)</f>
        <v>-1</v>
      </c>
      <c r="G454" s="5">
        <f>Tabela3[[#This Row],[Sinal_TSMOM]]*(0.4*Tabela3[[#This Row],[Volatilidade]])</f>
        <v>0</v>
      </c>
      <c r="H454" s="5">
        <f>Tabela3[[#This Row],[Position_Size]]*Tabela3[[#This Row],[Retorno_Diário]]</f>
        <v>0</v>
      </c>
    </row>
    <row r="455" spans="1:8" x14ac:dyDescent="0.2">
      <c r="A455" s="11" t="s">
        <v>3033</v>
      </c>
      <c r="B455" s="4" t="s">
        <v>3035</v>
      </c>
      <c r="C455" s="5">
        <f t="shared" si="11"/>
        <v>2.8977901830371522E-2</v>
      </c>
      <c r="D455" s="5"/>
      <c r="E455" s="5"/>
      <c r="F455" s="5">
        <f>IF(Tabela3[[#This Row],[Retorno_Diário]]&gt;0,1,-1)</f>
        <v>1</v>
      </c>
      <c r="G455" s="5">
        <f>Tabela3[[#This Row],[Sinal_TSMOM]]*(0.4*Tabela3[[#This Row],[Volatilidade]])</f>
        <v>0</v>
      </c>
      <c r="H455" s="5">
        <f>Tabela3[[#This Row],[Position_Size]]*Tabela3[[#This Row],[Retorno_Diário]]</f>
        <v>0</v>
      </c>
    </row>
    <row r="456" spans="1:8" x14ac:dyDescent="0.2">
      <c r="A456" s="11" t="s">
        <v>3039</v>
      </c>
      <c r="B456" s="4" t="s">
        <v>3041</v>
      </c>
      <c r="C456" s="5">
        <f t="shared" si="11"/>
        <v>-2.0406616254905474E-3</v>
      </c>
      <c r="D456" s="5"/>
      <c r="E456" s="5"/>
      <c r="F456" s="5">
        <f>IF(Tabela3[[#This Row],[Retorno_Diário]]&gt;0,1,-1)</f>
        <v>-1</v>
      </c>
      <c r="G456" s="5">
        <f>Tabela3[[#This Row],[Sinal_TSMOM]]*(0.4*Tabela3[[#This Row],[Volatilidade]])</f>
        <v>0</v>
      </c>
      <c r="H456" s="5">
        <f>Tabela3[[#This Row],[Position_Size]]*Tabela3[[#This Row],[Retorno_Diário]]</f>
        <v>0</v>
      </c>
    </row>
    <row r="457" spans="1:8" x14ac:dyDescent="0.2">
      <c r="A457" s="11" t="s">
        <v>3046</v>
      </c>
      <c r="B457" s="4" t="s">
        <v>3048</v>
      </c>
      <c r="C457" s="5">
        <f t="shared" si="11"/>
        <v>-2.6583530282676682E-3</v>
      </c>
      <c r="D457" s="5"/>
      <c r="E457" s="5"/>
      <c r="F457" s="5">
        <f>IF(Tabela3[[#This Row],[Retorno_Diário]]&gt;0,1,-1)</f>
        <v>-1</v>
      </c>
      <c r="G457" s="5">
        <f>Tabela3[[#This Row],[Sinal_TSMOM]]*(0.4*Tabela3[[#This Row],[Volatilidade]])</f>
        <v>0</v>
      </c>
      <c r="H457" s="5">
        <f>Tabela3[[#This Row],[Position_Size]]*Tabela3[[#This Row],[Retorno_Diário]]</f>
        <v>0</v>
      </c>
    </row>
    <row r="458" spans="1:8" x14ac:dyDescent="0.2">
      <c r="A458" s="11" t="s">
        <v>3053</v>
      </c>
      <c r="B458" s="4" t="s">
        <v>3055</v>
      </c>
      <c r="C458" s="5">
        <f t="shared" si="11"/>
        <v>9.0727376449828423E-3</v>
      </c>
      <c r="D458" s="5"/>
      <c r="E458" s="5"/>
      <c r="F458" s="5">
        <f>IF(Tabela3[[#This Row],[Retorno_Diário]]&gt;0,1,-1)</f>
        <v>1</v>
      </c>
      <c r="G458" s="5">
        <f>Tabela3[[#This Row],[Sinal_TSMOM]]*(0.4*Tabela3[[#This Row],[Volatilidade]])</f>
        <v>0</v>
      </c>
      <c r="H458" s="5">
        <f>Tabela3[[#This Row],[Position_Size]]*Tabela3[[#This Row],[Retorno_Diário]]</f>
        <v>0</v>
      </c>
    </row>
    <row r="459" spans="1:8" x14ac:dyDescent="0.2">
      <c r="A459" s="11" t="s">
        <v>3060</v>
      </c>
      <c r="B459" s="4" t="s">
        <v>3062</v>
      </c>
      <c r="C459" s="5">
        <f t="shared" si="11"/>
        <v>3.901247672978525E-2</v>
      </c>
      <c r="D459" s="5"/>
      <c r="E459" s="5"/>
      <c r="F459" s="5">
        <f>IF(Tabela3[[#This Row],[Retorno_Diário]]&gt;0,1,-1)</f>
        <v>1</v>
      </c>
      <c r="G459" s="5">
        <f>Tabela3[[#This Row],[Sinal_TSMOM]]*(0.4*Tabela3[[#This Row],[Volatilidade]])</f>
        <v>0</v>
      </c>
      <c r="H459" s="5">
        <f>Tabela3[[#This Row],[Position_Size]]*Tabela3[[#This Row],[Retorno_Diário]]</f>
        <v>0</v>
      </c>
    </row>
    <row r="460" spans="1:8" x14ac:dyDescent="0.2">
      <c r="A460" s="11" t="s">
        <v>3067</v>
      </c>
      <c r="B460" s="4" t="s">
        <v>3069</v>
      </c>
      <c r="C460" s="5">
        <f t="shared" si="11"/>
        <v>1.1000311736888868E-2</v>
      </c>
      <c r="D460" s="5"/>
      <c r="E460" s="5"/>
      <c r="F460" s="5">
        <f>IF(Tabela3[[#This Row],[Retorno_Diário]]&gt;0,1,-1)</f>
        <v>1</v>
      </c>
      <c r="G460" s="5">
        <f>Tabela3[[#This Row],[Sinal_TSMOM]]*(0.4*Tabela3[[#This Row],[Volatilidade]])</f>
        <v>0</v>
      </c>
      <c r="H460" s="5">
        <f>Tabela3[[#This Row],[Position_Size]]*Tabela3[[#This Row],[Retorno_Diário]]</f>
        <v>0</v>
      </c>
    </row>
    <row r="461" spans="1:8" x14ac:dyDescent="0.2">
      <c r="A461" s="11" t="s">
        <v>3073</v>
      </c>
      <c r="B461" s="4" t="s">
        <v>3075</v>
      </c>
      <c r="C461" s="5">
        <f t="shared" si="11"/>
        <v>-1.8714687441659938E-2</v>
      </c>
      <c r="D461" s="5"/>
      <c r="E461" s="5"/>
      <c r="F461" s="5">
        <f>IF(Tabela3[[#This Row],[Retorno_Diário]]&gt;0,1,-1)</f>
        <v>-1</v>
      </c>
      <c r="G461" s="5">
        <f>Tabela3[[#This Row],[Sinal_TSMOM]]*(0.4*Tabela3[[#This Row],[Volatilidade]])</f>
        <v>0</v>
      </c>
      <c r="H461" s="5">
        <f>Tabela3[[#This Row],[Position_Size]]*Tabela3[[#This Row],[Retorno_Diário]]</f>
        <v>0</v>
      </c>
    </row>
    <row r="462" spans="1:8" x14ac:dyDescent="0.2">
      <c r="A462" s="11" t="s">
        <v>3080</v>
      </c>
      <c r="B462" s="4" t="s">
        <v>1415</v>
      </c>
      <c r="C462" s="5">
        <f t="shared" si="11"/>
        <v>3.9421546610385327E-4</v>
      </c>
      <c r="D462" s="5"/>
      <c r="E462" s="5"/>
      <c r="F462" s="5">
        <f>IF(Tabela3[[#This Row],[Retorno_Diário]]&gt;0,1,-1)</f>
        <v>1</v>
      </c>
      <c r="G462" s="5">
        <f>Tabela3[[#This Row],[Sinal_TSMOM]]*(0.4*Tabela3[[#This Row],[Volatilidade]])</f>
        <v>0</v>
      </c>
      <c r="H462" s="5">
        <f>Tabela3[[#This Row],[Position_Size]]*Tabela3[[#This Row],[Retorno_Diário]]</f>
        <v>0</v>
      </c>
    </row>
    <row r="463" spans="1:8" x14ac:dyDescent="0.2">
      <c r="A463" s="11" t="s">
        <v>3085</v>
      </c>
      <c r="B463" s="4" t="s">
        <v>3087</v>
      </c>
      <c r="C463" s="5">
        <f t="shared" si="11"/>
        <v>-9.7536926928629697E-3</v>
      </c>
      <c r="D463" s="5"/>
      <c r="E463" s="5"/>
      <c r="F463" s="5">
        <f>IF(Tabela3[[#This Row],[Retorno_Diário]]&gt;0,1,-1)</f>
        <v>-1</v>
      </c>
      <c r="G463" s="5">
        <f>Tabela3[[#This Row],[Sinal_TSMOM]]*(0.4*Tabela3[[#This Row],[Volatilidade]])</f>
        <v>0</v>
      </c>
      <c r="H463" s="5">
        <f>Tabela3[[#This Row],[Position_Size]]*Tabela3[[#This Row],[Retorno_Diário]]</f>
        <v>0</v>
      </c>
    </row>
    <row r="464" spans="1:8" x14ac:dyDescent="0.2">
      <c r="A464" s="11" t="s">
        <v>3090</v>
      </c>
      <c r="B464" s="4" t="s">
        <v>3092</v>
      </c>
      <c r="C464" s="5">
        <f t="shared" si="11"/>
        <v>7.8102428097990284E-3</v>
      </c>
      <c r="D464" s="5"/>
      <c r="E464" s="5"/>
      <c r="F464" s="5">
        <f>IF(Tabela3[[#This Row],[Retorno_Diário]]&gt;0,1,-1)</f>
        <v>1</v>
      </c>
      <c r="G464" s="5">
        <f>Tabela3[[#This Row],[Sinal_TSMOM]]*(0.4*Tabela3[[#This Row],[Volatilidade]])</f>
        <v>0</v>
      </c>
      <c r="H464" s="5">
        <f>Tabela3[[#This Row],[Position_Size]]*Tabela3[[#This Row],[Retorno_Diário]]</f>
        <v>0</v>
      </c>
    </row>
    <row r="465" spans="1:8" x14ac:dyDescent="0.2">
      <c r="A465" s="11" t="s">
        <v>3097</v>
      </c>
      <c r="B465" s="4" t="s">
        <v>3099</v>
      </c>
      <c r="C465" s="5">
        <f t="shared" si="11"/>
        <v>3.9044297767810709E-2</v>
      </c>
      <c r="D465" s="5"/>
      <c r="E465" s="5"/>
      <c r="F465" s="5">
        <f>IF(Tabela3[[#This Row],[Retorno_Diário]]&gt;0,1,-1)</f>
        <v>1</v>
      </c>
      <c r="G465" s="5">
        <f>Tabela3[[#This Row],[Sinal_TSMOM]]*(0.4*Tabela3[[#This Row],[Volatilidade]])</f>
        <v>0</v>
      </c>
      <c r="H465" s="5">
        <f>Tabela3[[#This Row],[Position_Size]]*Tabela3[[#This Row],[Retorno_Diário]]</f>
        <v>0</v>
      </c>
    </row>
    <row r="466" spans="1:8" x14ac:dyDescent="0.2">
      <c r="A466" s="11" t="s">
        <v>3104</v>
      </c>
      <c r="B466" s="4" t="s">
        <v>3106</v>
      </c>
      <c r="C466" s="5">
        <f t="shared" si="11"/>
        <v>-4.2279713910368111E-3</v>
      </c>
      <c r="D466" s="5"/>
      <c r="E466" s="5"/>
      <c r="F466" s="5">
        <f>IF(Tabela3[[#This Row],[Retorno_Diário]]&gt;0,1,-1)</f>
        <v>-1</v>
      </c>
      <c r="G466" s="5">
        <f>Tabela3[[#This Row],[Sinal_TSMOM]]*(0.4*Tabela3[[#This Row],[Volatilidade]])</f>
        <v>0</v>
      </c>
      <c r="H466" s="5">
        <f>Tabela3[[#This Row],[Position_Size]]*Tabela3[[#This Row],[Retorno_Diário]]</f>
        <v>0</v>
      </c>
    </row>
    <row r="467" spans="1:8" x14ac:dyDescent="0.2">
      <c r="A467" s="11" t="s">
        <v>3111</v>
      </c>
      <c r="B467" s="4" t="s">
        <v>3113</v>
      </c>
      <c r="C467" s="5">
        <f t="shared" si="11"/>
        <v>-9.4461118288101664E-3</v>
      </c>
      <c r="D467" s="5"/>
      <c r="E467" s="5"/>
      <c r="F467" s="5">
        <f>IF(Tabela3[[#This Row],[Retorno_Diário]]&gt;0,1,-1)</f>
        <v>-1</v>
      </c>
      <c r="G467" s="5">
        <f>Tabela3[[#This Row],[Sinal_TSMOM]]*(0.4*Tabela3[[#This Row],[Volatilidade]])</f>
        <v>0</v>
      </c>
      <c r="H467" s="5">
        <f>Tabela3[[#This Row],[Position_Size]]*Tabela3[[#This Row],[Retorno_Diário]]</f>
        <v>0</v>
      </c>
    </row>
    <row r="468" spans="1:8" x14ac:dyDescent="0.2">
      <c r="A468" s="11" t="s">
        <v>3118</v>
      </c>
      <c r="B468" s="4" t="s">
        <v>3120</v>
      </c>
      <c r="C468" s="5">
        <f t="shared" si="11"/>
        <v>3.4195031468535753E-3</v>
      </c>
      <c r="D468" s="5"/>
      <c r="E468" s="5"/>
      <c r="F468" s="5">
        <f>IF(Tabela3[[#This Row],[Retorno_Diário]]&gt;0,1,-1)</f>
        <v>1</v>
      </c>
      <c r="G468" s="5">
        <f>Tabela3[[#This Row],[Sinal_TSMOM]]*(0.4*Tabela3[[#This Row],[Volatilidade]])</f>
        <v>0</v>
      </c>
      <c r="H468" s="5">
        <f>Tabela3[[#This Row],[Position_Size]]*Tabela3[[#This Row],[Retorno_Diário]]</f>
        <v>0</v>
      </c>
    </row>
    <row r="469" spans="1:8" x14ac:dyDescent="0.2">
      <c r="A469" s="11" t="s">
        <v>3125</v>
      </c>
      <c r="B469" s="4" t="s">
        <v>3127</v>
      </c>
      <c r="C469" s="5">
        <f t="shared" si="11"/>
        <v>-2.6879023156235471E-3</v>
      </c>
      <c r="D469" s="5"/>
      <c r="E469" s="5"/>
      <c r="F469" s="5">
        <f>IF(Tabela3[[#This Row],[Retorno_Diário]]&gt;0,1,-1)</f>
        <v>-1</v>
      </c>
      <c r="G469" s="5">
        <f>Tabela3[[#This Row],[Sinal_TSMOM]]*(0.4*Tabela3[[#This Row],[Volatilidade]])</f>
        <v>0</v>
      </c>
      <c r="H469" s="5">
        <f>Tabela3[[#This Row],[Position_Size]]*Tabela3[[#This Row],[Retorno_Diário]]</f>
        <v>0</v>
      </c>
    </row>
    <row r="470" spans="1:8" x14ac:dyDescent="0.2">
      <c r="A470" s="11" t="s">
        <v>3132</v>
      </c>
      <c r="B470" s="4" t="s">
        <v>3134</v>
      </c>
      <c r="C470" s="5">
        <f t="shared" si="11"/>
        <v>1.9251571740457329E-3</v>
      </c>
      <c r="D470" s="5"/>
      <c r="E470" s="5"/>
      <c r="F470" s="5">
        <f>IF(Tabela3[[#This Row],[Retorno_Diário]]&gt;0,1,-1)</f>
        <v>1</v>
      </c>
      <c r="G470" s="5">
        <f>Tabela3[[#This Row],[Sinal_TSMOM]]*(0.4*Tabela3[[#This Row],[Volatilidade]])</f>
        <v>0</v>
      </c>
      <c r="H470" s="5">
        <f>Tabela3[[#This Row],[Position_Size]]*Tabela3[[#This Row],[Retorno_Diário]]</f>
        <v>0</v>
      </c>
    </row>
    <row r="471" spans="1:8" x14ac:dyDescent="0.2">
      <c r="A471" s="11" t="s">
        <v>3139</v>
      </c>
      <c r="B471" s="4" t="s">
        <v>3106</v>
      </c>
      <c r="C471" s="5">
        <f t="shared" si="11"/>
        <v>6.8690385050240721E-3</v>
      </c>
      <c r="D471" s="5"/>
      <c r="E471" s="5"/>
      <c r="F471" s="5">
        <f>IF(Tabela3[[#This Row],[Retorno_Diário]]&gt;0,1,-1)</f>
        <v>1</v>
      </c>
      <c r="G471" s="5">
        <f>Tabela3[[#This Row],[Sinal_TSMOM]]*(0.4*Tabela3[[#This Row],[Volatilidade]])</f>
        <v>0</v>
      </c>
      <c r="H471" s="5">
        <f>Tabela3[[#This Row],[Position_Size]]*Tabela3[[#This Row],[Retorno_Diário]]</f>
        <v>0</v>
      </c>
    </row>
    <row r="472" spans="1:8" x14ac:dyDescent="0.2">
      <c r="A472" s="11" t="s">
        <v>3144</v>
      </c>
      <c r="B472" s="4" t="s">
        <v>3146</v>
      </c>
      <c r="C472" s="5">
        <f t="shared" si="11"/>
        <v>-4.9615996067566837E-3</v>
      </c>
      <c r="D472" s="5"/>
      <c r="E472" s="5"/>
      <c r="F472" s="5">
        <f>IF(Tabela3[[#This Row],[Retorno_Diário]]&gt;0,1,-1)</f>
        <v>-1</v>
      </c>
      <c r="G472" s="5">
        <f>Tabela3[[#This Row],[Sinal_TSMOM]]*(0.4*Tabela3[[#This Row],[Volatilidade]])</f>
        <v>0</v>
      </c>
      <c r="H472" s="5">
        <f>Tabela3[[#This Row],[Position_Size]]*Tabela3[[#This Row],[Retorno_Diário]]</f>
        <v>0</v>
      </c>
    </row>
    <row r="473" spans="1:8" x14ac:dyDescent="0.2">
      <c r="A473" s="11" t="s">
        <v>3151</v>
      </c>
      <c r="B473" s="4" t="s">
        <v>3153</v>
      </c>
      <c r="C473" s="5">
        <f t="shared" si="11"/>
        <v>5.8493425971022361E-3</v>
      </c>
      <c r="D473" s="5"/>
      <c r="E473" s="5"/>
      <c r="F473" s="5">
        <f>IF(Tabela3[[#This Row],[Retorno_Diário]]&gt;0,1,-1)</f>
        <v>1</v>
      </c>
      <c r="G473" s="5">
        <f>Tabela3[[#This Row],[Sinal_TSMOM]]*(0.4*Tabela3[[#This Row],[Volatilidade]])</f>
        <v>0</v>
      </c>
      <c r="H473" s="5">
        <f>Tabela3[[#This Row],[Position_Size]]*Tabela3[[#This Row],[Retorno_Diário]]</f>
        <v>0</v>
      </c>
    </row>
    <row r="474" spans="1:8" x14ac:dyDescent="0.2">
      <c r="A474" s="11" t="s">
        <v>3158</v>
      </c>
      <c r="B474" s="4" t="s">
        <v>3160</v>
      </c>
      <c r="C474" s="5">
        <f t="shared" si="11"/>
        <v>-2.6693334453432138E-2</v>
      </c>
      <c r="D474" s="5"/>
      <c r="E474" s="5"/>
      <c r="F474" s="5">
        <f>IF(Tabela3[[#This Row],[Retorno_Diário]]&gt;0,1,-1)</f>
        <v>-1</v>
      </c>
      <c r="G474" s="5">
        <f>Tabela3[[#This Row],[Sinal_TSMOM]]*(0.4*Tabela3[[#This Row],[Volatilidade]])</f>
        <v>0</v>
      </c>
      <c r="H474" s="5">
        <f>Tabela3[[#This Row],[Position_Size]]*Tabela3[[#This Row],[Retorno_Diário]]</f>
        <v>0</v>
      </c>
    </row>
    <row r="475" spans="1:8" x14ac:dyDescent="0.2">
      <c r="A475" s="11" t="s">
        <v>3165</v>
      </c>
      <c r="B475" s="4" t="s">
        <v>3167</v>
      </c>
      <c r="C475" s="5">
        <f t="shared" si="11"/>
        <v>3.9619961333666742E-2</v>
      </c>
      <c r="D475" s="5"/>
      <c r="E475" s="5"/>
      <c r="F475" s="5">
        <f>IF(Tabela3[[#This Row],[Retorno_Diário]]&gt;0,1,-1)</f>
        <v>1</v>
      </c>
      <c r="G475" s="5">
        <f>Tabela3[[#This Row],[Sinal_TSMOM]]*(0.4*Tabela3[[#This Row],[Volatilidade]])</f>
        <v>0</v>
      </c>
      <c r="H475" s="5">
        <f>Tabela3[[#This Row],[Position_Size]]*Tabela3[[#This Row],[Retorno_Diário]]</f>
        <v>0</v>
      </c>
    </row>
    <row r="476" spans="1:8" x14ac:dyDescent="0.2">
      <c r="A476" s="11" t="s">
        <v>3171</v>
      </c>
      <c r="B476" s="4" t="s">
        <v>3173</v>
      </c>
      <c r="C476" s="5">
        <f t="shared" si="11"/>
        <v>-2.0209197359183473E-2</v>
      </c>
      <c r="D476" s="5"/>
      <c r="E476" s="5"/>
      <c r="F476" s="5">
        <f>IF(Tabela3[[#This Row],[Retorno_Diário]]&gt;0,1,-1)</f>
        <v>-1</v>
      </c>
      <c r="G476" s="5">
        <f>Tabela3[[#This Row],[Sinal_TSMOM]]*(0.4*Tabela3[[#This Row],[Volatilidade]])</f>
        <v>0</v>
      </c>
      <c r="H476" s="5">
        <f>Tabela3[[#This Row],[Position_Size]]*Tabela3[[#This Row],[Retorno_Diário]]</f>
        <v>0</v>
      </c>
    </row>
    <row r="477" spans="1:8" x14ac:dyDescent="0.2">
      <c r="A477" s="11" t="s">
        <v>3178</v>
      </c>
      <c r="B477" s="4" t="s">
        <v>1456</v>
      </c>
      <c r="C477" s="5">
        <f t="shared" si="11"/>
        <v>1.5337287726190585E-2</v>
      </c>
      <c r="D477" s="5"/>
      <c r="E477" s="5"/>
      <c r="F477" s="5">
        <f>IF(Tabela3[[#This Row],[Retorno_Diário]]&gt;0,1,-1)</f>
        <v>1</v>
      </c>
      <c r="G477" s="5">
        <f>Tabela3[[#This Row],[Sinal_TSMOM]]*(0.4*Tabela3[[#This Row],[Volatilidade]])</f>
        <v>0</v>
      </c>
      <c r="H477" s="5">
        <f>Tabela3[[#This Row],[Position_Size]]*Tabela3[[#This Row],[Retorno_Diário]]</f>
        <v>0</v>
      </c>
    </row>
    <row r="478" spans="1:8" x14ac:dyDescent="0.2">
      <c r="A478" s="11" t="s">
        <v>3184</v>
      </c>
      <c r="B478" s="4" t="s">
        <v>3186</v>
      </c>
      <c r="C478" s="5">
        <f t="shared" si="11"/>
        <v>-4.7353149599966837E-3</v>
      </c>
      <c r="D478" s="5"/>
      <c r="E478" s="5"/>
      <c r="F478" s="5">
        <f>IF(Tabela3[[#This Row],[Retorno_Diário]]&gt;0,1,-1)</f>
        <v>-1</v>
      </c>
      <c r="G478" s="5">
        <f>Tabela3[[#This Row],[Sinal_TSMOM]]*(0.4*Tabela3[[#This Row],[Volatilidade]])</f>
        <v>0</v>
      </c>
      <c r="H478" s="5">
        <f>Tabela3[[#This Row],[Position_Size]]*Tabela3[[#This Row],[Retorno_Diário]]</f>
        <v>0</v>
      </c>
    </row>
    <row r="479" spans="1:8" x14ac:dyDescent="0.2">
      <c r="A479" s="11" t="s">
        <v>3190</v>
      </c>
      <c r="B479" s="4" t="s">
        <v>3192</v>
      </c>
      <c r="C479" s="5">
        <f t="shared" si="11"/>
        <v>3.3781070530969348E-3</v>
      </c>
      <c r="D479" s="5"/>
      <c r="E479" s="5"/>
      <c r="F479" s="5">
        <f>IF(Tabela3[[#This Row],[Retorno_Diário]]&gt;0,1,-1)</f>
        <v>1</v>
      </c>
      <c r="G479" s="5">
        <f>Tabela3[[#This Row],[Sinal_TSMOM]]*(0.4*Tabela3[[#This Row],[Volatilidade]])</f>
        <v>0</v>
      </c>
      <c r="H479" s="5">
        <f>Tabela3[[#This Row],[Position_Size]]*Tabela3[[#This Row],[Retorno_Diário]]</f>
        <v>0</v>
      </c>
    </row>
    <row r="480" spans="1:8" x14ac:dyDescent="0.2">
      <c r="A480" s="11" t="s">
        <v>3197</v>
      </c>
      <c r="B480" s="4" t="s">
        <v>3199</v>
      </c>
      <c r="C480" s="5">
        <f t="shared" si="11"/>
        <v>4.893544282159823E-2</v>
      </c>
      <c r="D480" s="5"/>
      <c r="E480" s="5"/>
      <c r="F480" s="5">
        <f>IF(Tabela3[[#This Row],[Retorno_Diário]]&gt;0,1,-1)</f>
        <v>1</v>
      </c>
      <c r="G480" s="5">
        <f>Tabela3[[#This Row],[Sinal_TSMOM]]*(0.4*Tabela3[[#This Row],[Volatilidade]])</f>
        <v>0</v>
      </c>
      <c r="H480" s="5">
        <f>Tabela3[[#This Row],[Position_Size]]*Tabela3[[#This Row],[Retorno_Diário]]</f>
        <v>0</v>
      </c>
    </row>
    <row r="481" spans="1:8" x14ac:dyDescent="0.2">
      <c r="A481" s="11" t="s">
        <v>3204</v>
      </c>
      <c r="B481" s="4" t="s">
        <v>421</v>
      </c>
      <c r="C481" s="5">
        <f t="shared" si="11"/>
        <v>-1.9031667712125055E-2</v>
      </c>
      <c r="D481" s="5"/>
      <c r="E481" s="5"/>
      <c r="F481" s="5">
        <f>IF(Tabela3[[#This Row],[Retorno_Diário]]&gt;0,1,-1)</f>
        <v>-1</v>
      </c>
      <c r="G481" s="5">
        <f>Tabela3[[#This Row],[Sinal_TSMOM]]*(0.4*Tabela3[[#This Row],[Volatilidade]])</f>
        <v>0</v>
      </c>
      <c r="H481" s="5">
        <f>Tabela3[[#This Row],[Position_Size]]*Tabela3[[#This Row],[Retorno_Diário]]</f>
        <v>0</v>
      </c>
    </row>
    <row r="482" spans="1:8" x14ac:dyDescent="0.2">
      <c r="A482" s="11" t="s">
        <v>3210</v>
      </c>
      <c r="B482" s="4" t="s">
        <v>3212</v>
      </c>
      <c r="C482" s="5">
        <f t="shared" si="11"/>
        <v>5.7142229312514559E-3</v>
      </c>
      <c r="D482" s="5"/>
      <c r="E482" s="5"/>
      <c r="F482" s="5">
        <f>IF(Tabela3[[#This Row],[Retorno_Diário]]&gt;0,1,-1)</f>
        <v>1</v>
      </c>
      <c r="G482" s="5">
        <f>Tabela3[[#This Row],[Sinal_TSMOM]]*(0.4*Tabela3[[#This Row],[Volatilidade]])</f>
        <v>0</v>
      </c>
      <c r="H482" s="5">
        <f>Tabela3[[#This Row],[Position_Size]]*Tabela3[[#This Row],[Retorno_Diário]]</f>
        <v>0</v>
      </c>
    </row>
    <row r="483" spans="1:8" x14ac:dyDescent="0.2">
      <c r="A483" s="11" t="s">
        <v>3217</v>
      </c>
      <c r="B483" s="4" t="s">
        <v>3207</v>
      </c>
      <c r="C483" s="5">
        <f t="shared" si="11"/>
        <v>-6.8731498634733157E-3</v>
      </c>
      <c r="D483" s="5"/>
      <c r="E483" s="5"/>
      <c r="F483" s="5">
        <f>IF(Tabela3[[#This Row],[Retorno_Diário]]&gt;0,1,-1)</f>
        <v>-1</v>
      </c>
      <c r="G483" s="5">
        <f>Tabela3[[#This Row],[Sinal_TSMOM]]*(0.4*Tabela3[[#This Row],[Volatilidade]])</f>
        <v>0</v>
      </c>
      <c r="H483" s="5">
        <f>Tabela3[[#This Row],[Position_Size]]*Tabela3[[#This Row],[Retorno_Diário]]</f>
        <v>0</v>
      </c>
    </row>
    <row r="484" spans="1:8" x14ac:dyDescent="0.2">
      <c r="A484" s="11" t="s">
        <v>3222</v>
      </c>
      <c r="B484" s="4" t="s">
        <v>3224</v>
      </c>
      <c r="C484" s="5">
        <f t="shared" si="11"/>
        <v>-3.4557560058073977E-2</v>
      </c>
      <c r="D484" s="5"/>
      <c r="E484" s="5"/>
      <c r="F484" s="5">
        <f>IF(Tabela3[[#This Row],[Retorno_Diário]]&gt;0,1,-1)</f>
        <v>-1</v>
      </c>
      <c r="G484" s="5">
        <f>Tabela3[[#This Row],[Sinal_TSMOM]]*(0.4*Tabela3[[#This Row],[Volatilidade]])</f>
        <v>0</v>
      </c>
      <c r="H484" s="5">
        <f>Tabela3[[#This Row],[Position_Size]]*Tabela3[[#This Row],[Retorno_Diário]]</f>
        <v>0</v>
      </c>
    </row>
    <row r="485" spans="1:8" x14ac:dyDescent="0.2">
      <c r="A485" s="11" t="s">
        <v>3227</v>
      </c>
      <c r="B485" s="4" t="s">
        <v>3130</v>
      </c>
      <c r="C485" s="5">
        <f t="shared" si="11"/>
        <v>-7.5984943931693971E-3</v>
      </c>
      <c r="D485" s="5"/>
      <c r="E485" s="5"/>
      <c r="F485" s="5">
        <f>IF(Tabela3[[#This Row],[Retorno_Diário]]&gt;0,1,-1)</f>
        <v>-1</v>
      </c>
      <c r="G485" s="5">
        <f>Tabela3[[#This Row],[Sinal_TSMOM]]*(0.4*Tabela3[[#This Row],[Volatilidade]])</f>
        <v>0</v>
      </c>
      <c r="H485" s="5">
        <f>Tabela3[[#This Row],[Position_Size]]*Tabela3[[#This Row],[Retorno_Diário]]</f>
        <v>0</v>
      </c>
    </row>
    <row r="486" spans="1:8" x14ac:dyDescent="0.2">
      <c r="A486" s="11" t="s">
        <v>3233</v>
      </c>
      <c r="B486" s="4" t="s">
        <v>3235</v>
      </c>
      <c r="C486" s="5">
        <f t="shared" si="11"/>
        <v>8.4753289707850676E-3</v>
      </c>
      <c r="D486" s="5"/>
      <c r="E486" s="5"/>
      <c r="F486" s="5">
        <f>IF(Tabela3[[#This Row],[Retorno_Diário]]&gt;0,1,-1)</f>
        <v>1</v>
      </c>
      <c r="G486" s="5">
        <f>Tabela3[[#This Row],[Sinal_TSMOM]]*(0.4*Tabela3[[#This Row],[Volatilidade]])</f>
        <v>0</v>
      </c>
      <c r="H486" s="5">
        <f>Tabela3[[#This Row],[Position_Size]]*Tabela3[[#This Row],[Retorno_Diário]]</f>
        <v>0</v>
      </c>
    </row>
    <row r="487" spans="1:8" x14ac:dyDescent="0.2">
      <c r="A487" s="11" t="s">
        <v>3240</v>
      </c>
      <c r="B487" s="4" t="s">
        <v>3242</v>
      </c>
      <c r="C487" s="5">
        <f t="shared" si="11"/>
        <v>-3.2470102159097847E-3</v>
      </c>
      <c r="D487" s="5"/>
      <c r="E487" s="5"/>
      <c r="F487" s="5">
        <f>IF(Tabela3[[#This Row],[Retorno_Diário]]&gt;0,1,-1)</f>
        <v>-1</v>
      </c>
      <c r="G487" s="5">
        <f>Tabela3[[#This Row],[Sinal_TSMOM]]*(0.4*Tabela3[[#This Row],[Volatilidade]])</f>
        <v>0</v>
      </c>
      <c r="H487" s="5">
        <f>Tabela3[[#This Row],[Position_Size]]*Tabela3[[#This Row],[Retorno_Diário]]</f>
        <v>0</v>
      </c>
    </row>
    <row r="488" spans="1:8" x14ac:dyDescent="0.2">
      <c r="A488" s="11" t="s">
        <v>3246</v>
      </c>
      <c r="B488" s="4" t="s">
        <v>3248</v>
      </c>
      <c r="C488" s="5">
        <f t="shared" si="11"/>
        <v>1.6431852812702541E-2</v>
      </c>
      <c r="D488" s="5"/>
      <c r="E488" s="5"/>
      <c r="F488" s="5">
        <f>IF(Tabela3[[#This Row],[Retorno_Diário]]&gt;0,1,-1)</f>
        <v>1</v>
      </c>
      <c r="G488" s="5">
        <f>Tabela3[[#This Row],[Sinal_TSMOM]]*(0.4*Tabela3[[#This Row],[Volatilidade]])</f>
        <v>0</v>
      </c>
      <c r="H488" s="5">
        <f>Tabela3[[#This Row],[Position_Size]]*Tabela3[[#This Row],[Retorno_Diário]]</f>
        <v>0</v>
      </c>
    </row>
    <row r="489" spans="1:8" x14ac:dyDescent="0.2">
      <c r="A489" s="11" t="s">
        <v>3258</v>
      </c>
      <c r="B489" s="4" t="s">
        <v>3260</v>
      </c>
      <c r="C489" s="5">
        <f>Tabela3[[#This Row],[Preço_Fecho]]/B488-1</f>
        <v>8.5309738077354869E-3</v>
      </c>
      <c r="D489" s="5"/>
      <c r="E489" s="5"/>
      <c r="F489" s="5">
        <f>IF(Tabela3[[#This Row],[Retorno_Diário]]&gt;0,1,-1)</f>
        <v>1</v>
      </c>
      <c r="G489" s="5">
        <f>Tabela3[[#This Row],[Sinal_TSMOM]]*(0.4*Tabela3[[#This Row],[Volatilidade]])</f>
        <v>0</v>
      </c>
      <c r="H489" s="5">
        <f>Tabela3[[#This Row],[Position_Size]]*Tabela3[[#This Row],[Retorno_Diário]]</f>
        <v>0</v>
      </c>
    </row>
    <row r="490" spans="1:8" x14ac:dyDescent="0.2">
      <c r="A490" s="11" t="s">
        <v>3265</v>
      </c>
      <c r="B490" s="4" t="s">
        <v>3267</v>
      </c>
      <c r="C490" s="5">
        <f t="shared" si="11"/>
        <v>1.5702333110342526E-2</v>
      </c>
      <c r="D490" s="5"/>
      <c r="E490" s="5"/>
      <c r="F490" s="5">
        <f>IF(Tabela3[[#This Row],[Retorno_Diário]]&gt;0,1,-1)</f>
        <v>1</v>
      </c>
      <c r="G490" s="5">
        <f>Tabela3[[#This Row],[Sinal_TSMOM]]*(0.4*Tabela3[[#This Row],[Volatilidade]])</f>
        <v>0</v>
      </c>
      <c r="H490" s="5">
        <f>Tabela3[[#This Row],[Position_Size]]*Tabela3[[#This Row],[Retorno_Diário]]</f>
        <v>0</v>
      </c>
    </row>
    <row r="491" spans="1:8" x14ac:dyDescent="0.2">
      <c r="A491" s="11" t="s">
        <v>3272</v>
      </c>
      <c r="B491" s="4" t="s">
        <v>3274</v>
      </c>
      <c r="C491" s="5">
        <f t="shared" si="11"/>
        <v>3.0965324323434906E-2</v>
      </c>
      <c r="D491" s="5"/>
      <c r="E491" s="5"/>
      <c r="F491" s="5">
        <f>IF(Tabela3[[#This Row],[Retorno_Diário]]&gt;0,1,-1)</f>
        <v>1</v>
      </c>
      <c r="G491" s="5">
        <f>Tabela3[[#This Row],[Sinal_TSMOM]]*(0.4*Tabela3[[#This Row],[Volatilidade]])</f>
        <v>0</v>
      </c>
      <c r="H491" s="5">
        <f>Tabela3[[#This Row],[Position_Size]]*Tabela3[[#This Row],[Retorno_Diário]]</f>
        <v>0</v>
      </c>
    </row>
    <row r="492" spans="1:8" x14ac:dyDescent="0.2">
      <c r="A492" s="11" t="s">
        <v>3279</v>
      </c>
      <c r="B492" s="4" t="s">
        <v>3281</v>
      </c>
      <c r="C492" s="5">
        <f t="shared" si="11"/>
        <v>-3.5700541407068798E-4</v>
      </c>
      <c r="D492" s="5"/>
      <c r="E492" s="5"/>
      <c r="F492" s="5">
        <f>IF(Tabela3[[#This Row],[Retorno_Diário]]&gt;0,1,-1)</f>
        <v>-1</v>
      </c>
      <c r="G492" s="5">
        <f>Tabela3[[#This Row],[Sinal_TSMOM]]*(0.4*Tabela3[[#This Row],[Volatilidade]])</f>
        <v>0</v>
      </c>
      <c r="H492" s="5">
        <f>Tabela3[[#This Row],[Position_Size]]*Tabela3[[#This Row],[Retorno_Diário]]</f>
        <v>0</v>
      </c>
    </row>
    <row r="493" spans="1:8" x14ac:dyDescent="0.2">
      <c r="A493" s="11" t="s">
        <v>3284</v>
      </c>
      <c r="B493" s="4" t="s">
        <v>3286</v>
      </c>
      <c r="C493" s="5">
        <f t="shared" si="11"/>
        <v>5.1787678437644757E-3</v>
      </c>
      <c r="D493" s="5"/>
      <c r="E493" s="5"/>
      <c r="F493" s="5">
        <f>IF(Tabela3[[#This Row],[Retorno_Diário]]&gt;0,1,-1)</f>
        <v>1</v>
      </c>
      <c r="G493" s="5">
        <f>Tabela3[[#This Row],[Sinal_TSMOM]]*(0.4*Tabela3[[#This Row],[Volatilidade]])</f>
        <v>0</v>
      </c>
      <c r="H493" s="5">
        <f>Tabela3[[#This Row],[Position_Size]]*Tabela3[[#This Row],[Retorno_Diário]]</f>
        <v>0</v>
      </c>
    </row>
    <row r="494" spans="1:8" x14ac:dyDescent="0.2">
      <c r="A494" s="11" t="s">
        <v>3291</v>
      </c>
      <c r="B494" s="4" t="s">
        <v>3293</v>
      </c>
      <c r="C494" s="5">
        <f t="shared" si="11"/>
        <v>1.394630654613338E-2</v>
      </c>
      <c r="D494" s="5"/>
      <c r="E494" s="5"/>
      <c r="F494" s="5">
        <f>IF(Tabela3[[#This Row],[Retorno_Diário]]&gt;0,1,-1)</f>
        <v>1</v>
      </c>
      <c r="G494" s="5">
        <f>Tabela3[[#This Row],[Sinal_TSMOM]]*(0.4*Tabela3[[#This Row],[Volatilidade]])</f>
        <v>0</v>
      </c>
      <c r="H494" s="5">
        <f>Tabela3[[#This Row],[Position_Size]]*Tabela3[[#This Row],[Retorno_Diário]]</f>
        <v>0</v>
      </c>
    </row>
    <row r="495" spans="1:8" x14ac:dyDescent="0.2">
      <c r="A495" s="11" t="s">
        <v>3296</v>
      </c>
      <c r="B495" s="4" t="s">
        <v>3298</v>
      </c>
      <c r="C495" s="5">
        <f t="shared" si="11"/>
        <v>5.3440684249304038E-3</v>
      </c>
      <c r="D495" s="5"/>
      <c r="E495" s="5"/>
      <c r="F495" s="5">
        <f>IF(Tabela3[[#This Row],[Retorno_Diário]]&gt;0,1,-1)</f>
        <v>1</v>
      </c>
      <c r="G495" s="5">
        <f>Tabela3[[#This Row],[Sinal_TSMOM]]*(0.4*Tabela3[[#This Row],[Volatilidade]])</f>
        <v>0</v>
      </c>
      <c r="H495" s="5">
        <f>Tabela3[[#This Row],[Position_Size]]*Tabela3[[#This Row],[Retorno_Diário]]</f>
        <v>0</v>
      </c>
    </row>
    <row r="496" spans="1:8" x14ac:dyDescent="0.2">
      <c r="A496" s="11" t="s">
        <v>3303</v>
      </c>
      <c r="B496" s="4" t="s">
        <v>3305</v>
      </c>
      <c r="C496" s="5">
        <f t="shared" si="11"/>
        <v>2.5924766145978495E-2</v>
      </c>
      <c r="D496" s="5"/>
      <c r="E496" s="5"/>
      <c r="F496" s="5">
        <f>IF(Tabela3[[#This Row],[Retorno_Diário]]&gt;0,1,-1)</f>
        <v>1</v>
      </c>
      <c r="G496" s="5">
        <f>Tabela3[[#This Row],[Sinal_TSMOM]]*(0.4*Tabela3[[#This Row],[Volatilidade]])</f>
        <v>0</v>
      </c>
      <c r="H496" s="5">
        <f>Tabela3[[#This Row],[Position_Size]]*Tabela3[[#This Row],[Retorno_Diário]]</f>
        <v>0</v>
      </c>
    </row>
    <row r="497" spans="1:8" x14ac:dyDescent="0.2">
      <c r="A497" s="11" t="s">
        <v>3310</v>
      </c>
      <c r="B497" s="4" t="s">
        <v>3312</v>
      </c>
      <c r="C497" s="5">
        <f t="shared" si="11"/>
        <v>1.6605825003635832E-2</v>
      </c>
      <c r="D497" s="5"/>
      <c r="E497" s="5"/>
      <c r="F497" s="5">
        <f>IF(Tabela3[[#This Row],[Retorno_Diário]]&gt;0,1,-1)</f>
        <v>1</v>
      </c>
      <c r="G497" s="5">
        <f>Tabela3[[#This Row],[Sinal_TSMOM]]*(0.4*Tabela3[[#This Row],[Volatilidade]])</f>
        <v>0</v>
      </c>
      <c r="H497" s="5">
        <f>Tabela3[[#This Row],[Position_Size]]*Tabela3[[#This Row],[Retorno_Diário]]</f>
        <v>0</v>
      </c>
    </row>
    <row r="498" spans="1:8" x14ac:dyDescent="0.2">
      <c r="A498" s="11" t="s">
        <v>3316</v>
      </c>
      <c r="B498" s="4" t="s">
        <v>3318</v>
      </c>
      <c r="C498" s="5">
        <f t="shared" si="11"/>
        <v>-2.2977108470031427E-3</v>
      </c>
      <c r="D498" s="5"/>
      <c r="E498" s="5"/>
      <c r="F498" s="5">
        <f>IF(Tabela3[[#This Row],[Retorno_Diário]]&gt;0,1,-1)</f>
        <v>-1</v>
      </c>
      <c r="G498" s="5">
        <f>Tabela3[[#This Row],[Sinal_TSMOM]]*(0.4*Tabela3[[#This Row],[Volatilidade]])</f>
        <v>0</v>
      </c>
      <c r="H498" s="5">
        <f>Tabela3[[#This Row],[Position_Size]]*Tabela3[[#This Row],[Retorno_Diário]]</f>
        <v>0</v>
      </c>
    </row>
    <row r="499" spans="1:8" x14ac:dyDescent="0.2">
      <c r="A499" s="11" t="s">
        <v>3323</v>
      </c>
      <c r="B499" s="4" t="s">
        <v>3325</v>
      </c>
      <c r="C499" s="5">
        <f t="shared" si="11"/>
        <v>-8.3746996856359779E-4</v>
      </c>
      <c r="D499" s="5"/>
      <c r="E499" s="5"/>
      <c r="F499" s="5">
        <f>IF(Tabela3[[#This Row],[Retorno_Diário]]&gt;0,1,-1)</f>
        <v>-1</v>
      </c>
      <c r="G499" s="5">
        <f>Tabela3[[#This Row],[Sinal_TSMOM]]*(0.4*Tabela3[[#This Row],[Volatilidade]])</f>
        <v>0</v>
      </c>
      <c r="H499" s="5">
        <f>Tabela3[[#This Row],[Position_Size]]*Tabela3[[#This Row],[Retorno_Diário]]</f>
        <v>0</v>
      </c>
    </row>
    <row r="500" spans="1:8" x14ac:dyDescent="0.2">
      <c r="A500" s="11" t="s">
        <v>3330</v>
      </c>
      <c r="B500" s="4" t="s">
        <v>589</v>
      </c>
      <c r="C500" s="5">
        <f t="shared" si="11"/>
        <v>2.3887819570025393E-3</v>
      </c>
      <c r="D500" s="5"/>
      <c r="E500" s="5"/>
      <c r="F500" s="5">
        <f>IF(Tabela3[[#This Row],[Retorno_Diário]]&gt;0,1,-1)</f>
        <v>1</v>
      </c>
      <c r="G500" s="5">
        <f>Tabela3[[#This Row],[Sinal_TSMOM]]*(0.4*Tabela3[[#This Row],[Volatilidade]])</f>
        <v>0</v>
      </c>
      <c r="H500" s="5">
        <f>Tabela3[[#This Row],[Position_Size]]*Tabela3[[#This Row],[Retorno_Diário]]</f>
        <v>0</v>
      </c>
    </row>
    <row r="501" spans="1:8" x14ac:dyDescent="0.2">
      <c r="A501" s="11" t="s">
        <v>3335</v>
      </c>
      <c r="B501" s="4" t="s">
        <v>3337</v>
      </c>
      <c r="C501" s="5">
        <f t="shared" si="11"/>
        <v>-9.6994165677521949E-3</v>
      </c>
      <c r="D501" s="5"/>
      <c r="E501" s="5"/>
      <c r="F501" s="5">
        <f>IF(Tabela3[[#This Row],[Retorno_Diário]]&gt;0,1,-1)</f>
        <v>-1</v>
      </c>
      <c r="G501" s="5">
        <f>Tabela3[[#This Row],[Sinal_TSMOM]]*(0.4*Tabela3[[#This Row],[Volatilidade]])</f>
        <v>0</v>
      </c>
      <c r="H501" s="5">
        <f>Tabela3[[#This Row],[Position_Size]]*Tabela3[[#This Row],[Retorno_Diário]]</f>
        <v>0</v>
      </c>
    </row>
    <row r="502" spans="1:8" x14ac:dyDescent="0.2">
      <c r="A502" s="11" t="s">
        <v>3341</v>
      </c>
      <c r="B502" s="4" t="s">
        <v>3343</v>
      </c>
      <c r="C502" s="5">
        <f t="shared" si="11"/>
        <v>-1.9208845291941223E-2</v>
      </c>
      <c r="D502" s="5"/>
      <c r="E502" s="5"/>
      <c r="F502" s="5">
        <f>IF(Tabela3[[#This Row],[Retorno_Diário]]&gt;0,1,-1)</f>
        <v>-1</v>
      </c>
      <c r="G502" s="5">
        <f>Tabela3[[#This Row],[Sinal_TSMOM]]*(0.4*Tabela3[[#This Row],[Volatilidade]])</f>
        <v>0</v>
      </c>
      <c r="H502" s="5">
        <f>Tabela3[[#This Row],[Position_Size]]*Tabela3[[#This Row],[Retorno_Diário]]</f>
        <v>0</v>
      </c>
    </row>
    <row r="503" spans="1:8" x14ac:dyDescent="0.2">
      <c r="A503" s="12" t="s">
        <v>3348</v>
      </c>
      <c r="B503" s="13" t="s">
        <v>3350</v>
      </c>
      <c r="C503" s="14">
        <f t="shared" si="11"/>
        <v>1.2827149242064628E-2</v>
      </c>
      <c r="D503" s="14">
        <f>Tabela3[[#This Row],[Preço_Fecho]]/B253-1</f>
        <v>0.72735289492878086</v>
      </c>
      <c r="E503" s="14">
        <f>_xlfn.STDEV.P(C253:C503)*SQRT(252)</f>
        <v>0.40609173718341124</v>
      </c>
      <c r="F503" s="14">
        <f>IF(Tabela3[[#This Row],[Retorno_Diário]]&gt;0,1,-1)</f>
        <v>1</v>
      </c>
      <c r="G503" s="14">
        <f>Tabela3[[#This Row],[Sinal_TSMOM]]*(0.4*Tabela3[[#This Row],[Volatilidade]])</f>
        <v>0.16243669487336451</v>
      </c>
      <c r="H503" s="14">
        <f>Tabela3[[#This Row],[Position_Size]]*Tabela3[[#This Row],[Retorno_Diário]]</f>
        <v>2.0835997275283607E-3</v>
      </c>
    </row>
    <row r="504" spans="1:8" x14ac:dyDescent="0.2">
      <c r="A504" s="11" t="s">
        <v>3354</v>
      </c>
      <c r="B504" s="4" t="s">
        <v>836</v>
      </c>
      <c r="C504" s="5">
        <f t="shared" si="11"/>
        <v>1.9591947373715168E-2</v>
      </c>
      <c r="D504" s="5"/>
      <c r="E504" s="5"/>
      <c r="F504" s="5">
        <f>IF(Tabela3[[#This Row],[Retorno_Diário]]&gt;0,1,-1)</f>
        <v>1</v>
      </c>
      <c r="G504" s="5">
        <f>Tabela3[[#This Row],[Sinal_TSMOM]]*(0.4*Tabela3[[#This Row],[Volatilidade]])</f>
        <v>0</v>
      </c>
      <c r="H504" s="5">
        <f>Tabela3[[#This Row],[Position_Size]]*Tabela3[[#This Row],[Retorno_Diário]]</f>
        <v>0</v>
      </c>
    </row>
    <row r="505" spans="1:8" x14ac:dyDescent="0.2">
      <c r="A505" s="11" t="s">
        <v>3359</v>
      </c>
      <c r="B505" s="4" t="s">
        <v>3361</v>
      </c>
      <c r="C505" s="5">
        <f t="shared" si="11"/>
        <v>-1.6005955704447739E-2</v>
      </c>
      <c r="D505" s="5"/>
      <c r="E505" s="5"/>
      <c r="F505" s="5">
        <f>IF(Tabela3[[#This Row],[Retorno_Diário]]&gt;0,1,-1)</f>
        <v>-1</v>
      </c>
      <c r="G505" s="5">
        <f>Tabela3[[#This Row],[Sinal_TSMOM]]*(0.4*Tabela3[[#This Row],[Volatilidade]])</f>
        <v>0</v>
      </c>
      <c r="H505" s="5">
        <f>Tabela3[[#This Row],[Position_Size]]*Tabela3[[#This Row],[Retorno_Diário]]</f>
        <v>0</v>
      </c>
    </row>
    <row r="506" spans="1:8" x14ac:dyDescent="0.2">
      <c r="A506" s="11" t="s">
        <v>3365</v>
      </c>
      <c r="B506" s="4" t="s">
        <v>3367</v>
      </c>
      <c r="C506" s="5">
        <f t="shared" si="11"/>
        <v>4.1936299388214415E-3</v>
      </c>
      <c r="D506" s="5"/>
      <c r="E506" s="5"/>
      <c r="F506" s="5">
        <f>IF(Tabela3[[#This Row],[Retorno_Diário]]&gt;0,1,-1)</f>
        <v>1</v>
      </c>
      <c r="G506" s="5">
        <f>Tabela3[[#This Row],[Sinal_TSMOM]]*(0.4*Tabela3[[#This Row],[Volatilidade]])</f>
        <v>0</v>
      </c>
      <c r="H506" s="5">
        <f>Tabela3[[#This Row],[Position_Size]]*Tabela3[[#This Row],[Retorno_Diário]]</f>
        <v>0</v>
      </c>
    </row>
    <row r="507" spans="1:8" x14ac:dyDescent="0.2">
      <c r="A507" s="11" t="s">
        <v>3371</v>
      </c>
      <c r="B507" s="4" t="s">
        <v>1350</v>
      </c>
      <c r="C507" s="5">
        <f t="shared" si="11"/>
        <v>1.2106667666496929E-2</v>
      </c>
      <c r="D507" s="5"/>
      <c r="E507" s="5"/>
      <c r="F507" s="5">
        <f>IF(Tabela3[[#This Row],[Retorno_Diário]]&gt;0,1,-1)</f>
        <v>1</v>
      </c>
      <c r="G507" s="5">
        <f>Tabela3[[#This Row],[Sinal_TSMOM]]*(0.4*Tabela3[[#This Row],[Volatilidade]])</f>
        <v>0</v>
      </c>
      <c r="H507" s="5">
        <f>Tabela3[[#This Row],[Position_Size]]*Tabela3[[#This Row],[Retorno_Diário]]</f>
        <v>0</v>
      </c>
    </row>
    <row r="508" spans="1:8" x14ac:dyDescent="0.2">
      <c r="A508" s="11" t="s">
        <v>3376</v>
      </c>
      <c r="B508" s="4" t="s">
        <v>3378</v>
      </c>
      <c r="C508" s="5">
        <f t="shared" si="11"/>
        <v>1.875550212008692E-3</v>
      </c>
      <c r="D508" s="5"/>
      <c r="E508" s="5"/>
      <c r="F508" s="5">
        <f>IF(Tabela3[[#This Row],[Retorno_Diário]]&gt;0,1,-1)</f>
        <v>1</v>
      </c>
      <c r="G508" s="5">
        <f>Tabela3[[#This Row],[Sinal_TSMOM]]*(0.4*Tabela3[[#This Row],[Volatilidade]])</f>
        <v>0</v>
      </c>
      <c r="H508" s="5">
        <f>Tabela3[[#This Row],[Position_Size]]*Tabela3[[#This Row],[Retorno_Diário]]</f>
        <v>0</v>
      </c>
    </row>
    <row r="509" spans="1:8" x14ac:dyDescent="0.2">
      <c r="A509" s="11" t="s">
        <v>3383</v>
      </c>
      <c r="B509" s="4" t="s">
        <v>3385</v>
      </c>
      <c r="C509" s="5">
        <f t="shared" si="11"/>
        <v>1.098260827821651E-2</v>
      </c>
      <c r="D509" s="5"/>
      <c r="E509" s="5"/>
      <c r="F509" s="5">
        <f>IF(Tabela3[[#This Row],[Retorno_Diário]]&gt;0,1,-1)</f>
        <v>1</v>
      </c>
      <c r="G509" s="5">
        <f>Tabela3[[#This Row],[Sinal_TSMOM]]*(0.4*Tabela3[[#This Row],[Volatilidade]])</f>
        <v>0</v>
      </c>
      <c r="H509" s="5">
        <f>Tabela3[[#This Row],[Position_Size]]*Tabela3[[#This Row],[Retorno_Diário]]</f>
        <v>0</v>
      </c>
    </row>
    <row r="510" spans="1:8" x14ac:dyDescent="0.2">
      <c r="A510" s="11" t="s">
        <v>3388</v>
      </c>
      <c r="B510" s="4" t="s">
        <v>3390</v>
      </c>
      <c r="C510" s="5">
        <f t="shared" si="11"/>
        <v>5.3493194190490367E-3</v>
      </c>
      <c r="D510" s="5"/>
      <c r="E510" s="5"/>
      <c r="F510" s="5">
        <f>IF(Tabela3[[#This Row],[Retorno_Diário]]&gt;0,1,-1)</f>
        <v>1</v>
      </c>
      <c r="G510" s="5">
        <f>Tabela3[[#This Row],[Sinal_TSMOM]]*(0.4*Tabela3[[#This Row],[Volatilidade]])</f>
        <v>0</v>
      </c>
      <c r="H510" s="5">
        <f>Tabela3[[#This Row],[Position_Size]]*Tabela3[[#This Row],[Retorno_Diário]]</f>
        <v>0</v>
      </c>
    </row>
    <row r="511" spans="1:8" x14ac:dyDescent="0.2">
      <c r="A511" s="11" t="s">
        <v>3392</v>
      </c>
      <c r="B511" s="4" t="s">
        <v>912</v>
      </c>
      <c r="C511" s="5">
        <f t="shared" si="11"/>
        <v>3.1352356440626616E-2</v>
      </c>
      <c r="D511" s="5"/>
      <c r="E511" s="5"/>
      <c r="F511" s="5">
        <f>IF(Tabela3[[#This Row],[Retorno_Diário]]&gt;0,1,-1)</f>
        <v>1</v>
      </c>
      <c r="G511" s="5">
        <f>Tabela3[[#This Row],[Sinal_TSMOM]]*(0.4*Tabela3[[#This Row],[Volatilidade]])</f>
        <v>0</v>
      </c>
      <c r="H511" s="5">
        <f>Tabela3[[#This Row],[Position_Size]]*Tabela3[[#This Row],[Retorno_Diário]]</f>
        <v>0</v>
      </c>
    </row>
    <row r="512" spans="1:8" x14ac:dyDescent="0.2">
      <c r="A512" s="11" t="s">
        <v>3396</v>
      </c>
      <c r="B512" s="4" t="s">
        <v>3398</v>
      </c>
      <c r="C512" s="5">
        <f t="shared" si="11"/>
        <v>-1.8652246773883441E-2</v>
      </c>
      <c r="D512" s="5"/>
      <c r="E512" s="5"/>
      <c r="F512" s="5">
        <f>IF(Tabela3[[#This Row],[Retorno_Diário]]&gt;0,1,-1)</f>
        <v>-1</v>
      </c>
      <c r="G512" s="5">
        <f>Tabela3[[#This Row],[Sinal_TSMOM]]*(0.4*Tabela3[[#This Row],[Volatilidade]])</f>
        <v>0</v>
      </c>
      <c r="H512" s="5">
        <f>Tabela3[[#This Row],[Position_Size]]*Tabela3[[#This Row],[Retorno_Diário]]</f>
        <v>0</v>
      </c>
    </row>
    <row r="513" spans="1:8" x14ac:dyDescent="0.2">
      <c r="A513" s="11" t="s">
        <v>3402</v>
      </c>
      <c r="B513" s="4" t="s">
        <v>3404</v>
      </c>
      <c r="C513" s="5">
        <f t="shared" si="11"/>
        <v>-6.9152956120333009E-3</v>
      </c>
      <c r="D513" s="5"/>
      <c r="E513" s="5"/>
      <c r="F513" s="5">
        <f>IF(Tabela3[[#This Row],[Retorno_Diário]]&gt;0,1,-1)</f>
        <v>-1</v>
      </c>
      <c r="G513" s="5">
        <f>Tabela3[[#This Row],[Sinal_TSMOM]]*(0.4*Tabela3[[#This Row],[Volatilidade]])</f>
        <v>0</v>
      </c>
      <c r="H513" s="5">
        <f>Tabela3[[#This Row],[Position_Size]]*Tabela3[[#This Row],[Retorno_Diário]]</f>
        <v>0</v>
      </c>
    </row>
    <row r="514" spans="1:8" x14ac:dyDescent="0.2">
      <c r="A514" s="11" t="s">
        <v>3407</v>
      </c>
      <c r="B514" s="4" t="s">
        <v>3409</v>
      </c>
      <c r="C514" s="5">
        <f t="shared" si="11"/>
        <v>1.368247152996438E-2</v>
      </c>
      <c r="D514" s="5"/>
      <c r="E514" s="5"/>
      <c r="F514" s="5">
        <f>IF(Tabela3[[#This Row],[Retorno_Diário]]&gt;0,1,-1)</f>
        <v>1</v>
      </c>
      <c r="G514" s="5">
        <f>Tabela3[[#This Row],[Sinal_TSMOM]]*(0.4*Tabela3[[#This Row],[Volatilidade]])</f>
        <v>0</v>
      </c>
      <c r="H514" s="5">
        <f>Tabela3[[#This Row],[Position_Size]]*Tabela3[[#This Row],[Retorno_Diário]]</f>
        <v>0</v>
      </c>
    </row>
    <row r="515" spans="1:8" x14ac:dyDescent="0.2">
      <c r="A515" s="11" t="s">
        <v>3414</v>
      </c>
      <c r="B515" s="4" t="s">
        <v>688</v>
      </c>
      <c r="C515" s="5">
        <f t="shared" ref="C515:C578" si="12">B515/B514-1</f>
        <v>1.4060116460676841E-3</v>
      </c>
      <c r="D515" s="5"/>
      <c r="E515" s="5"/>
      <c r="F515" s="5">
        <f>IF(Tabela3[[#This Row],[Retorno_Diário]]&gt;0,1,-1)</f>
        <v>1</v>
      </c>
      <c r="G515" s="5">
        <f>Tabela3[[#This Row],[Sinal_TSMOM]]*(0.4*Tabela3[[#This Row],[Volatilidade]])</f>
        <v>0</v>
      </c>
      <c r="H515" s="5">
        <f>Tabela3[[#This Row],[Position_Size]]*Tabela3[[#This Row],[Retorno_Diário]]</f>
        <v>0</v>
      </c>
    </row>
    <row r="516" spans="1:8" x14ac:dyDescent="0.2">
      <c r="A516" s="11" t="s">
        <v>3419</v>
      </c>
      <c r="B516" s="4" t="s">
        <v>3421</v>
      </c>
      <c r="C516" s="5">
        <f t="shared" si="12"/>
        <v>-5.3754361985072219E-3</v>
      </c>
      <c r="D516" s="5"/>
      <c r="E516" s="5"/>
      <c r="F516" s="5">
        <f>IF(Tabela3[[#This Row],[Retorno_Diário]]&gt;0,1,-1)</f>
        <v>-1</v>
      </c>
      <c r="G516" s="5">
        <f>Tabela3[[#This Row],[Sinal_TSMOM]]*(0.4*Tabela3[[#This Row],[Volatilidade]])</f>
        <v>0</v>
      </c>
      <c r="H516" s="5">
        <f>Tabela3[[#This Row],[Position_Size]]*Tabela3[[#This Row],[Retorno_Diário]]</f>
        <v>0</v>
      </c>
    </row>
    <row r="517" spans="1:8" x14ac:dyDescent="0.2">
      <c r="A517" s="11" t="s">
        <v>3425</v>
      </c>
      <c r="B517" s="4" t="s">
        <v>611</v>
      </c>
      <c r="C517" s="5">
        <f t="shared" si="12"/>
        <v>8.7520790707305007E-3</v>
      </c>
      <c r="D517" s="5"/>
      <c r="E517" s="5"/>
      <c r="F517" s="5">
        <f>IF(Tabela3[[#This Row],[Retorno_Diário]]&gt;0,1,-1)</f>
        <v>1</v>
      </c>
      <c r="G517" s="5">
        <f>Tabela3[[#This Row],[Sinal_TSMOM]]*(0.4*Tabela3[[#This Row],[Volatilidade]])</f>
        <v>0</v>
      </c>
      <c r="H517" s="5">
        <f>Tabela3[[#This Row],[Position_Size]]*Tabela3[[#This Row],[Retorno_Diário]]</f>
        <v>0</v>
      </c>
    </row>
    <row r="518" spans="1:8" x14ac:dyDescent="0.2">
      <c r="A518" s="11" t="s">
        <v>3430</v>
      </c>
      <c r="B518" s="4" t="s">
        <v>3432</v>
      </c>
      <c r="C518" s="5">
        <f t="shared" si="12"/>
        <v>1.0995147017452522E-2</v>
      </c>
      <c r="D518" s="5"/>
      <c r="E518" s="5"/>
      <c r="F518" s="5">
        <f>IF(Tabela3[[#This Row],[Retorno_Diário]]&gt;0,1,-1)</f>
        <v>1</v>
      </c>
      <c r="G518" s="5">
        <f>Tabela3[[#This Row],[Sinal_TSMOM]]*(0.4*Tabela3[[#This Row],[Volatilidade]])</f>
        <v>0</v>
      </c>
      <c r="H518" s="5">
        <f>Tabela3[[#This Row],[Position_Size]]*Tabela3[[#This Row],[Retorno_Diário]]</f>
        <v>0</v>
      </c>
    </row>
    <row r="519" spans="1:8" x14ac:dyDescent="0.2">
      <c r="A519" s="11" t="s">
        <v>3436</v>
      </c>
      <c r="B519" s="4" t="s">
        <v>368</v>
      </c>
      <c r="C519" s="5">
        <f t="shared" si="12"/>
        <v>-9.4122822513976745E-3</v>
      </c>
      <c r="D519" s="5"/>
      <c r="E519" s="5"/>
      <c r="F519" s="5">
        <f>IF(Tabela3[[#This Row],[Retorno_Diário]]&gt;0,1,-1)</f>
        <v>-1</v>
      </c>
      <c r="G519" s="5">
        <f>Tabela3[[#This Row],[Sinal_TSMOM]]*(0.4*Tabela3[[#This Row],[Volatilidade]])</f>
        <v>0</v>
      </c>
      <c r="H519" s="5">
        <f>Tabela3[[#This Row],[Position_Size]]*Tabela3[[#This Row],[Retorno_Diário]]</f>
        <v>0</v>
      </c>
    </row>
    <row r="520" spans="1:8" x14ac:dyDescent="0.2">
      <c r="A520" s="11" t="s">
        <v>3442</v>
      </c>
      <c r="B520" s="4" t="s">
        <v>3444</v>
      </c>
      <c r="C520" s="5">
        <f t="shared" si="12"/>
        <v>-4.1041195470794545E-2</v>
      </c>
      <c r="D520" s="5"/>
      <c r="E520" s="5"/>
      <c r="F520" s="5">
        <f>IF(Tabela3[[#This Row],[Retorno_Diário]]&gt;0,1,-1)</f>
        <v>-1</v>
      </c>
      <c r="G520" s="5">
        <f>Tabela3[[#This Row],[Sinal_TSMOM]]*(0.4*Tabela3[[#This Row],[Volatilidade]])</f>
        <v>0</v>
      </c>
      <c r="H520" s="5">
        <f>Tabela3[[#This Row],[Position_Size]]*Tabela3[[#This Row],[Retorno_Diário]]</f>
        <v>0</v>
      </c>
    </row>
    <row r="521" spans="1:8" x14ac:dyDescent="0.2">
      <c r="A521" s="11" t="s">
        <v>3449</v>
      </c>
      <c r="B521" s="4" t="s">
        <v>3451</v>
      </c>
      <c r="C521" s="5">
        <f t="shared" si="12"/>
        <v>3.2348060467874751E-2</v>
      </c>
      <c r="D521" s="5"/>
      <c r="E521" s="5"/>
      <c r="F521" s="5">
        <f>IF(Tabela3[[#This Row],[Retorno_Diário]]&gt;0,1,-1)</f>
        <v>1</v>
      </c>
      <c r="G521" s="5">
        <f>Tabela3[[#This Row],[Sinal_TSMOM]]*(0.4*Tabela3[[#This Row],[Volatilidade]])</f>
        <v>0</v>
      </c>
      <c r="H521" s="5">
        <f>Tabela3[[#This Row],[Position_Size]]*Tabela3[[#This Row],[Retorno_Diário]]</f>
        <v>0</v>
      </c>
    </row>
    <row r="522" spans="1:8" x14ac:dyDescent="0.2">
      <c r="A522" s="11" t="s">
        <v>3455</v>
      </c>
      <c r="B522" s="4" t="s">
        <v>3457</v>
      </c>
      <c r="C522" s="5">
        <f t="shared" si="12"/>
        <v>-9.7995734098834664E-3</v>
      </c>
      <c r="D522" s="5"/>
      <c r="E522" s="5"/>
      <c r="F522" s="5">
        <f>IF(Tabela3[[#This Row],[Retorno_Diário]]&gt;0,1,-1)</f>
        <v>-1</v>
      </c>
      <c r="G522" s="5">
        <f>Tabela3[[#This Row],[Sinal_TSMOM]]*(0.4*Tabela3[[#This Row],[Volatilidade]])</f>
        <v>0</v>
      </c>
      <c r="H522" s="5">
        <f>Tabela3[[#This Row],[Position_Size]]*Tabela3[[#This Row],[Retorno_Diário]]</f>
        <v>0</v>
      </c>
    </row>
    <row r="523" spans="1:8" x14ac:dyDescent="0.2">
      <c r="A523" s="11" t="s">
        <v>3461</v>
      </c>
      <c r="B523" s="4" t="s">
        <v>3463</v>
      </c>
      <c r="C523" s="5">
        <f t="shared" si="12"/>
        <v>1.0995568525664634E-3</v>
      </c>
      <c r="D523" s="5"/>
      <c r="E523" s="5"/>
      <c r="F523" s="5">
        <f>IF(Tabela3[[#This Row],[Retorno_Diário]]&gt;0,1,-1)</f>
        <v>1</v>
      </c>
      <c r="G523" s="5">
        <f>Tabela3[[#This Row],[Sinal_TSMOM]]*(0.4*Tabela3[[#This Row],[Volatilidade]])</f>
        <v>0</v>
      </c>
      <c r="H523" s="5">
        <f>Tabela3[[#This Row],[Position_Size]]*Tabela3[[#This Row],[Retorno_Diário]]</f>
        <v>0</v>
      </c>
    </row>
    <row r="524" spans="1:8" x14ac:dyDescent="0.2">
      <c r="A524" s="11" t="s">
        <v>3468</v>
      </c>
      <c r="B524" s="4" t="s">
        <v>3470</v>
      </c>
      <c r="C524" s="5">
        <f t="shared" si="12"/>
        <v>-3.8159543924771389E-2</v>
      </c>
      <c r="D524" s="5"/>
      <c r="E524" s="5"/>
      <c r="F524" s="5">
        <f>IF(Tabela3[[#This Row],[Retorno_Diário]]&gt;0,1,-1)</f>
        <v>-1</v>
      </c>
      <c r="G524" s="5">
        <f>Tabela3[[#This Row],[Sinal_TSMOM]]*(0.4*Tabela3[[#This Row],[Volatilidade]])</f>
        <v>0</v>
      </c>
      <c r="H524" s="5">
        <f>Tabela3[[#This Row],[Position_Size]]*Tabela3[[#This Row],[Retorno_Diário]]</f>
        <v>0</v>
      </c>
    </row>
    <row r="525" spans="1:8" x14ac:dyDescent="0.2">
      <c r="A525" s="11" t="s">
        <v>3474</v>
      </c>
      <c r="B525" s="4" t="s">
        <v>3476</v>
      </c>
      <c r="C525" s="5">
        <f t="shared" si="12"/>
        <v>1.649542371045043E-2</v>
      </c>
      <c r="D525" s="5"/>
      <c r="E525" s="5"/>
      <c r="F525" s="5">
        <f>IF(Tabela3[[#This Row],[Retorno_Diário]]&gt;0,1,-1)</f>
        <v>1</v>
      </c>
      <c r="G525" s="5">
        <f>Tabela3[[#This Row],[Sinal_TSMOM]]*(0.4*Tabela3[[#This Row],[Volatilidade]])</f>
        <v>0</v>
      </c>
      <c r="H525" s="5">
        <f>Tabela3[[#This Row],[Position_Size]]*Tabela3[[#This Row],[Retorno_Diário]]</f>
        <v>0</v>
      </c>
    </row>
    <row r="526" spans="1:8" x14ac:dyDescent="0.2">
      <c r="A526" s="11" t="s">
        <v>3480</v>
      </c>
      <c r="B526" s="4" t="s">
        <v>3482</v>
      </c>
      <c r="C526" s="5">
        <f t="shared" si="12"/>
        <v>2.8294360714824718E-2</v>
      </c>
      <c r="D526" s="5"/>
      <c r="E526" s="5"/>
      <c r="F526" s="5">
        <f>IF(Tabela3[[#This Row],[Retorno_Diário]]&gt;0,1,-1)</f>
        <v>1</v>
      </c>
      <c r="G526" s="5">
        <f>Tabela3[[#This Row],[Sinal_TSMOM]]*(0.4*Tabela3[[#This Row],[Volatilidade]])</f>
        <v>0</v>
      </c>
      <c r="H526" s="5">
        <f>Tabela3[[#This Row],[Position_Size]]*Tabela3[[#This Row],[Retorno_Diário]]</f>
        <v>0</v>
      </c>
    </row>
    <row r="527" spans="1:8" x14ac:dyDescent="0.2">
      <c r="A527" s="11" t="s">
        <v>3487</v>
      </c>
      <c r="B527" s="4" t="s">
        <v>3489</v>
      </c>
      <c r="C527" s="5">
        <f t="shared" si="12"/>
        <v>1.4688661003870118E-2</v>
      </c>
      <c r="D527" s="5"/>
      <c r="E527" s="5"/>
      <c r="F527" s="5">
        <f>IF(Tabela3[[#This Row],[Retorno_Diário]]&gt;0,1,-1)</f>
        <v>1</v>
      </c>
      <c r="G527" s="5">
        <f>Tabela3[[#This Row],[Sinal_TSMOM]]*(0.4*Tabela3[[#This Row],[Volatilidade]])</f>
        <v>0</v>
      </c>
      <c r="H527" s="5">
        <f>Tabela3[[#This Row],[Position_Size]]*Tabela3[[#This Row],[Retorno_Diário]]</f>
        <v>0</v>
      </c>
    </row>
    <row r="528" spans="1:8" x14ac:dyDescent="0.2">
      <c r="A528" s="11" t="s">
        <v>3493</v>
      </c>
      <c r="B528" s="4" t="s">
        <v>3495</v>
      </c>
      <c r="C528" s="5">
        <f t="shared" si="12"/>
        <v>1.3917651159050415E-2</v>
      </c>
      <c r="D528" s="5"/>
      <c r="E528" s="5"/>
      <c r="F528" s="5">
        <f>IF(Tabela3[[#This Row],[Retorno_Diário]]&gt;0,1,-1)</f>
        <v>1</v>
      </c>
      <c r="G528" s="5">
        <f>Tabela3[[#This Row],[Sinal_TSMOM]]*(0.4*Tabela3[[#This Row],[Volatilidade]])</f>
        <v>0</v>
      </c>
      <c r="H528" s="5">
        <f>Tabela3[[#This Row],[Position_Size]]*Tabela3[[#This Row],[Retorno_Diário]]</f>
        <v>0</v>
      </c>
    </row>
    <row r="529" spans="1:8" x14ac:dyDescent="0.2">
      <c r="A529" s="11" t="s">
        <v>3499</v>
      </c>
      <c r="B529" s="4" t="s">
        <v>1017</v>
      </c>
      <c r="C529" s="5">
        <f t="shared" si="12"/>
        <v>-1.0462098262103647E-2</v>
      </c>
      <c r="D529" s="5"/>
      <c r="E529" s="5"/>
      <c r="F529" s="5">
        <f>IF(Tabela3[[#This Row],[Retorno_Diário]]&gt;0,1,-1)</f>
        <v>-1</v>
      </c>
      <c r="G529" s="5">
        <f>Tabela3[[#This Row],[Sinal_TSMOM]]*(0.4*Tabela3[[#This Row],[Volatilidade]])</f>
        <v>0</v>
      </c>
      <c r="H529" s="5">
        <f>Tabela3[[#This Row],[Position_Size]]*Tabela3[[#This Row],[Retorno_Diário]]</f>
        <v>0</v>
      </c>
    </row>
    <row r="530" spans="1:8" x14ac:dyDescent="0.2">
      <c r="A530" s="11" t="s">
        <v>3505</v>
      </c>
      <c r="B530" s="4" t="s">
        <v>3507</v>
      </c>
      <c r="C530" s="5">
        <f t="shared" si="12"/>
        <v>4.523234112390484E-2</v>
      </c>
      <c r="D530" s="5"/>
      <c r="E530" s="5"/>
      <c r="F530" s="5">
        <f>IF(Tabela3[[#This Row],[Retorno_Diário]]&gt;0,1,-1)</f>
        <v>1</v>
      </c>
      <c r="G530" s="5">
        <f>Tabela3[[#This Row],[Sinal_TSMOM]]*(0.4*Tabela3[[#This Row],[Volatilidade]])</f>
        <v>0</v>
      </c>
      <c r="H530" s="5">
        <f>Tabela3[[#This Row],[Position_Size]]*Tabela3[[#This Row],[Retorno_Diário]]</f>
        <v>0</v>
      </c>
    </row>
    <row r="531" spans="1:8" x14ac:dyDescent="0.2">
      <c r="A531" s="11" t="s">
        <v>3512</v>
      </c>
      <c r="B531" s="4" t="s">
        <v>3514</v>
      </c>
      <c r="C531" s="5">
        <f t="shared" si="12"/>
        <v>1.8709307370704087E-2</v>
      </c>
      <c r="D531" s="5"/>
      <c r="E531" s="5"/>
      <c r="F531" s="5">
        <f>IF(Tabela3[[#This Row],[Retorno_Diário]]&gt;0,1,-1)</f>
        <v>1</v>
      </c>
      <c r="G531" s="5">
        <f>Tabela3[[#This Row],[Sinal_TSMOM]]*(0.4*Tabela3[[#This Row],[Volatilidade]])</f>
        <v>0</v>
      </c>
      <c r="H531" s="5">
        <f>Tabela3[[#This Row],[Position_Size]]*Tabela3[[#This Row],[Retorno_Diário]]</f>
        <v>0</v>
      </c>
    </row>
    <row r="532" spans="1:8" x14ac:dyDescent="0.2">
      <c r="A532" s="11" t="s">
        <v>3519</v>
      </c>
      <c r="B532" s="4" t="s">
        <v>3521</v>
      </c>
      <c r="C532" s="5">
        <f t="shared" si="12"/>
        <v>1.7357876750489609E-2</v>
      </c>
      <c r="D532" s="5"/>
      <c r="E532" s="5"/>
      <c r="F532" s="5">
        <f>IF(Tabela3[[#This Row],[Retorno_Diário]]&gt;0,1,-1)</f>
        <v>1</v>
      </c>
      <c r="G532" s="5">
        <f>Tabela3[[#This Row],[Sinal_TSMOM]]*(0.4*Tabela3[[#This Row],[Volatilidade]])</f>
        <v>0</v>
      </c>
      <c r="H532" s="5">
        <f>Tabela3[[#This Row],[Position_Size]]*Tabela3[[#This Row],[Retorno_Diário]]</f>
        <v>0</v>
      </c>
    </row>
    <row r="533" spans="1:8" x14ac:dyDescent="0.2">
      <c r="A533" s="11" t="s">
        <v>3525</v>
      </c>
      <c r="B533" s="4" t="s">
        <v>3527</v>
      </c>
      <c r="C533" s="5">
        <f t="shared" si="12"/>
        <v>-6.4577895708896049E-3</v>
      </c>
      <c r="D533" s="5"/>
      <c r="E533" s="5"/>
      <c r="F533" s="5">
        <f>IF(Tabela3[[#This Row],[Retorno_Diário]]&gt;0,1,-1)</f>
        <v>-1</v>
      </c>
      <c r="G533" s="5">
        <f>Tabela3[[#This Row],[Sinal_TSMOM]]*(0.4*Tabela3[[#This Row],[Volatilidade]])</f>
        <v>0</v>
      </c>
      <c r="H533" s="5">
        <f>Tabela3[[#This Row],[Position_Size]]*Tabela3[[#This Row],[Retorno_Diário]]</f>
        <v>0</v>
      </c>
    </row>
    <row r="534" spans="1:8" x14ac:dyDescent="0.2">
      <c r="A534" s="11" t="s">
        <v>3532</v>
      </c>
      <c r="B534" s="4" t="s">
        <v>3534</v>
      </c>
      <c r="C534" s="5">
        <f t="shared" si="12"/>
        <v>7.0204632494804242E-2</v>
      </c>
      <c r="D534" s="5"/>
      <c r="E534" s="5"/>
      <c r="F534" s="5">
        <f>IF(Tabela3[[#This Row],[Retorno_Diário]]&gt;0,1,-1)</f>
        <v>1</v>
      </c>
      <c r="G534" s="5">
        <f>Tabela3[[#This Row],[Sinal_TSMOM]]*(0.4*Tabela3[[#This Row],[Volatilidade]])</f>
        <v>0</v>
      </c>
      <c r="H534" s="5">
        <f>Tabela3[[#This Row],[Position_Size]]*Tabela3[[#This Row],[Retorno_Diário]]</f>
        <v>0</v>
      </c>
    </row>
    <row r="535" spans="1:8" x14ac:dyDescent="0.2">
      <c r="A535" s="11" t="s">
        <v>3539</v>
      </c>
      <c r="B535" s="4" t="s">
        <v>3541</v>
      </c>
      <c r="C535" s="5">
        <f t="shared" si="12"/>
        <v>2.339623500872956E-2</v>
      </c>
      <c r="D535" s="5"/>
      <c r="E535" s="5"/>
      <c r="F535" s="5">
        <f>IF(Tabela3[[#This Row],[Retorno_Diário]]&gt;0,1,-1)</f>
        <v>1</v>
      </c>
      <c r="G535" s="5">
        <f>Tabela3[[#This Row],[Sinal_TSMOM]]*(0.4*Tabela3[[#This Row],[Volatilidade]])</f>
        <v>0</v>
      </c>
      <c r="H535" s="5">
        <f>Tabela3[[#This Row],[Position_Size]]*Tabela3[[#This Row],[Retorno_Diário]]</f>
        <v>0</v>
      </c>
    </row>
    <row r="536" spans="1:8" x14ac:dyDescent="0.2">
      <c r="A536" s="11" t="s">
        <v>3546</v>
      </c>
      <c r="B536" s="4" t="s">
        <v>3548</v>
      </c>
      <c r="C536" s="5">
        <f t="shared" si="12"/>
        <v>6.113227064529525E-2</v>
      </c>
      <c r="D536" s="5"/>
      <c r="E536" s="5"/>
      <c r="F536" s="5">
        <f>IF(Tabela3[[#This Row],[Retorno_Diário]]&gt;0,1,-1)</f>
        <v>1</v>
      </c>
      <c r="G536" s="5">
        <f>Tabela3[[#This Row],[Sinal_TSMOM]]*(0.4*Tabela3[[#This Row],[Volatilidade]])</f>
        <v>0</v>
      </c>
      <c r="H536" s="5">
        <f>Tabela3[[#This Row],[Position_Size]]*Tabela3[[#This Row],[Retorno_Diário]]</f>
        <v>0</v>
      </c>
    </row>
    <row r="537" spans="1:8" x14ac:dyDescent="0.2">
      <c r="A537" s="11" t="s">
        <v>3552</v>
      </c>
      <c r="B537" s="4" t="s">
        <v>3554</v>
      </c>
      <c r="C537" s="5">
        <f t="shared" si="12"/>
        <v>-1.906572885962754E-2</v>
      </c>
      <c r="D537" s="5"/>
      <c r="E537" s="5"/>
      <c r="F537" s="5">
        <f>IF(Tabela3[[#This Row],[Retorno_Diário]]&gt;0,1,-1)</f>
        <v>-1</v>
      </c>
      <c r="G537" s="5">
        <f>Tabela3[[#This Row],[Sinal_TSMOM]]*(0.4*Tabela3[[#This Row],[Volatilidade]])</f>
        <v>0</v>
      </c>
      <c r="H537" s="5">
        <f>Tabela3[[#This Row],[Position_Size]]*Tabela3[[#This Row],[Retorno_Diário]]</f>
        <v>0</v>
      </c>
    </row>
    <row r="538" spans="1:8" x14ac:dyDescent="0.2">
      <c r="A538" s="11" t="s">
        <v>3559</v>
      </c>
      <c r="B538" s="4" t="s">
        <v>3561</v>
      </c>
      <c r="C538" s="5">
        <f t="shared" si="12"/>
        <v>-4.7392329492954022E-2</v>
      </c>
      <c r="D538" s="5"/>
      <c r="E538" s="5"/>
      <c r="F538" s="5">
        <f>IF(Tabela3[[#This Row],[Retorno_Diário]]&gt;0,1,-1)</f>
        <v>-1</v>
      </c>
      <c r="G538" s="5">
        <f>Tabela3[[#This Row],[Sinal_TSMOM]]*(0.4*Tabela3[[#This Row],[Volatilidade]])</f>
        <v>0</v>
      </c>
      <c r="H538" s="5">
        <f>Tabela3[[#This Row],[Position_Size]]*Tabela3[[#This Row],[Retorno_Diário]]</f>
        <v>0</v>
      </c>
    </row>
    <row r="539" spans="1:8" x14ac:dyDescent="0.2">
      <c r="A539" s="11" t="s">
        <v>3566</v>
      </c>
      <c r="B539" s="4" t="s">
        <v>3568</v>
      </c>
      <c r="C539" s="5">
        <f t="shared" si="12"/>
        <v>-7.0697470063214363E-2</v>
      </c>
      <c r="D539" s="5"/>
      <c r="E539" s="5"/>
      <c r="F539" s="5">
        <f>IF(Tabela3[[#This Row],[Retorno_Diário]]&gt;0,1,-1)</f>
        <v>-1</v>
      </c>
      <c r="G539" s="5">
        <f>Tabela3[[#This Row],[Sinal_TSMOM]]*(0.4*Tabela3[[#This Row],[Volatilidade]])</f>
        <v>0</v>
      </c>
      <c r="H539" s="5">
        <f>Tabela3[[#This Row],[Position_Size]]*Tabela3[[#This Row],[Retorno_Diário]]</f>
        <v>0</v>
      </c>
    </row>
    <row r="540" spans="1:8" x14ac:dyDescent="0.2">
      <c r="A540" s="11" t="s">
        <v>3573</v>
      </c>
      <c r="B540" s="4" t="s">
        <v>3575</v>
      </c>
      <c r="C540" s="5">
        <f t="shared" si="12"/>
        <v>-4.1093355812799381E-2</v>
      </c>
      <c r="D540" s="5"/>
      <c r="E540" s="5"/>
      <c r="F540" s="5">
        <f>IF(Tabela3[[#This Row],[Retorno_Diário]]&gt;0,1,-1)</f>
        <v>-1</v>
      </c>
      <c r="G540" s="5">
        <f>Tabela3[[#This Row],[Sinal_TSMOM]]*(0.4*Tabela3[[#This Row],[Volatilidade]])</f>
        <v>0</v>
      </c>
      <c r="H540" s="5">
        <f>Tabela3[[#This Row],[Position_Size]]*Tabela3[[#This Row],[Retorno_Diário]]</f>
        <v>0</v>
      </c>
    </row>
    <row r="541" spans="1:8" x14ac:dyDescent="0.2">
      <c r="A541" s="11" t="s">
        <v>3580</v>
      </c>
      <c r="B541" s="4" t="s">
        <v>3582</v>
      </c>
      <c r="C541" s="5">
        <f t="shared" si="12"/>
        <v>2.1369947245668985E-2</v>
      </c>
      <c r="D541" s="5"/>
      <c r="E541" s="5"/>
      <c r="F541" s="5">
        <f>IF(Tabela3[[#This Row],[Retorno_Diário]]&gt;0,1,-1)</f>
        <v>1</v>
      </c>
      <c r="G541" s="5">
        <f>Tabela3[[#This Row],[Sinal_TSMOM]]*(0.4*Tabela3[[#This Row],[Volatilidade]])</f>
        <v>0</v>
      </c>
      <c r="H541" s="5">
        <f>Tabela3[[#This Row],[Position_Size]]*Tabela3[[#This Row],[Retorno_Diário]]</f>
        <v>0</v>
      </c>
    </row>
    <row r="542" spans="1:8" x14ac:dyDescent="0.2">
      <c r="A542" s="11" t="s">
        <v>3586</v>
      </c>
      <c r="B542" s="4" t="s">
        <v>3588</v>
      </c>
      <c r="C542" s="5">
        <f t="shared" si="12"/>
        <v>-5.6230121243666775E-2</v>
      </c>
      <c r="D542" s="5"/>
      <c r="E542" s="5"/>
      <c r="F542" s="5">
        <f>IF(Tabela3[[#This Row],[Retorno_Diário]]&gt;0,1,-1)</f>
        <v>-1</v>
      </c>
      <c r="G542" s="5">
        <f>Tabela3[[#This Row],[Sinal_TSMOM]]*(0.4*Tabela3[[#This Row],[Volatilidade]])</f>
        <v>0</v>
      </c>
      <c r="H542" s="5">
        <f>Tabela3[[#This Row],[Position_Size]]*Tabela3[[#This Row],[Retorno_Diário]]</f>
        <v>0</v>
      </c>
    </row>
    <row r="543" spans="1:8" x14ac:dyDescent="0.2">
      <c r="A543" s="11" t="s">
        <v>3592</v>
      </c>
      <c r="B543" s="4" t="s">
        <v>3594</v>
      </c>
      <c r="C543" s="5">
        <f t="shared" si="12"/>
        <v>6.9160717528542026E-2</v>
      </c>
      <c r="D543" s="5"/>
      <c r="E543" s="5"/>
      <c r="F543" s="5">
        <f>IF(Tabela3[[#This Row],[Retorno_Diário]]&gt;0,1,-1)</f>
        <v>1</v>
      </c>
      <c r="G543" s="5">
        <f>Tabela3[[#This Row],[Sinal_TSMOM]]*(0.4*Tabela3[[#This Row],[Volatilidade]])</f>
        <v>0</v>
      </c>
      <c r="H543" s="5">
        <f>Tabela3[[#This Row],[Position_Size]]*Tabela3[[#This Row],[Retorno_Diário]]</f>
        <v>0</v>
      </c>
    </row>
    <row r="544" spans="1:8" x14ac:dyDescent="0.2">
      <c r="A544" s="11" t="s">
        <v>3599</v>
      </c>
      <c r="B544" s="4" t="s">
        <v>1201</v>
      </c>
      <c r="C544" s="5">
        <f t="shared" si="12"/>
        <v>2.3549438304295567E-2</v>
      </c>
      <c r="D544" s="5"/>
      <c r="E544" s="5"/>
      <c r="F544" s="5">
        <f>IF(Tabela3[[#This Row],[Retorno_Diário]]&gt;0,1,-1)</f>
        <v>1</v>
      </c>
      <c r="G544" s="5">
        <f>Tabela3[[#This Row],[Sinal_TSMOM]]*(0.4*Tabela3[[#This Row],[Volatilidade]])</f>
        <v>0</v>
      </c>
      <c r="H544" s="5">
        <f>Tabela3[[#This Row],[Position_Size]]*Tabela3[[#This Row],[Retorno_Diário]]</f>
        <v>0</v>
      </c>
    </row>
    <row r="545" spans="1:8" x14ac:dyDescent="0.2">
      <c r="A545" s="11" t="s">
        <v>3604</v>
      </c>
      <c r="B545" s="4" t="s">
        <v>3606</v>
      </c>
      <c r="C545" s="5">
        <f t="shared" si="12"/>
        <v>-3.8128964313750457E-2</v>
      </c>
      <c r="D545" s="5"/>
      <c r="E545" s="5"/>
      <c r="F545" s="5">
        <f>IF(Tabela3[[#This Row],[Retorno_Diário]]&gt;0,1,-1)</f>
        <v>-1</v>
      </c>
      <c r="G545" s="5">
        <f>Tabela3[[#This Row],[Sinal_TSMOM]]*(0.4*Tabela3[[#This Row],[Volatilidade]])</f>
        <v>0</v>
      </c>
      <c r="H545" s="5">
        <f>Tabela3[[#This Row],[Position_Size]]*Tabela3[[#This Row],[Retorno_Diário]]</f>
        <v>0</v>
      </c>
    </row>
    <row r="546" spans="1:8" x14ac:dyDescent="0.2">
      <c r="A546" s="11" t="s">
        <v>3611</v>
      </c>
      <c r="B546" s="4" t="s">
        <v>3613</v>
      </c>
      <c r="C546" s="5">
        <f t="shared" si="12"/>
        <v>7.0028939131413281E-2</v>
      </c>
      <c r="D546" s="5"/>
      <c r="E546" s="5"/>
      <c r="F546" s="5">
        <f>IF(Tabela3[[#This Row],[Retorno_Diário]]&gt;0,1,-1)</f>
        <v>1</v>
      </c>
      <c r="G546" s="5">
        <f>Tabela3[[#This Row],[Sinal_TSMOM]]*(0.4*Tabela3[[#This Row],[Volatilidade]])</f>
        <v>0</v>
      </c>
      <c r="H546" s="5">
        <f>Tabela3[[#This Row],[Position_Size]]*Tabela3[[#This Row],[Retorno_Diário]]</f>
        <v>0</v>
      </c>
    </row>
    <row r="547" spans="1:8" x14ac:dyDescent="0.2">
      <c r="A547" s="11" t="s">
        <v>3618</v>
      </c>
      <c r="B547" s="4" t="s">
        <v>3620</v>
      </c>
      <c r="C547" s="5">
        <f t="shared" si="12"/>
        <v>-3.9436214269309211E-2</v>
      </c>
      <c r="D547" s="5"/>
      <c r="E547" s="5"/>
      <c r="F547" s="5">
        <f>IF(Tabela3[[#This Row],[Retorno_Diário]]&gt;0,1,-1)</f>
        <v>-1</v>
      </c>
      <c r="G547" s="5">
        <f>Tabela3[[#This Row],[Sinal_TSMOM]]*(0.4*Tabela3[[#This Row],[Volatilidade]])</f>
        <v>0</v>
      </c>
      <c r="H547" s="5">
        <f>Tabela3[[#This Row],[Position_Size]]*Tabela3[[#This Row],[Retorno_Diário]]</f>
        <v>0</v>
      </c>
    </row>
    <row r="548" spans="1:8" x14ac:dyDescent="0.2">
      <c r="A548" s="11" t="s">
        <v>3625</v>
      </c>
      <c r="B548" s="4" t="s">
        <v>3627</v>
      </c>
      <c r="C548" s="5">
        <f t="shared" si="12"/>
        <v>-2.6528609496179634E-2</v>
      </c>
      <c r="D548" s="5"/>
      <c r="E548" s="5"/>
      <c r="F548" s="5">
        <f>IF(Tabela3[[#This Row],[Retorno_Diário]]&gt;0,1,-1)</f>
        <v>-1</v>
      </c>
      <c r="G548" s="5">
        <f>Tabela3[[#This Row],[Sinal_TSMOM]]*(0.4*Tabela3[[#This Row],[Volatilidade]])</f>
        <v>0</v>
      </c>
      <c r="H548" s="5">
        <f>Tabela3[[#This Row],[Position_Size]]*Tabela3[[#This Row],[Retorno_Diário]]</f>
        <v>0</v>
      </c>
    </row>
    <row r="549" spans="1:8" x14ac:dyDescent="0.2">
      <c r="A549" s="11" t="s">
        <v>3632</v>
      </c>
      <c r="B549" s="4" t="s">
        <v>3634</v>
      </c>
      <c r="C549" s="5">
        <f t="shared" si="12"/>
        <v>-7.7431944777225037E-2</v>
      </c>
      <c r="D549" s="5"/>
      <c r="E549" s="5"/>
      <c r="F549" s="5">
        <f>IF(Tabela3[[#This Row],[Retorno_Diário]]&gt;0,1,-1)</f>
        <v>-1</v>
      </c>
      <c r="G549" s="5">
        <f>Tabela3[[#This Row],[Sinal_TSMOM]]*(0.4*Tabela3[[#This Row],[Volatilidade]])</f>
        <v>0</v>
      </c>
      <c r="H549" s="5">
        <f>Tabela3[[#This Row],[Position_Size]]*Tabela3[[#This Row],[Retorno_Diário]]</f>
        <v>0</v>
      </c>
    </row>
    <row r="550" spans="1:8" x14ac:dyDescent="0.2">
      <c r="A550" s="11" t="s">
        <v>3639</v>
      </c>
      <c r="B550" s="4" t="s">
        <v>3641</v>
      </c>
      <c r="C550" s="5">
        <f t="shared" si="12"/>
        <v>6.3722259458934838E-2</v>
      </c>
      <c r="D550" s="5"/>
      <c r="E550" s="5"/>
      <c r="F550" s="5">
        <f>IF(Tabela3[[#This Row],[Retorno_Diário]]&gt;0,1,-1)</f>
        <v>1</v>
      </c>
      <c r="G550" s="5">
        <f>Tabela3[[#This Row],[Sinal_TSMOM]]*(0.4*Tabela3[[#This Row],[Volatilidade]])</f>
        <v>0</v>
      </c>
      <c r="H550" s="5">
        <f>Tabela3[[#This Row],[Position_Size]]*Tabela3[[#This Row],[Retorno_Diário]]</f>
        <v>0</v>
      </c>
    </row>
    <row r="551" spans="1:8" x14ac:dyDescent="0.2">
      <c r="A551" s="11" t="s">
        <v>3645</v>
      </c>
      <c r="B551" s="4" t="s">
        <v>993</v>
      </c>
      <c r="C551" s="5">
        <f t="shared" si="12"/>
        <v>-5.5959876421224131E-2</v>
      </c>
      <c r="D551" s="5"/>
      <c r="E551" s="5"/>
      <c r="F551" s="5">
        <f>IF(Tabela3[[#This Row],[Retorno_Diário]]&gt;0,1,-1)</f>
        <v>-1</v>
      </c>
      <c r="G551" s="5">
        <f>Tabela3[[#This Row],[Sinal_TSMOM]]*(0.4*Tabela3[[#This Row],[Volatilidade]])</f>
        <v>0</v>
      </c>
      <c r="H551" s="5">
        <f>Tabela3[[#This Row],[Position_Size]]*Tabela3[[#This Row],[Retorno_Diário]]</f>
        <v>0</v>
      </c>
    </row>
    <row r="552" spans="1:8" x14ac:dyDescent="0.2">
      <c r="A552" s="11" t="s">
        <v>3650</v>
      </c>
      <c r="B552" s="4" t="s">
        <v>3652</v>
      </c>
      <c r="C552" s="5">
        <f t="shared" si="12"/>
        <v>-0.12236778994416297</v>
      </c>
      <c r="D552" s="5"/>
      <c r="E552" s="5"/>
      <c r="F552" s="5">
        <f>IF(Tabela3[[#This Row],[Retorno_Diário]]&gt;0,1,-1)</f>
        <v>-1</v>
      </c>
      <c r="G552" s="5">
        <f>Tabela3[[#This Row],[Sinal_TSMOM]]*(0.4*Tabela3[[#This Row],[Volatilidade]])</f>
        <v>0</v>
      </c>
      <c r="H552" s="5">
        <f>Tabela3[[#This Row],[Position_Size]]*Tabela3[[#This Row],[Retorno_Diário]]</f>
        <v>0</v>
      </c>
    </row>
    <row r="553" spans="1:8" x14ac:dyDescent="0.2">
      <c r="A553" s="11" t="s">
        <v>3657</v>
      </c>
      <c r="B553" s="4" t="s">
        <v>3659</v>
      </c>
      <c r="C553" s="5">
        <f t="shared" si="12"/>
        <v>0.11340201822187645</v>
      </c>
      <c r="D553" s="5"/>
      <c r="E553" s="5"/>
      <c r="F553" s="5">
        <f>IF(Tabela3[[#This Row],[Retorno_Diário]]&gt;0,1,-1)</f>
        <v>1</v>
      </c>
      <c r="G553" s="5">
        <f>Tabela3[[#This Row],[Sinal_TSMOM]]*(0.4*Tabela3[[#This Row],[Volatilidade]])</f>
        <v>0</v>
      </c>
      <c r="H553" s="5">
        <f>Tabela3[[#This Row],[Position_Size]]*Tabela3[[#This Row],[Retorno_Diário]]</f>
        <v>0</v>
      </c>
    </row>
    <row r="554" spans="1:8" x14ac:dyDescent="0.2">
      <c r="A554" s="11" t="s">
        <v>3664</v>
      </c>
      <c r="B554" s="4" t="s">
        <v>3666</v>
      </c>
      <c r="C554" s="5">
        <f t="shared" si="12"/>
        <v>-0.18452085665646079</v>
      </c>
      <c r="D554" s="5"/>
      <c r="E554" s="5"/>
      <c r="F554" s="5">
        <f>IF(Tabela3[[#This Row],[Retorno_Diário]]&gt;0,1,-1)</f>
        <v>-1</v>
      </c>
      <c r="G554" s="5">
        <f>Tabela3[[#This Row],[Sinal_TSMOM]]*(0.4*Tabela3[[#This Row],[Volatilidade]])</f>
        <v>0</v>
      </c>
      <c r="H554" s="5">
        <f>Tabela3[[#This Row],[Position_Size]]*Tabela3[[#This Row],[Retorno_Diário]]</f>
        <v>0</v>
      </c>
    </row>
    <row r="555" spans="1:8" x14ac:dyDescent="0.2">
      <c r="A555" s="11" t="s">
        <v>3671</v>
      </c>
      <c r="B555" s="4" t="s">
        <v>3673</v>
      </c>
      <c r="C555" s="5">
        <f t="shared" si="12"/>
        <v>0.10626272698809092</v>
      </c>
      <c r="D555" s="5"/>
      <c r="E555" s="5"/>
      <c r="F555" s="5">
        <f>IF(Tabela3[[#This Row],[Retorno_Diário]]&gt;0,1,-1)</f>
        <v>1</v>
      </c>
      <c r="G555" s="5">
        <f>Tabela3[[#This Row],[Sinal_TSMOM]]*(0.4*Tabela3[[#This Row],[Volatilidade]])</f>
        <v>0</v>
      </c>
      <c r="H555" s="5">
        <f>Tabela3[[#This Row],[Position_Size]]*Tabela3[[#This Row],[Retorno_Diário]]</f>
        <v>0</v>
      </c>
    </row>
    <row r="556" spans="1:8" x14ac:dyDescent="0.2">
      <c r="A556" s="11" t="s">
        <v>3677</v>
      </c>
      <c r="B556" s="4" t="s">
        <v>3679</v>
      </c>
      <c r="C556" s="5">
        <f t="shared" si="12"/>
        <v>-6.6507099117256718E-2</v>
      </c>
      <c r="D556" s="5"/>
      <c r="E556" s="5"/>
      <c r="F556" s="5">
        <f>IF(Tabela3[[#This Row],[Retorno_Diário]]&gt;0,1,-1)</f>
        <v>-1</v>
      </c>
      <c r="G556" s="5">
        <f>Tabela3[[#This Row],[Sinal_TSMOM]]*(0.4*Tabela3[[#This Row],[Volatilidade]])</f>
        <v>0</v>
      </c>
      <c r="H556" s="5">
        <f>Tabela3[[#This Row],[Position_Size]]*Tabela3[[#This Row],[Retorno_Diário]]</f>
        <v>0</v>
      </c>
    </row>
    <row r="557" spans="1:8" x14ac:dyDescent="0.2">
      <c r="A557" s="11" t="s">
        <v>3682</v>
      </c>
      <c r="B557" s="4" t="s">
        <v>3684</v>
      </c>
      <c r="C557" s="5">
        <f t="shared" si="12"/>
        <v>5.0044439286793807E-2</v>
      </c>
      <c r="D557" s="5"/>
      <c r="E557" s="5"/>
      <c r="F557" s="5">
        <f>IF(Tabela3[[#This Row],[Retorno_Diário]]&gt;0,1,-1)</f>
        <v>1</v>
      </c>
      <c r="G557" s="5">
        <f>Tabela3[[#This Row],[Sinal_TSMOM]]*(0.4*Tabela3[[#This Row],[Volatilidade]])</f>
        <v>0</v>
      </c>
      <c r="H557" s="5">
        <f>Tabela3[[#This Row],[Position_Size]]*Tabela3[[#This Row],[Retorno_Diário]]</f>
        <v>0</v>
      </c>
    </row>
    <row r="558" spans="1:8" x14ac:dyDescent="0.2">
      <c r="A558" s="11" t="s">
        <v>3689</v>
      </c>
      <c r="B558" s="4" t="s">
        <v>3691</v>
      </c>
      <c r="C558" s="5">
        <f t="shared" si="12"/>
        <v>-3.3901492795565979E-2</v>
      </c>
      <c r="D558" s="5"/>
      <c r="E558" s="5"/>
      <c r="F558" s="5">
        <f>IF(Tabela3[[#This Row],[Retorno_Diário]]&gt;0,1,-1)</f>
        <v>-1</v>
      </c>
      <c r="G558" s="5">
        <f>Tabela3[[#This Row],[Sinal_TSMOM]]*(0.4*Tabela3[[#This Row],[Volatilidade]])</f>
        <v>0</v>
      </c>
      <c r="H558" s="5">
        <f>Tabela3[[#This Row],[Position_Size]]*Tabela3[[#This Row],[Retorno_Diário]]</f>
        <v>0</v>
      </c>
    </row>
    <row r="559" spans="1:8" x14ac:dyDescent="0.2">
      <c r="A559" s="11" t="s">
        <v>3696</v>
      </c>
      <c r="B559" s="4" t="s">
        <v>36</v>
      </c>
      <c r="C559" s="5">
        <f t="shared" si="12"/>
        <v>3.3730173076934378E-2</v>
      </c>
      <c r="D559" s="5"/>
      <c r="E559" s="5"/>
      <c r="F559" s="5">
        <f>IF(Tabela3[[#This Row],[Retorno_Diário]]&gt;0,1,-1)</f>
        <v>1</v>
      </c>
      <c r="G559" s="5">
        <f>Tabela3[[#This Row],[Sinal_TSMOM]]*(0.4*Tabela3[[#This Row],[Volatilidade]])</f>
        <v>0</v>
      </c>
      <c r="H559" s="5">
        <f>Tabela3[[#This Row],[Position_Size]]*Tabela3[[#This Row],[Retorno_Diário]]</f>
        <v>0</v>
      </c>
    </row>
    <row r="560" spans="1:8" x14ac:dyDescent="0.2">
      <c r="A560" s="11" t="s">
        <v>3702</v>
      </c>
      <c r="B560" s="4" t="s">
        <v>3704</v>
      </c>
      <c r="C560" s="5">
        <f t="shared" si="12"/>
        <v>0.17156426359022947</v>
      </c>
      <c r="D560" s="5"/>
      <c r="E560" s="5"/>
      <c r="F560" s="5">
        <f>IF(Tabela3[[#This Row],[Retorno_Diário]]&gt;0,1,-1)</f>
        <v>1</v>
      </c>
      <c r="G560" s="5">
        <f>Tabela3[[#This Row],[Sinal_TSMOM]]*(0.4*Tabela3[[#This Row],[Volatilidade]])</f>
        <v>0</v>
      </c>
      <c r="H560" s="5">
        <f>Tabela3[[#This Row],[Position_Size]]*Tabela3[[#This Row],[Retorno_Diário]]</f>
        <v>0</v>
      </c>
    </row>
    <row r="561" spans="1:8" x14ac:dyDescent="0.2">
      <c r="A561" s="11" t="s">
        <v>3708</v>
      </c>
      <c r="B561" s="4" t="s">
        <v>3710</v>
      </c>
      <c r="C561" s="5">
        <f t="shared" si="12"/>
        <v>-1.4286820907934095E-2</v>
      </c>
      <c r="D561" s="5"/>
      <c r="E561" s="5"/>
      <c r="F561" s="5">
        <f>IF(Tabela3[[#This Row],[Retorno_Diário]]&gt;0,1,-1)</f>
        <v>-1</v>
      </c>
      <c r="G561" s="5">
        <f>Tabela3[[#This Row],[Sinal_TSMOM]]*(0.4*Tabela3[[#This Row],[Volatilidade]])</f>
        <v>0</v>
      </c>
      <c r="H561" s="5">
        <f>Tabela3[[#This Row],[Position_Size]]*Tabela3[[#This Row],[Retorno_Diário]]</f>
        <v>0</v>
      </c>
    </row>
    <row r="562" spans="1:8" x14ac:dyDescent="0.2">
      <c r="A562" s="11" t="s">
        <v>3715</v>
      </c>
      <c r="B562" s="4" t="s">
        <v>3717</v>
      </c>
      <c r="C562" s="5">
        <f t="shared" si="12"/>
        <v>4.7308877254871318E-2</v>
      </c>
      <c r="D562" s="5"/>
      <c r="E562" s="5"/>
      <c r="F562" s="5">
        <f>IF(Tabela3[[#This Row],[Retorno_Diário]]&gt;0,1,-1)</f>
        <v>1</v>
      </c>
      <c r="G562" s="5">
        <f>Tabela3[[#This Row],[Sinal_TSMOM]]*(0.4*Tabela3[[#This Row],[Volatilidade]])</f>
        <v>0</v>
      </c>
      <c r="H562" s="5">
        <f>Tabela3[[#This Row],[Position_Size]]*Tabela3[[#This Row],[Retorno_Diário]]</f>
        <v>0</v>
      </c>
    </row>
    <row r="563" spans="1:8" x14ac:dyDescent="0.2">
      <c r="A563" s="11" t="s">
        <v>3721</v>
      </c>
      <c r="B563" s="4" t="s">
        <v>3723</v>
      </c>
      <c r="C563" s="5">
        <f t="shared" si="12"/>
        <v>-1.7532273258600628E-2</v>
      </c>
      <c r="D563" s="5"/>
      <c r="E563" s="5"/>
      <c r="F563" s="5">
        <f>IF(Tabela3[[#This Row],[Retorno_Diário]]&gt;0,1,-1)</f>
        <v>-1</v>
      </c>
      <c r="G563" s="5">
        <f>Tabela3[[#This Row],[Sinal_TSMOM]]*(0.4*Tabela3[[#This Row],[Volatilidade]])</f>
        <v>0</v>
      </c>
      <c r="H563" s="5">
        <f>Tabela3[[#This Row],[Position_Size]]*Tabela3[[#This Row],[Retorno_Diário]]</f>
        <v>0</v>
      </c>
    </row>
    <row r="564" spans="1:8" x14ac:dyDescent="0.2">
      <c r="A564" s="11" t="s">
        <v>3726</v>
      </c>
      <c r="B564" s="4" t="s">
        <v>3728</v>
      </c>
      <c r="C564" s="5">
        <f t="shared" si="12"/>
        <v>5.0884313757896926E-2</v>
      </c>
      <c r="D564" s="5"/>
      <c r="E564" s="5"/>
      <c r="F564" s="5">
        <f>IF(Tabela3[[#This Row],[Retorno_Diário]]&gt;0,1,-1)</f>
        <v>1</v>
      </c>
      <c r="G564" s="5">
        <f>Tabela3[[#This Row],[Sinal_TSMOM]]*(0.4*Tabela3[[#This Row],[Volatilidade]])</f>
        <v>0</v>
      </c>
      <c r="H564" s="5">
        <f>Tabela3[[#This Row],[Position_Size]]*Tabela3[[#This Row],[Retorno_Diário]]</f>
        <v>0</v>
      </c>
    </row>
    <row r="565" spans="1:8" x14ac:dyDescent="0.2">
      <c r="A565" s="11" t="s">
        <v>3731</v>
      </c>
      <c r="B565" s="4" t="s">
        <v>817</v>
      </c>
      <c r="C565" s="5">
        <f t="shared" si="12"/>
        <v>-7.4927295753933754E-3</v>
      </c>
      <c r="D565" s="5"/>
      <c r="E565" s="5"/>
      <c r="F565" s="5">
        <f>IF(Tabela3[[#This Row],[Retorno_Diário]]&gt;0,1,-1)</f>
        <v>-1</v>
      </c>
      <c r="G565" s="5">
        <f>Tabela3[[#This Row],[Sinal_TSMOM]]*(0.4*Tabela3[[#This Row],[Volatilidade]])</f>
        <v>0</v>
      </c>
      <c r="H565" s="5">
        <f>Tabela3[[#This Row],[Position_Size]]*Tabela3[[#This Row],[Retorno_Diário]]</f>
        <v>0</v>
      </c>
    </row>
    <row r="566" spans="1:8" x14ac:dyDescent="0.2">
      <c r="A566" s="11" t="s">
        <v>3735</v>
      </c>
      <c r="B566" s="4" t="s">
        <v>3737</v>
      </c>
      <c r="C566" s="5">
        <f t="shared" si="12"/>
        <v>-7.7883207749334549E-2</v>
      </c>
      <c r="D566" s="5"/>
      <c r="E566" s="5"/>
      <c r="F566" s="5">
        <f>IF(Tabela3[[#This Row],[Retorno_Diário]]&gt;0,1,-1)</f>
        <v>-1</v>
      </c>
      <c r="G566" s="5">
        <f>Tabela3[[#This Row],[Sinal_TSMOM]]*(0.4*Tabela3[[#This Row],[Volatilidade]])</f>
        <v>0</v>
      </c>
      <c r="H566" s="5">
        <f>Tabela3[[#This Row],[Position_Size]]*Tabela3[[#This Row],[Retorno_Diário]]</f>
        <v>0</v>
      </c>
    </row>
    <row r="567" spans="1:8" x14ac:dyDescent="0.2">
      <c r="A567" s="11" t="s">
        <v>3741</v>
      </c>
      <c r="B567" s="4" t="s">
        <v>3743</v>
      </c>
      <c r="C567" s="5">
        <f t="shared" si="12"/>
        <v>5.1014181879473375E-2</v>
      </c>
      <c r="D567" s="5"/>
      <c r="E567" s="5"/>
      <c r="F567" s="5">
        <f>IF(Tabela3[[#This Row],[Retorno_Diário]]&gt;0,1,-1)</f>
        <v>1</v>
      </c>
      <c r="G567" s="5">
        <f>Tabela3[[#This Row],[Sinal_TSMOM]]*(0.4*Tabela3[[#This Row],[Volatilidade]])</f>
        <v>0</v>
      </c>
      <c r="H567" s="5">
        <f>Tabela3[[#This Row],[Position_Size]]*Tabela3[[#This Row],[Retorno_Diário]]</f>
        <v>0</v>
      </c>
    </row>
    <row r="568" spans="1:8" x14ac:dyDescent="0.2">
      <c r="A568" s="11" t="s">
        <v>3746</v>
      </c>
      <c r="B568" s="4" t="s">
        <v>3748</v>
      </c>
      <c r="C568" s="5">
        <f t="shared" si="12"/>
        <v>-4.5249935306786893E-2</v>
      </c>
      <c r="D568" s="5"/>
      <c r="E568" s="5"/>
      <c r="F568" s="5">
        <f>IF(Tabela3[[#This Row],[Retorno_Diário]]&gt;0,1,-1)</f>
        <v>-1</v>
      </c>
      <c r="G568" s="5">
        <f>Tabela3[[#This Row],[Sinal_TSMOM]]*(0.4*Tabela3[[#This Row],[Volatilidade]])</f>
        <v>0</v>
      </c>
      <c r="H568" s="5">
        <f>Tabela3[[#This Row],[Position_Size]]*Tabela3[[#This Row],[Retorno_Diário]]</f>
        <v>0</v>
      </c>
    </row>
    <row r="569" spans="1:8" x14ac:dyDescent="0.2">
      <c r="A569" s="11" t="s">
        <v>3752</v>
      </c>
      <c r="B569" s="4" t="s">
        <v>3754</v>
      </c>
      <c r="C569" s="5">
        <f t="shared" si="12"/>
        <v>0.10040585994160645</v>
      </c>
      <c r="D569" s="5"/>
      <c r="E569" s="5"/>
      <c r="F569" s="5">
        <f>IF(Tabela3[[#This Row],[Retorno_Diário]]&gt;0,1,-1)</f>
        <v>1</v>
      </c>
      <c r="G569" s="5">
        <f>Tabela3[[#This Row],[Sinal_TSMOM]]*(0.4*Tabela3[[#This Row],[Volatilidade]])</f>
        <v>0</v>
      </c>
      <c r="H569" s="5">
        <f>Tabela3[[#This Row],[Position_Size]]*Tabela3[[#This Row],[Retorno_Diário]]</f>
        <v>0</v>
      </c>
    </row>
    <row r="570" spans="1:8" x14ac:dyDescent="0.2">
      <c r="A570" s="11" t="s">
        <v>3759</v>
      </c>
      <c r="B570" s="4" t="s">
        <v>3761</v>
      </c>
      <c r="C570" s="5">
        <f t="shared" si="12"/>
        <v>-3.4910591256753554E-2</v>
      </c>
      <c r="D570" s="5"/>
      <c r="E570" s="5"/>
      <c r="F570" s="5">
        <f>IF(Tabela3[[#This Row],[Retorno_Diário]]&gt;0,1,-1)</f>
        <v>-1</v>
      </c>
      <c r="G570" s="5">
        <f>Tabela3[[#This Row],[Sinal_TSMOM]]*(0.4*Tabela3[[#This Row],[Volatilidade]])</f>
        <v>0</v>
      </c>
      <c r="H570" s="5">
        <f>Tabela3[[#This Row],[Position_Size]]*Tabela3[[#This Row],[Retorno_Diário]]</f>
        <v>0</v>
      </c>
    </row>
    <row r="571" spans="1:8" x14ac:dyDescent="0.2">
      <c r="A571" s="11" t="s">
        <v>3766</v>
      </c>
      <c r="B571" s="4" t="s">
        <v>3768</v>
      </c>
      <c r="C571" s="5">
        <f t="shared" si="12"/>
        <v>3.0575602078017683E-2</v>
      </c>
      <c r="D571" s="5"/>
      <c r="E571" s="5"/>
      <c r="F571" s="5">
        <f>IF(Tabela3[[#This Row],[Retorno_Diário]]&gt;0,1,-1)</f>
        <v>1</v>
      </c>
      <c r="G571" s="5">
        <f>Tabela3[[#This Row],[Sinal_TSMOM]]*(0.4*Tabela3[[#This Row],[Volatilidade]])</f>
        <v>0</v>
      </c>
      <c r="H571" s="5">
        <f>Tabela3[[#This Row],[Position_Size]]*Tabela3[[#This Row],[Retorno_Diário]]</f>
        <v>0</v>
      </c>
    </row>
    <row r="572" spans="1:8" x14ac:dyDescent="0.2">
      <c r="A572" s="11" t="s">
        <v>3773</v>
      </c>
      <c r="B572" s="4" t="s">
        <v>3775</v>
      </c>
      <c r="C572" s="5">
        <f t="shared" si="12"/>
        <v>-1.4984065296986482E-2</v>
      </c>
      <c r="D572" s="5"/>
      <c r="E572" s="5"/>
      <c r="F572" s="5">
        <f>IF(Tabela3[[#This Row],[Retorno_Diário]]&gt;0,1,-1)</f>
        <v>-1</v>
      </c>
      <c r="G572" s="5">
        <f>Tabela3[[#This Row],[Sinal_TSMOM]]*(0.4*Tabela3[[#This Row],[Volatilidade]])</f>
        <v>0</v>
      </c>
      <c r="H572" s="5">
        <f>Tabela3[[#This Row],[Position_Size]]*Tabela3[[#This Row],[Retorno_Diário]]</f>
        <v>0</v>
      </c>
    </row>
    <row r="573" spans="1:8" x14ac:dyDescent="0.2">
      <c r="A573" s="11" t="s">
        <v>3780</v>
      </c>
      <c r="B573" s="4" t="s">
        <v>3782</v>
      </c>
      <c r="C573" s="5">
        <f t="shared" si="12"/>
        <v>2.624075041093854E-2</v>
      </c>
      <c r="D573" s="5"/>
      <c r="E573" s="5"/>
      <c r="F573" s="5">
        <f>IF(Tabela3[[#This Row],[Retorno_Diário]]&gt;0,1,-1)</f>
        <v>1</v>
      </c>
      <c r="G573" s="5">
        <f>Tabela3[[#This Row],[Sinal_TSMOM]]*(0.4*Tabela3[[#This Row],[Volatilidade]])</f>
        <v>0</v>
      </c>
      <c r="H573" s="5">
        <f>Tabela3[[#This Row],[Position_Size]]*Tabela3[[#This Row],[Retorno_Diário]]</f>
        <v>0</v>
      </c>
    </row>
    <row r="574" spans="1:8" x14ac:dyDescent="0.2">
      <c r="A574" s="11" t="s">
        <v>3785</v>
      </c>
      <c r="B574" s="4" t="s">
        <v>3787</v>
      </c>
      <c r="C574" s="5">
        <f t="shared" si="12"/>
        <v>5.2251243858456586E-2</v>
      </c>
      <c r="D574" s="5"/>
      <c r="E574" s="5"/>
      <c r="F574" s="5">
        <f>IF(Tabela3[[#This Row],[Retorno_Diário]]&gt;0,1,-1)</f>
        <v>1</v>
      </c>
      <c r="G574" s="5">
        <f>Tabela3[[#This Row],[Sinal_TSMOM]]*(0.4*Tabela3[[#This Row],[Volatilidade]])</f>
        <v>0</v>
      </c>
      <c r="H574" s="5">
        <f>Tabela3[[#This Row],[Position_Size]]*Tabela3[[#This Row],[Retorno_Diário]]</f>
        <v>0</v>
      </c>
    </row>
    <row r="575" spans="1:8" x14ac:dyDescent="0.2">
      <c r="A575" s="11" t="s">
        <v>3791</v>
      </c>
      <c r="B575" s="4" t="s">
        <v>3793</v>
      </c>
      <c r="C575" s="5">
        <f t="shared" si="12"/>
        <v>-1.0952661347450876E-2</v>
      </c>
      <c r="D575" s="5"/>
      <c r="E575" s="5"/>
      <c r="F575" s="5">
        <f>IF(Tabela3[[#This Row],[Retorno_Diário]]&gt;0,1,-1)</f>
        <v>-1</v>
      </c>
      <c r="G575" s="5">
        <f>Tabela3[[#This Row],[Sinal_TSMOM]]*(0.4*Tabela3[[#This Row],[Volatilidade]])</f>
        <v>0</v>
      </c>
      <c r="H575" s="5">
        <f>Tabela3[[#This Row],[Position_Size]]*Tabela3[[#This Row],[Retorno_Diário]]</f>
        <v>0</v>
      </c>
    </row>
    <row r="576" spans="1:8" x14ac:dyDescent="0.2">
      <c r="A576" s="11" t="s">
        <v>3798</v>
      </c>
      <c r="B576" s="4" t="s">
        <v>3800</v>
      </c>
      <c r="C576" s="5">
        <f t="shared" si="12"/>
        <v>4.9351933401177162E-2</v>
      </c>
      <c r="D576" s="5"/>
      <c r="E576" s="5"/>
      <c r="F576" s="5">
        <f>IF(Tabela3[[#This Row],[Retorno_Diário]]&gt;0,1,-1)</f>
        <v>1</v>
      </c>
      <c r="G576" s="5">
        <f>Tabela3[[#This Row],[Sinal_TSMOM]]*(0.4*Tabela3[[#This Row],[Volatilidade]])</f>
        <v>0</v>
      </c>
      <c r="H576" s="5">
        <f>Tabela3[[#This Row],[Position_Size]]*Tabela3[[#This Row],[Retorno_Diário]]</f>
        <v>0</v>
      </c>
    </row>
    <row r="577" spans="1:8" x14ac:dyDescent="0.2">
      <c r="A577" s="11" t="s">
        <v>3805</v>
      </c>
      <c r="B577" s="4" t="s">
        <v>3807</v>
      </c>
      <c r="C577" s="5">
        <f t="shared" si="12"/>
        <v>-8.0759744807497036E-3</v>
      </c>
      <c r="D577" s="5"/>
      <c r="E577" s="5"/>
      <c r="F577" s="5">
        <f>IF(Tabela3[[#This Row],[Retorno_Diário]]&gt;0,1,-1)</f>
        <v>-1</v>
      </c>
      <c r="G577" s="5">
        <f>Tabela3[[#This Row],[Sinal_TSMOM]]*(0.4*Tabela3[[#This Row],[Volatilidade]])</f>
        <v>0</v>
      </c>
      <c r="H577" s="5">
        <f>Tabela3[[#This Row],[Position_Size]]*Tabela3[[#This Row],[Retorno_Diário]]</f>
        <v>0</v>
      </c>
    </row>
    <row r="578" spans="1:8" x14ac:dyDescent="0.2">
      <c r="A578" s="11" t="s">
        <v>3812</v>
      </c>
      <c r="B578" s="4" t="s">
        <v>3814</v>
      </c>
      <c r="C578" s="5">
        <f t="shared" si="12"/>
        <v>-1.8028202686064754E-2</v>
      </c>
      <c r="D578" s="5"/>
      <c r="E578" s="5"/>
      <c r="F578" s="5">
        <f>IF(Tabela3[[#This Row],[Retorno_Diário]]&gt;0,1,-1)</f>
        <v>-1</v>
      </c>
      <c r="G578" s="5">
        <f>Tabela3[[#This Row],[Sinal_TSMOM]]*(0.4*Tabela3[[#This Row],[Volatilidade]])</f>
        <v>0</v>
      </c>
      <c r="H578" s="5">
        <f>Tabela3[[#This Row],[Position_Size]]*Tabela3[[#This Row],[Retorno_Diário]]</f>
        <v>0</v>
      </c>
    </row>
    <row r="579" spans="1:8" x14ac:dyDescent="0.2">
      <c r="A579" s="11" t="s">
        <v>3818</v>
      </c>
      <c r="B579" s="4" t="s">
        <v>3820</v>
      </c>
      <c r="C579" s="5">
        <f t="shared" ref="C579:C642" si="13">B579/B578-1</f>
        <v>-6.1104327286009119E-2</v>
      </c>
      <c r="D579" s="5"/>
      <c r="E579" s="5"/>
      <c r="F579" s="5">
        <f>IF(Tabela3[[#This Row],[Retorno_Diário]]&gt;0,1,-1)</f>
        <v>-1</v>
      </c>
      <c r="G579" s="5">
        <f>Tabela3[[#This Row],[Sinal_TSMOM]]*(0.4*Tabela3[[#This Row],[Volatilidade]])</f>
        <v>0</v>
      </c>
      <c r="H579" s="5">
        <f>Tabela3[[#This Row],[Position_Size]]*Tabela3[[#This Row],[Retorno_Diário]]</f>
        <v>0</v>
      </c>
    </row>
    <row r="580" spans="1:8" x14ac:dyDescent="0.2">
      <c r="A580" s="11" t="s">
        <v>3825</v>
      </c>
      <c r="B580" s="4" t="s">
        <v>3827</v>
      </c>
      <c r="C580" s="5">
        <f t="shared" si="13"/>
        <v>6.1741662435741862E-2</v>
      </c>
      <c r="D580" s="5"/>
      <c r="E580" s="5"/>
      <c r="F580" s="5">
        <f>IF(Tabela3[[#This Row],[Retorno_Diário]]&gt;0,1,-1)</f>
        <v>1</v>
      </c>
      <c r="G580" s="5">
        <f>Tabela3[[#This Row],[Sinal_TSMOM]]*(0.4*Tabela3[[#This Row],[Volatilidade]])</f>
        <v>0</v>
      </c>
      <c r="H580" s="5">
        <f>Tabela3[[#This Row],[Position_Size]]*Tabela3[[#This Row],[Retorno_Diário]]</f>
        <v>0</v>
      </c>
    </row>
    <row r="581" spans="1:8" x14ac:dyDescent="0.2">
      <c r="A581" s="11" t="s">
        <v>3830</v>
      </c>
      <c r="B581" s="4" t="s">
        <v>3832</v>
      </c>
      <c r="C581" s="5">
        <f t="shared" si="13"/>
        <v>-7.4786197314710146E-3</v>
      </c>
      <c r="D581" s="5"/>
      <c r="E581" s="5"/>
      <c r="F581" s="5">
        <f>IF(Tabela3[[#This Row],[Retorno_Diário]]&gt;0,1,-1)</f>
        <v>-1</v>
      </c>
      <c r="G581" s="5">
        <f>Tabela3[[#This Row],[Sinal_TSMOM]]*(0.4*Tabela3[[#This Row],[Volatilidade]])</f>
        <v>0</v>
      </c>
      <c r="H581" s="5">
        <f>Tabela3[[#This Row],[Position_Size]]*Tabela3[[#This Row],[Retorno_Diário]]</f>
        <v>0</v>
      </c>
    </row>
    <row r="582" spans="1:8" x14ac:dyDescent="0.2">
      <c r="A582" s="11" t="s">
        <v>3837</v>
      </c>
      <c r="B582" s="4" t="s">
        <v>3839</v>
      </c>
      <c r="C582" s="5">
        <f t="shared" si="13"/>
        <v>1.9647216043891413E-2</v>
      </c>
      <c r="D582" s="5"/>
      <c r="E582" s="5"/>
      <c r="F582" s="5">
        <f>IF(Tabela3[[#This Row],[Retorno_Diário]]&gt;0,1,-1)</f>
        <v>1</v>
      </c>
      <c r="G582" s="5">
        <f>Tabela3[[#This Row],[Sinal_TSMOM]]*(0.4*Tabela3[[#This Row],[Volatilidade]])</f>
        <v>0</v>
      </c>
      <c r="H582" s="5">
        <f>Tabela3[[#This Row],[Position_Size]]*Tabela3[[#This Row],[Retorno_Diário]]</f>
        <v>0</v>
      </c>
    </row>
    <row r="583" spans="1:8" x14ac:dyDescent="0.2">
      <c r="A583" s="11" t="s">
        <v>3844</v>
      </c>
      <c r="B583" s="4" t="s">
        <v>3846</v>
      </c>
      <c r="C583" s="5">
        <f t="shared" si="13"/>
        <v>2.5864172063543078E-2</v>
      </c>
      <c r="D583" s="5"/>
      <c r="E583" s="5"/>
      <c r="F583" s="5">
        <f>IF(Tabela3[[#This Row],[Retorno_Diário]]&gt;0,1,-1)</f>
        <v>1</v>
      </c>
      <c r="G583" s="5">
        <f>Tabela3[[#This Row],[Sinal_TSMOM]]*(0.4*Tabela3[[#This Row],[Volatilidade]])</f>
        <v>0</v>
      </c>
      <c r="H583" s="5">
        <f>Tabela3[[#This Row],[Position_Size]]*Tabela3[[#This Row],[Retorno_Diário]]</f>
        <v>0</v>
      </c>
    </row>
    <row r="584" spans="1:8" x14ac:dyDescent="0.2">
      <c r="A584" s="11" t="s">
        <v>3851</v>
      </c>
      <c r="B584" s="4" t="s">
        <v>3853</v>
      </c>
      <c r="C584" s="5">
        <f t="shared" si="13"/>
        <v>-1.9254089807947738E-2</v>
      </c>
      <c r="D584" s="5"/>
      <c r="E584" s="5"/>
      <c r="F584" s="5">
        <f>IF(Tabela3[[#This Row],[Retorno_Diário]]&gt;0,1,-1)</f>
        <v>-1</v>
      </c>
      <c r="G584" s="5">
        <f>Tabela3[[#This Row],[Sinal_TSMOM]]*(0.4*Tabela3[[#This Row],[Volatilidade]])</f>
        <v>0</v>
      </c>
      <c r="H584" s="5">
        <f>Tabela3[[#This Row],[Position_Size]]*Tabela3[[#This Row],[Retorno_Diário]]</f>
        <v>0</v>
      </c>
    </row>
    <row r="585" spans="1:8" x14ac:dyDescent="0.2">
      <c r="A585" s="11" t="s">
        <v>3858</v>
      </c>
      <c r="B585" s="4" t="s">
        <v>3860</v>
      </c>
      <c r="C585" s="5">
        <f t="shared" si="13"/>
        <v>2.4368513166866945E-2</v>
      </c>
      <c r="D585" s="5"/>
      <c r="E585" s="5"/>
      <c r="F585" s="5">
        <f>IF(Tabela3[[#This Row],[Retorno_Diário]]&gt;0,1,-1)</f>
        <v>1</v>
      </c>
      <c r="G585" s="5">
        <f>Tabela3[[#This Row],[Sinal_TSMOM]]*(0.4*Tabela3[[#This Row],[Volatilidade]])</f>
        <v>0</v>
      </c>
      <c r="H585" s="5">
        <f>Tabela3[[#This Row],[Position_Size]]*Tabela3[[#This Row],[Retorno_Diário]]</f>
        <v>0</v>
      </c>
    </row>
    <row r="586" spans="1:8" x14ac:dyDescent="0.2">
      <c r="A586" s="11" t="s">
        <v>3865</v>
      </c>
      <c r="B586" s="4" t="s">
        <v>3867</v>
      </c>
      <c r="C586" s="5">
        <f t="shared" si="13"/>
        <v>-2.0706292857189168E-2</v>
      </c>
      <c r="D586" s="5"/>
      <c r="E586" s="5"/>
      <c r="F586" s="5">
        <f>IF(Tabela3[[#This Row],[Retorno_Diário]]&gt;0,1,-1)</f>
        <v>-1</v>
      </c>
      <c r="G586" s="5">
        <f>Tabela3[[#This Row],[Sinal_TSMOM]]*(0.4*Tabela3[[#This Row],[Volatilidade]])</f>
        <v>0</v>
      </c>
      <c r="H586" s="5">
        <f>Tabela3[[#This Row],[Position_Size]]*Tabela3[[#This Row],[Retorno_Diário]]</f>
        <v>0</v>
      </c>
    </row>
    <row r="587" spans="1:8" x14ac:dyDescent="0.2">
      <c r="A587" s="11" t="s">
        <v>3871</v>
      </c>
      <c r="B587" s="4" t="s">
        <v>3873</v>
      </c>
      <c r="C587" s="5">
        <f t="shared" si="13"/>
        <v>-3.2503104629437618E-2</v>
      </c>
      <c r="D587" s="5"/>
      <c r="E587" s="5"/>
      <c r="F587" s="5">
        <f>IF(Tabela3[[#This Row],[Retorno_Diário]]&gt;0,1,-1)</f>
        <v>-1</v>
      </c>
      <c r="G587" s="5">
        <f>Tabela3[[#This Row],[Sinal_TSMOM]]*(0.4*Tabela3[[#This Row],[Volatilidade]])</f>
        <v>0</v>
      </c>
      <c r="H587" s="5">
        <f>Tabela3[[#This Row],[Position_Size]]*Tabela3[[#This Row],[Retorno_Diário]]</f>
        <v>0</v>
      </c>
    </row>
    <row r="588" spans="1:8" x14ac:dyDescent="0.2">
      <c r="A588" s="11" t="s">
        <v>3877</v>
      </c>
      <c r="B588" s="4" t="s">
        <v>3879</v>
      </c>
      <c r="C588" s="5">
        <f t="shared" si="13"/>
        <v>3.0094060252737531E-2</v>
      </c>
      <c r="D588" s="5"/>
      <c r="E588" s="5"/>
      <c r="F588" s="5">
        <f>IF(Tabela3[[#This Row],[Retorno_Diário]]&gt;0,1,-1)</f>
        <v>1</v>
      </c>
      <c r="G588" s="5">
        <f>Tabela3[[#This Row],[Sinal_TSMOM]]*(0.4*Tabela3[[#This Row],[Volatilidade]])</f>
        <v>0</v>
      </c>
      <c r="H588" s="5">
        <f>Tabela3[[#This Row],[Position_Size]]*Tabela3[[#This Row],[Retorno_Diário]]</f>
        <v>0</v>
      </c>
    </row>
    <row r="589" spans="1:8" x14ac:dyDescent="0.2">
      <c r="A589" s="11" t="s">
        <v>3883</v>
      </c>
      <c r="B589" s="4" t="s">
        <v>3885</v>
      </c>
      <c r="C589" s="5">
        <f t="shared" si="13"/>
        <v>8.4108909221689565E-3</v>
      </c>
      <c r="D589" s="5"/>
      <c r="E589" s="5"/>
      <c r="F589" s="5">
        <f>IF(Tabela3[[#This Row],[Retorno_Diário]]&gt;0,1,-1)</f>
        <v>1</v>
      </c>
      <c r="G589" s="5">
        <f>Tabela3[[#This Row],[Sinal_TSMOM]]*(0.4*Tabela3[[#This Row],[Volatilidade]])</f>
        <v>0</v>
      </c>
      <c r="H589" s="5">
        <f>Tabela3[[#This Row],[Position_Size]]*Tabela3[[#This Row],[Retorno_Diário]]</f>
        <v>0</v>
      </c>
    </row>
    <row r="590" spans="1:8" x14ac:dyDescent="0.2">
      <c r="A590" s="11" t="s">
        <v>3889</v>
      </c>
      <c r="B590" s="4" t="s">
        <v>3891</v>
      </c>
      <c r="C590" s="5">
        <f t="shared" si="13"/>
        <v>1.3787661596074585E-2</v>
      </c>
      <c r="D590" s="5"/>
      <c r="E590" s="5"/>
      <c r="F590" s="5">
        <f>IF(Tabela3[[#This Row],[Retorno_Diário]]&gt;0,1,-1)</f>
        <v>1</v>
      </c>
      <c r="G590" s="5">
        <f>Tabela3[[#This Row],[Sinal_TSMOM]]*(0.4*Tabela3[[#This Row],[Volatilidade]])</f>
        <v>0</v>
      </c>
      <c r="H590" s="5">
        <f>Tabela3[[#This Row],[Position_Size]]*Tabela3[[#This Row],[Retorno_Diário]]</f>
        <v>0</v>
      </c>
    </row>
    <row r="591" spans="1:8" x14ac:dyDescent="0.2">
      <c r="A591" s="11" t="s">
        <v>3896</v>
      </c>
      <c r="B591" s="4" t="s">
        <v>3898</v>
      </c>
      <c r="C591" s="5">
        <f t="shared" si="13"/>
        <v>2.377515024237753E-2</v>
      </c>
      <c r="D591" s="5"/>
      <c r="E591" s="5"/>
      <c r="F591" s="5">
        <f>IF(Tabela3[[#This Row],[Retorno_Diário]]&gt;0,1,-1)</f>
        <v>1</v>
      </c>
      <c r="G591" s="5">
        <f>Tabela3[[#This Row],[Sinal_TSMOM]]*(0.4*Tabela3[[#This Row],[Volatilidade]])</f>
        <v>0</v>
      </c>
      <c r="H591" s="5">
        <f>Tabela3[[#This Row],[Position_Size]]*Tabela3[[#This Row],[Retorno_Diário]]</f>
        <v>0</v>
      </c>
    </row>
    <row r="592" spans="1:8" x14ac:dyDescent="0.2">
      <c r="A592" s="11" t="s">
        <v>3903</v>
      </c>
      <c r="B592" s="4" t="s">
        <v>3905</v>
      </c>
      <c r="C592" s="5">
        <f t="shared" si="13"/>
        <v>2.5027077131286601E-2</v>
      </c>
      <c r="D592" s="5"/>
      <c r="E592" s="5"/>
      <c r="F592" s="5">
        <f>IF(Tabela3[[#This Row],[Retorno_Diário]]&gt;0,1,-1)</f>
        <v>1</v>
      </c>
      <c r="G592" s="5">
        <f>Tabela3[[#This Row],[Sinal_TSMOM]]*(0.4*Tabela3[[#This Row],[Volatilidade]])</f>
        <v>0</v>
      </c>
      <c r="H592" s="5">
        <f>Tabela3[[#This Row],[Position_Size]]*Tabela3[[#This Row],[Retorno_Diário]]</f>
        <v>0</v>
      </c>
    </row>
    <row r="593" spans="1:8" x14ac:dyDescent="0.2">
      <c r="A593" s="11" t="s">
        <v>3910</v>
      </c>
      <c r="B593" s="4" t="s">
        <v>3912</v>
      </c>
      <c r="C593" s="5">
        <f t="shared" si="13"/>
        <v>3.238403320312444E-2</v>
      </c>
      <c r="D593" s="5"/>
      <c r="E593" s="5"/>
      <c r="F593" s="5">
        <f>IF(Tabela3[[#This Row],[Retorno_Diário]]&gt;0,1,-1)</f>
        <v>1</v>
      </c>
      <c r="G593" s="5">
        <f>Tabela3[[#This Row],[Sinal_TSMOM]]*(0.4*Tabela3[[#This Row],[Volatilidade]])</f>
        <v>0</v>
      </c>
      <c r="H593" s="5">
        <f>Tabela3[[#This Row],[Position_Size]]*Tabela3[[#This Row],[Retorno_Diário]]</f>
        <v>0</v>
      </c>
    </row>
    <row r="594" spans="1:8" x14ac:dyDescent="0.2">
      <c r="A594" s="11" t="s">
        <v>3917</v>
      </c>
      <c r="B594" s="4" t="s">
        <v>3919</v>
      </c>
      <c r="C594" s="5">
        <f t="shared" si="13"/>
        <v>-3.2608081312098913E-2</v>
      </c>
      <c r="D594" s="5"/>
      <c r="E594" s="5"/>
      <c r="F594" s="5">
        <f>IF(Tabela3[[#This Row],[Retorno_Diário]]&gt;0,1,-1)</f>
        <v>-1</v>
      </c>
      <c r="G594" s="5">
        <f>Tabela3[[#This Row],[Sinal_TSMOM]]*(0.4*Tabela3[[#This Row],[Volatilidade]])</f>
        <v>0</v>
      </c>
      <c r="H594" s="5">
        <f>Tabela3[[#This Row],[Position_Size]]*Tabela3[[#This Row],[Retorno_Diário]]</f>
        <v>0</v>
      </c>
    </row>
    <row r="595" spans="1:8" x14ac:dyDescent="0.2">
      <c r="A595" s="11" t="s">
        <v>3924</v>
      </c>
      <c r="B595" s="4" t="s">
        <v>3926</v>
      </c>
      <c r="C595" s="5">
        <f t="shared" si="13"/>
        <v>-2.8836349849178378E-3</v>
      </c>
      <c r="D595" s="5"/>
      <c r="E595" s="5"/>
      <c r="F595" s="5">
        <f>IF(Tabela3[[#This Row],[Retorno_Diário]]&gt;0,1,-1)</f>
        <v>-1</v>
      </c>
      <c r="G595" s="5">
        <f>Tabela3[[#This Row],[Sinal_TSMOM]]*(0.4*Tabela3[[#This Row],[Volatilidade]])</f>
        <v>0</v>
      </c>
      <c r="H595" s="5">
        <f>Tabela3[[#This Row],[Position_Size]]*Tabela3[[#This Row],[Retorno_Diário]]</f>
        <v>0</v>
      </c>
    </row>
    <row r="596" spans="1:8" x14ac:dyDescent="0.2">
      <c r="A596" s="11" t="s">
        <v>3931</v>
      </c>
      <c r="B596" s="4" t="s">
        <v>3933</v>
      </c>
      <c r="C596" s="5">
        <f t="shared" si="13"/>
        <v>3.2197968563437929E-2</v>
      </c>
      <c r="D596" s="5"/>
      <c r="E596" s="5"/>
      <c r="F596" s="5">
        <f>IF(Tabela3[[#This Row],[Retorno_Diário]]&gt;0,1,-1)</f>
        <v>1</v>
      </c>
      <c r="G596" s="5">
        <f>Tabela3[[#This Row],[Sinal_TSMOM]]*(0.4*Tabela3[[#This Row],[Volatilidade]])</f>
        <v>0</v>
      </c>
      <c r="H596" s="5">
        <f>Tabela3[[#This Row],[Position_Size]]*Tabela3[[#This Row],[Retorno_Diário]]</f>
        <v>0</v>
      </c>
    </row>
    <row r="597" spans="1:8" x14ac:dyDescent="0.2">
      <c r="A597" s="11" t="s">
        <v>3938</v>
      </c>
      <c r="B597" s="4" t="s">
        <v>3940</v>
      </c>
      <c r="C597" s="5">
        <f t="shared" si="13"/>
        <v>5.7312729868097101E-2</v>
      </c>
      <c r="D597" s="5"/>
      <c r="E597" s="5"/>
      <c r="F597" s="5">
        <f>IF(Tabela3[[#This Row],[Retorno_Diário]]&gt;0,1,-1)</f>
        <v>1</v>
      </c>
      <c r="G597" s="5">
        <f>Tabela3[[#This Row],[Sinal_TSMOM]]*(0.4*Tabela3[[#This Row],[Volatilidade]])</f>
        <v>0</v>
      </c>
      <c r="H597" s="5">
        <f>Tabela3[[#This Row],[Position_Size]]*Tabela3[[#This Row],[Retorno_Diário]]</f>
        <v>0</v>
      </c>
    </row>
    <row r="598" spans="1:8" x14ac:dyDescent="0.2">
      <c r="A598" s="11" t="s">
        <v>3945</v>
      </c>
      <c r="B598" s="4" t="s">
        <v>3947</v>
      </c>
      <c r="C598" s="5">
        <f t="shared" si="13"/>
        <v>3.0562617001510306E-2</v>
      </c>
      <c r="D598" s="5"/>
      <c r="E598" s="5"/>
      <c r="F598" s="5">
        <f>IF(Tabela3[[#This Row],[Retorno_Diário]]&gt;0,1,-1)</f>
        <v>1</v>
      </c>
      <c r="G598" s="5">
        <f>Tabela3[[#This Row],[Sinal_TSMOM]]*(0.4*Tabela3[[#This Row],[Volatilidade]])</f>
        <v>0</v>
      </c>
      <c r="H598" s="5">
        <f>Tabela3[[#This Row],[Position_Size]]*Tabela3[[#This Row],[Retorno_Diário]]</f>
        <v>0</v>
      </c>
    </row>
    <row r="599" spans="1:8" x14ac:dyDescent="0.2">
      <c r="A599" s="11" t="s">
        <v>3952</v>
      </c>
      <c r="B599" s="4" t="s">
        <v>3954</v>
      </c>
      <c r="C599" s="5">
        <f t="shared" si="13"/>
        <v>6.3141245923021838E-3</v>
      </c>
      <c r="D599" s="5"/>
      <c r="E599" s="5"/>
      <c r="F599" s="5">
        <f>IF(Tabela3[[#This Row],[Retorno_Diário]]&gt;0,1,-1)</f>
        <v>1</v>
      </c>
      <c r="G599" s="5">
        <f>Tabela3[[#This Row],[Sinal_TSMOM]]*(0.4*Tabela3[[#This Row],[Volatilidade]])</f>
        <v>0</v>
      </c>
      <c r="H599" s="5">
        <f>Tabela3[[#This Row],[Position_Size]]*Tabela3[[#This Row],[Retorno_Diário]]</f>
        <v>0</v>
      </c>
    </row>
    <row r="600" spans="1:8" x14ac:dyDescent="0.2">
      <c r="A600" s="11" t="s">
        <v>3959</v>
      </c>
      <c r="B600" s="4" t="s">
        <v>3961</v>
      </c>
      <c r="C600" s="5">
        <f t="shared" si="13"/>
        <v>1.8681532671752432E-2</v>
      </c>
      <c r="D600" s="5"/>
      <c r="E600" s="5"/>
      <c r="F600" s="5">
        <f>IF(Tabela3[[#This Row],[Retorno_Diário]]&gt;0,1,-1)</f>
        <v>1</v>
      </c>
      <c r="G600" s="5">
        <f>Tabela3[[#This Row],[Sinal_TSMOM]]*(0.4*Tabela3[[#This Row],[Volatilidade]])</f>
        <v>0</v>
      </c>
      <c r="H600" s="5">
        <f>Tabela3[[#This Row],[Position_Size]]*Tabela3[[#This Row],[Retorno_Diário]]</f>
        <v>0</v>
      </c>
    </row>
    <row r="601" spans="1:8" x14ac:dyDescent="0.2">
      <c r="A601" s="11" t="s">
        <v>3966</v>
      </c>
      <c r="B601" s="4" t="s">
        <v>3968</v>
      </c>
      <c r="C601" s="5">
        <f t="shared" si="13"/>
        <v>-2.1711240396409592E-2</v>
      </c>
      <c r="D601" s="5"/>
      <c r="E601" s="5"/>
      <c r="F601" s="5">
        <f>IF(Tabela3[[#This Row],[Retorno_Diário]]&gt;0,1,-1)</f>
        <v>-1</v>
      </c>
      <c r="G601" s="5">
        <f>Tabela3[[#This Row],[Sinal_TSMOM]]*(0.4*Tabela3[[#This Row],[Volatilidade]])</f>
        <v>0</v>
      </c>
      <c r="H601" s="5">
        <f>Tabela3[[#This Row],[Position_Size]]*Tabela3[[#This Row],[Retorno_Diário]]</f>
        <v>0</v>
      </c>
    </row>
    <row r="602" spans="1:8" x14ac:dyDescent="0.2">
      <c r="A602" s="11" t="s">
        <v>3973</v>
      </c>
      <c r="B602" s="4" t="s">
        <v>3975</v>
      </c>
      <c r="C602" s="5">
        <f t="shared" si="13"/>
        <v>2.8603109682893368E-2</v>
      </c>
      <c r="D602" s="5"/>
      <c r="E602" s="5"/>
      <c r="F602" s="5">
        <f>IF(Tabela3[[#This Row],[Retorno_Diário]]&gt;0,1,-1)</f>
        <v>1</v>
      </c>
      <c r="G602" s="5">
        <f>Tabela3[[#This Row],[Sinal_TSMOM]]*(0.4*Tabela3[[#This Row],[Volatilidade]])</f>
        <v>0</v>
      </c>
      <c r="H602" s="5">
        <f>Tabela3[[#This Row],[Position_Size]]*Tabela3[[#This Row],[Retorno_Diário]]</f>
        <v>0</v>
      </c>
    </row>
    <row r="603" spans="1:8" x14ac:dyDescent="0.2">
      <c r="A603" s="11" t="s">
        <v>3980</v>
      </c>
      <c r="B603" s="4" t="s">
        <v>3982</v>
      </c>
      <c r="C603" s="5">
        <f t="shared" si="13"/>
        <v>-3.4178124229704121E-2</v>
      </c>
      <c r="D603" s="5"/>
      <c r="E603" s="5"/>
      <c r="F603" s="5">
        <f>IF(Tabela3[[#This Row],[Retorno_Diário]]&gt;0,1,-1)</f>
        <v>-1</v>
      </c>
      <c r="G603" s="5">
        <f>Tabela3[[#This Row],[Sinal_TSMOM]]*(0.4*Tabela3[[#This Row],[Volatilidade]])</f>
        <v>0</v>
      </c>
      <c r="H603" s="5">
        <f>Tabela3[[#This Row],[Position_Size]]*Tabela3[[#This Row],[Retorno_Diário]]</f>
        <v>0</v>
      </c>
    </row>
    <row r="604" spans="1:8" x14ac:dyDescent="0.2">
      <c r="A604" s="11" t="s">
        <v>3987</v>
      </c>
      <c r="B604" s="4" t="s">
        <v>3989</v>
      </c>
      <c r="C604" s="5">
        <f t="shared" si="13"/>
        <v>-2.2081290435646217E-2</v>
      </c>
      <c r="D604" s="5"/>
      <c r="E604" s="5"/>
      <c r="F604" s="5">
        <f>IF(Tabela3[[#This Row],[Retorno_Diário]]&gt;0,1,-1)</f>
        <v>-1</v>
      </c>
      <c r="G604" s="5">
        <f>Tabela3[[#This Row],[Sinal_TSMOM]]*(0.4*Tabela3[[#This Row],[Volatilidade]])</f>
        <v>0</v>
      </c>
      <c r="H604" s="5">
        <f>Tabela3[[#This Row],[Position_Size]]*Tabela3[[#This Row],[Retorno_Diário]]</f>
        <v>0</v>
      </c>
    </row>
    <row r="605" spans="1:8" x14ac:dyDescent="0.2">
      <c r="A605" s="11" t="s">
        <v>3994</v>
      </c>
      <c r="B605" s="4" t="s">
        <v>3996</v>
      </c>
      <c r="C605" s="5">
        <f t="shared" si="13"/>
        <v>-4.4866681365681726E-3</v>
      </c>
      <c r="D605" s="5"/>
      <c r="E605" s="5"/>
      <c r="F605" s="5">
        <f>IF(Tabela3[[#This Row],[Retorno_Diário]]&gt;0,1,-1)</f>
        <v>-1</v>
      </c>
      <c r="G605" s="5">
        <f>Tabela3[[#This Row],[Sinal_TSMOM]]*(0.4*Tabela3[[#This Row],[Volatilidade]])</f>
        <v>0</v>
      </c>
      <c r="H605" s="5">
        <f>Tabela3[[#This Row],[Position_Size]]*Tabela3[[#This Row],[Retorno_Diário]]</f>
        <v>0</v>
      </c>
    </row>
    <row r="606" spans="1:8" x14ac:dyDescent="0.2">
      <c r="A606" s="11" t="s">
        <v>4000</v>
      </c>
      <c r="B606" s="4" t="s">
        <v>4002</v>
      </c>
      <c r="C606" s="5">
        <f t="shared" si="13"/>
        <v>4.577580283315541E-2</v>
      </c>
      <c r="D606" s="5"/>
      <c r="E606" s="5"/>
      <c r="F606" s="5">
        <f>IF(Tabela3[[#This Row],[Retorno_Diário]]&gt;0,1,-1)</f>
        <v>1</v>
      </c>
      <c r="G606" s="5">
        <f>Tabela3[[#This Row],[Sinal_TSMOM]]*(0.4*Tabela3[[#This Row],[Volatilidade]])</f>
        <v>0</v>
      </c>
      <c r="H606" s="5">
        <f>Tabela3[[#This Row],[Position_Size]]*Tabela3[[#This Row],[Retorno_Diário]]</f>
        <v>0</v>
      </c>
    </row>
    <row r="607" spans="1:8" x14ac:dyDescent="0.2">
      <c r="A607" s="11" t="s">
        <v>4006</v>
      </c>
      <c r="B607" s="4" t="s">
        <v>4008</v>
      </c>
      <c r="C607" s="5">
        <f t="shared" si="13"/>
        <v>-7.8023896067275222E-3</v>
      </c>
      <c r="D607" s="5"/>
      <c r="E607" s="5"/>
      <c r="F607" s="5">
        <f>IF(Tabela3[[#This Row],[Retorno_Diário]]&gt;0,1,-1)</f>
        <v>-1</v>
      </c>
      <c r="G607" s="5">
        <f>Tabela3[[#This Row],[Sinal_TSMOM]]*(0.4*Tabela3[[#This Row],[Volatilidade]])</f>
        <v>0</v>
      </c>
      <c r="H607" s="5">
        <f>Tabela3[[#This Row],[Position_Size]]*Tabela3[[#This Row],[Retorno_Diário]]</f>
        <v>0</v>
      </c>
    </row>
    <row r="608" spans="1:8" x14ac:dyDescent="0.2">
      <c r="A608" s="11" t="s">
        <v>4013</v>
      </c>
      <c r="B608" s="4" t="s">
        <v>3978</v>
      </c>
      <c r="C608" s="5">
        <f t="shared" si="13"/>
        <v>2.1575647101552686E-3</v>
      </c>
      <c r="D608" s="5"/>
      <c r="E608" s="5"/>
      <c r="F608" s="5">
        <f>IF(Tabela3[[#This Row],[Retorno_Diário]]&gt;0,1,-1)</f>
        <v>1</v>
      </c>
      <c r="G608" s="5">
        <f>Tabela3[[#This Row],[Sinal_TSMOM]]*(0.4*Tabela3[[#This Row],[Volatilidade]])</f>
        <v>0</v>
      </c>
      <c r="H608" s="5">
        <f>Tabela3[[#This Row],[Position_Size]]*Tabela3[[#This Row],[Retorno_Diário]]</f>
        <v>0</v>
      </c>
    </row>
    <row r="609" spans="1:8" x14ac:dyDescent="0.2">
      <c r="A609" s="11" t="s">
        <v>4019</v>
      </c>
      <c r="B609" s="4" t="s">
        <v>4021</v>
      </c>
      <c r="C609" s="5">
        <f t="shared" si="13"/>
        <v>-6.3170896304228785E-3</v>
      </c>
      <c r="D609" s="5"/>
      <c r="E609" s="5"/>
      <c r="F609" s="5">
        <f>IF(Tabela3[[#This Row],[Retorno_Diário]]&gt;0,1,-1)</f>
        <v>-1</v>
      </c>
      <c r="G609" s="5">
        <f>Tabela3[[#This Row],[Sinal_TSMOM]]*(0.4*Tabela3[[#This Row],[Volatilidade]])</f>
        <v>0</v>
      </c>
      <c r="H609" s="5">
        <f>Tabela3[[#This Row],[Position_Size]]*Tabela3[[#This Row],[Retorno_Diário]]</f>
        <v>0</v>
      </c>
    </row>
    <row r="610" spans="1:8" x14ac:dyDescent="0.2">
      <c r="A610" s="11" t="s">
        <v>4026</v>
      </c>
      <c r="B610" s="4" t="s">
        <v>4028</v>
      </c>
      <c r="C610" s="5">
        <f t="shared" si="13"/>
        <v>-3.4201559960800321E-4</v>
      </c>
      <c r="D610" s="5"/>
      <c r="E610" s="5"/>
      <c r="F610" s="5">
        <f>IF(Tabela3[[#This Row],[Retorno_Diário]]&gt;0,1,-1)</f>
        <v>-1</v>
      </c>
      <c r="G610" s="5">
        <f>Tabela3[[#This Row],[Sinal_TSMOM]]*(0.4*Tabela3[[#This Row],[Volatilidade]])</f>
        <v>0</v>
      </c>
      <c r="H610" s="5">
        <f>Tabela3[[#This Row],[Position_Size]]*Tabela3[[#This Row],[Retorno_Diário]]</f>
        <v>0</v>
      </c>
    </row>
    <row r="611" spans="1:8" x14ac:dyDescent="0.2">
      <c r="A611" s="11" t="s">
        <v>4033</v>
      </c>
      <c r="B611" s="4" t="s">
        <v>4035</v>
      </c>
      <c r="C611" s="5">
        <f t="shared" si="13"/>
        <v>1.7509792390230539E-2</v>
      </c>
      <c r="D611" s="5"/>
      <c r="E611" s="5"/>
      <c r="F611" s="5">
        <f>IF(Tabela3[[#This Row],[Retorno_Diário]]&gt;0,1,-1)</f>
        <v>1</v>
      </c>
      <c r="G611" s="5">
        <f>Tabela3[[#This Row],[Sinal_TSMOM]]*(0.4*Tabela3[[#This Row],[Volatilidade]])</f>
        <v>0</v>
      </c>
      <c r="H611" s="5">
        <f>Tabela3[[#This Row],[Position_Size]]*Tabela3[[#This Row],[Retorno_Diário]]</f>
        <v>0</v>
      </c>
    </row>
    <row r="612" spans="1:8" x14ac:dyDescent="0.2">
      <c r="A612" s="11" t="s">
        <v>4040</v>
      </c>
      <c r="B612" s="4" t="s">
        <v>4042</v>
      </c>
      <c r="C612" s="5">
        <f t="shared" si="13"/>
        <v>-1.2892350911945294E-2</v>
      </c>
      <c r="D612" s="5"/>
      <c r="E612" s="5"/>
      <c r="F612" s="5">
        <f>IF(Tabela3[[#This Row],[Retorno_Diário]]&gt;0,1,-1)</f>
        <v>-1</v>
      </c>
      <c r="G612" s="5">
        <f>Tabela3[[#This Row],[Sinal_TSMOM]]*(0.4*Tabela3[[#This Row],[Volatilidade]])</f>
        <v>0</v>
      </c>
      <c r="H612" s="5">
        <f>Tabela3[[#This Row],[Position_Size]]*Tabela3[[#This Row],[Retorno_Diário]]</f>
        <v>0</v>
      </c>
    </row>
    <row r="613" spans="1:8" x14ac:dyDescent="0.2">
      <c r="A613" s="11" t="s">
        <v>4047</v>
      </c>
      <c r="B613" s="4" t="s">
        <v>4049</v>
      </c>
      <c r="C613" s="5">
        <f t="shared" si="13"/>
        <v>2.737072270855978E-2</v>
      </c>
      <c r="D613" s="5"/>
      <c r="E613" s="5"/>
      <c r="F613" s="5">
        <f>IF(Tabela3[[#This Row],[Retorno_Diário]]&gt;0,1,-1)</f>
        <v>1</v>
      </c>
      <c r="G613" s="5">
        <f>Tabela3[[#This Row],[Sinal_TSMOM]]*(0.4*Tabela3[[#This Row],[Volatilidade]])</f>
        <v>0</v>
      </c>
      <c r="H613" s="5">
        <f>Tabela3[[#This Row],[Position_Size]]*Tabela3[[#This Row],[Retorno_Diário]]</f>
        <v>0</v>
      </c>
    </row>
    <row r="614" spans="1:8" x14ac:dyDescent="0.2">
      <c r="A614" s="11" t="s">
        <v>4054</v>
      </c>
      <c r="B614" s="4" t="s">
        <v>4056</v>
      </c>
      <c r="C614" s="5">
        <f t="shared" si="13"/>
        <v>3.5457688844077184E-2</v>
      </c>
      <c r="D614" s="5"/>
      <c r="E614" s="5"/>
      <c r="F614" s="5">
        <f>IF(Tabela3[[#This Row],[Retorno_Diário]]&gt;0,1,-1)</f>
        <v>1</v>
      </c>
      <c r="G614" s="5">
        <f>Tabela3[[#This Row],[Sinal_TSMOM]]*(0.4*Tabela3[[#This Row],[Volatilidade]])</f>
        <v>0</v>
      </c>
      <c r="H614" s="5">
        <f>Tabela3[[#This Row],[Position_Size]]*Tabela3[[#This Row],[Retorno_Diário]]</f>
        <v>0</v>
      </c>
    </row>
    <row r="615" spans="1:8" x14ac:dyDescent="0.2">
      <c r="A615" s="11" t="s">
        <v>4061</v>
      </c>
      <c r="B615" s="4" t="s">
        <v>4017</v>
      </c>
      <c r="C615" s="5">
        <f t="shared" si="13"/>
        <v>-6.0906871067465063E-2</v>
      </c>
      <c r="D615" s="5"/>
      <c r="E615" s="5"/>
      <c r="F615" s="5">
        <f>IF(Tabela3[[#This Row],[Retorno_Diário]]&gt;0,1,-1)</f>
        <v>-1</v>
      </c>
      <c r="G615" s="5">
        <f>Tabela3[[#This Row],[Sinal_TSMOM]]*(0.4*Tabela3[[#This Row],[Volatilidade]])</f>
        <v>0</v>
      </c>
      <c r="H615" s="5">
        <f>Tabela3[[#This Row],[Position_Size]]*Tabela3[[#This Row],[Retorno_Diário]]</f>
        <v>0</v>
      </c>
    </row>
    <row r="616" spans="1:8" x14ac:dyDescent="0.2">
      <c r="A616" s="11" t="s">
        <v>4067</v>
      </c>
      <c r="B616" s="4" t="s">
        <v>4069</v>
      </c>
      <c r="C616" s="5">
        <f t="shared" si="13"/>
        <v>1.5489502562845647E-2</v>
      </c>
      <c r="D616" s="5"/>
      <c r="E616" s="5"/>
      <c r="F616" s="5">
        <f>IF(Tabela3[[#This Row],[Retorno_Diário]]&gt;0,1,-1)</f>
        <v>1</v>
      </c>
      <c r="G616" s="5">
        <f>Tabela3[[#This Row],[Sinal_TSMOM]]*(0.4*Tabela3[[#This Row],[Volatilidade]])</f>
        <v>0</v>
      </c>
      <c r="H616" s="5">
        <f>Tabela3[[#This Row],[Position_Size]]*Tabela3[[#This Row],[Retorno_Diário]]</f>
        <v>0</v>
      </c>
    </row>
    <row r="617" spans="1:8" x14ac:dyDescent="0.2">
      <c r="A617" s="11" t="s">
        <v>4074</v>
      </c>
      <c r="B617" s="4" t="s">
        <v>4076</v>
      </c>
      <c r="C617" s="5">
        <f t="shared" si="13"/>
        <v>2.7008121045374089E-2</v>
      </c>
      <c r="D617" s="5"/>
      <c r="E617" s="5"/>
      <c r="F617" s="5">
        <f>IF(Tabela3[[#This Row],[Retorno_Diário]]&gt;0,1,-1)</f>
        <v>1</v>
      </c>
      <c r="G617" s="5">
        <f>Tabela3[[#This Row],[Sinal_TSMOM]]*(0.4*Tabela3[[#This Row],[Volatilidade]])</f>
        <v>0</v>
      </c>
      <c r="H617" s="5">
        <f>Tabela3[[#This Row],[Position_Size]]*Tabela3[[#This Row],[Retorno_Diário]]</f>
        <v>0</v>
      </c>
    </row>
    <row r="618" spans="1:8" x14ac:dyDescent="0.2">
      <c r="A618" s="11" t="s">
        <v>4081</v>
      </c>
      <c r="B618" s="4" t="s">
        <v>4083</v>
      </c>
      <c r="C618" s="5">
        <f t="shared" si="13"/>
        <v>-1.1472991901551599E-2</v>
      </c>
      <c r="D618" s="5"/>
      <c r="E618" s="5"/>
      <c r="F618" s="5">
        <f>IF(Tabela3[[#This Row],[Retorno_Diário]]&gt;0,1,-1)</f>
        <v>-1</v>
      </c>
      <c r="G618" s="5">
        <f>Tabela3[[#This Row],[Sinal_TSMOM]]*(0.4*Tabela3[[#This Row],[Volatilidade]])</f>
        <v>0</v>
      </c>
      <c r="H618" s="5">
        <f>Tabela3[[#This Row],[Position_Size]]*Tabela3[[#This Row],[Retorno_Diário]]</f>
        <v>0</v>
      </c>
    </row>
    <row r="619" spans="1:8" x14ac:dyDescent="0.2">
      <c r="A619" s="11" t="s">
        <v>4088</v>
      </c>
      <c r="B619" s="4" t="s">
        <v>4090</v>
      </c>
      <c r="C619" s="5">
        <f t="shared" si="13"/>
        <v>1.8470585426811903E-2</v>
      </c>
      <c r="D619" s="5"/>
      <c r="E619" s="5"/>
      <c r="F619" s="5">
        <f>IF(Tabela3[[#This Row],[Retorno_Diário]]&gt;0,1,-1)</f>
        <v>1</v>
      </c>
      <c r="G619" s="5">
        <f>Tabela3[[#This Row],[Sinal_TSMOM]]*(0.4*Tabela3[[#This Row],[Volatilidade]])</f>
        <v>0</v>
      </c>
      <c r="H619" s="5">
        <f>Tabela3[[#This Row],[Position_Size]]*Tabela3[[#This Row],[Retorno_Diário]]</f>
        <v>0</v>
      </c>
    </row>
    <row r="620" spans="1:8" x14ac:dyDescent="0.2">
      <c r="A620" s="11" t="s">
        <v>4095</v>
      </c>
      <c r="B620" s="4" t="s">
        <v>4097</v>
      </c>
      <c r="C620" s="5">
        <f t="shared" si="13"/>
        <v>-1.9488576146493575E-3</v>
      </c>
      <c r="D620" s="5"/>
      <c r="E620" s="5"/>
      <c r="F620" s="5">
        <f>IF(Tabela3[[#This Row],[Retorno_Diário]]&gt;0,1,-1)</f>
        <v>-1</v>
      </c>
      <c r="G620" s="5">
        <f>Tabela3[[#This Row],[Sinal_TSMOM]]*(0.4*Tabela3[[#This Row],[Volatilidade]])</f>
        <v>0</v>
      </c>
      <c r="H620" s="5">
        <f>Tabela3[[#This Row],[Position_Size]]*Tabela3[[#This Row],[Retorno_Diário]]</f>
        <v>0</v>
      </c>
    </row>
    <row r="621" spans="1:8" x14ac:dyDescent="0.2">
      <c r="A621" s="11" t="s">
        <v>4102</v>
      </c>
      <c r="B621" s="4" t="s">
        <v>4063</v>
      </c>
      <c r="C621" s="5">
        <f t="shared" si="13"/>
        <v>4.6918125749677575E-3</v>
      </c>
      <c r="D621" s="5"/>
      <c r="E621" s="5"/>
      <c r="F621" s="5">
        <f>IF(Tabela3[[#This Row],[Retorno_Diário]]&gt;0,1,-1)</f>
        <v>1</v>
      </c>
      <c r="G621" s="5">
        <f>Tabela3[[#This Row],[Sinal_TSMOM]]*(0.4*Tabela3[[#This Row],[Volatilidade]])</f>
        <v>0</v>
      </c>
      <c r="H621" s="5">
        <f>Tabela3[[#This Row],[Position_Size]]*Tabela3[[#This Row],[Retorno_Diário]]</f>
        <v>0</v>
      </c>
    </row>
    <row r="622" spans="1:8" x14ac:dyDescent="0.2">
      <c r="A622" s="11" t="s">
        <v>4108</v>
      </c>
      <c r="B622" s="4" t="s">
        <v>4110</v>
      </c>
      <c r="C622" s="5">
        <f t="shared" si="13"/>
        <v>2.8667845246338253E-2</v>
      </c>
      <c r="D622" s="5"/>
      <c r="E622" s="5"/>
      <c r="F622" s="5">
        <f>IF(Tabela3[[#This Row],[Retorno_Diário]]&gt;0,1,-1)</f>
        <v>1</v>
      </c>
      <c r="G622" s="5">
        <f>Tabela3[[#This Row],[Sinal_TSMOM]]*(0.4*Tabela3[[#This Row],[Volatilidade]])</f>
        <v>0</v>
      </c>
      <c r="H622" s="5">
        <f>Tabela3[[#This Row],[Position_Size]]*Tabela3[[#This Row],[Retorno_Diário]]</f>
        <v>0</v>
      </c>
    </row>
    <row r="623" spans="1:8" x14ac:dyDescent="0.2">
      <c r="A623" s="11" t="s">
        <v>4115</v>
      </c>
      <c r="B623" s="4" t="s">
        <v>4117</v>
      </c>
      <c r="C623" s="5">
        <f t="shared" si="13"/>
        <v>-8.0562421361343173E-3</v>
      </c>
      <c r="D623" s="5"/>
      <c r="E623" s="5"/>
      <c r="F623" s="5">
        <f>IF(Tabela3[[#This Row],[Retorno_Diário]]&gt;0,1,-1)</f>
        <v>-1</v>
      </c>
      <c r="G623" s="5">
        <f>Tabela3[[#This Row],[Sinal_TSMOM]]*(0.4*Tabela3[[#This Row],[Volatilidade]])</f>
        <v>0</v>
      </c>
      <c r="H623" s="5">
        <f>Tabela3[[#This Row],[Position_Size]]*Tabela3[[#This Row],[Retorno_Diário]]</f>
        <v>0</v>
      </c>
    </row>
    <row r="624" spans="1:8" x14ac:dyDescent="0.2">
      <c r="A624" s="11" t="s">
        <v>4122</v>
      </c>
      <c r="B624" s="4" t="s">
        <v>4124</v>
      </c>
      <c r="C624" s="5">
        <f t="shared" si="13"/>
        <v>-2.2698357449855933E-2</v>
      </c>
      <c r="D624" s="5"/>
      <c r="E624" s="5"/>
      <c r="F624" s="5">
        <f>IF(Tabela3[[#This Row],[Retorno_Diário]]&gt;0,1,-1)</f>
        <v>-1</v>
      </c>
      <c r="G624" s="5">
        <f>Tabela3[[#This Row],[Sinal_TSMOM]]*(0.4*Tabela3[[#This Row],[Volatilidade]])</f>
        <v>0</v>
      </c>
      <c r="H624" s="5">
        <f>Tabela3[[#This Row],[Position_Size]]*Tabela3[[#This Row],[Retorno_Diário]]</f>
        <v>0</v>
      </c>
    </row>
    <row r="625" spans="1:8" x14ac:dyDescent="0.2">
      <c r="A625" s="11" t="s">
        <v>4129</v>
      </c>
      <c r="B625" s="4" t="s">
        <v>4131</v>
      </c>
      <c r="C625" s="5">
        <f t="shared" si="13"/>
        <v>2.7556648386575455E-2</v>
      </c>
      <c r="D625" s="5"/>
      <c r="E625" s="5"/>
      <c r="F625" s="5">
        <f>IF(Tabela3[[#This Row],[Retorno_Diário]]&gt;0,1,-1)</f>
        <v>1</v>
      </c>
      <c r="G625" s="5">
        <f>Tabela3[[#This Row],[Sinal_TSMOM]]*(0.4*Tabela3[[#This Row],[Volatilidade]])</f>
        <v>0</v>
      </c>
      <c r="H625" s="5">
        <f>Tabela3[[#This Row],[Position_Size]]*Tabela3[[#This Row],[Retorno_Diário]]</f>
        <v>0</v>
      </c>
    </row>
    <row r="626" spans="1:8" x14ac:dyDescent="0.2">
      <c r="A626" s="11" t="s">
        <v>4135</v>
      </c>
      <c r="B626" s="4" t="s">
        <v>4137</v>
      </c>
      <c r="C626" s="5">
        <f t="shared" si="13"/>
        <v>-3.5300320993316481E-2</v>
      </c>
      <c r="D626" s="5"/>
      <c r="E626" s="5"/>
      <c r="F626" s="5">
        <f>IF(Tabela3[[#This Row],[Retorno_Diário]]&gt;0,1,-1)</f>
        <v>-1</v>
      </c>
      <c r="G626" s="5">
        <f>Tabela3[[#This Row],[Sinal_TSMOM]]*(0.4*Tabela3[[#This Row],[Volatilidade]])</f>
        <v>0</v>
      </c>
      <c r="H626" s="5">
        <f>Tabela3[[#This Row],[Position_Size]]*Tabela3[[#This Row],[Retorno_Diário]]</f>
        <v>0</v>
      </c>
    </row>
    <row r="627" spans="1:8" x14ac:dyDescent="0.2">
      <c r="A627" s="11" t="s">
        <v>4140</v>
      </c>
      <c r="B627" s="4" t="s">
        <v>4142</v>
      </c>
      <c r="C627" s="5">
        <f t="shared" si="13"/>
        <v>4.9153552819749535E-3</v>
      </c>
      <c r="D627" s="5"/>
      <c r="E627" s="5"/>
      <c r="F627" s="5">
        <f>IF(Tabela3[[#This Row],[Retorno_Diário]]&gt;0,1,-1)</f>
        <v>1</v>
      </c>
      <c r="G627" s="5">
        <f>Tabela3[[#This Row],[Sinal_TSMOM]]*(0.4*Tabela3[[#This Row],[Volatilidade]])</f>
        <v>0</v>
      </c>
      <c r="H627" s="5">
        <f>Tabela3[[#This Row],[Position_Size]]*Tabela3[[#This Row],[Retorno_Diário]]</f>
        <v>0</v>
      </c>
    </row>
    <row r="628" spans="1:8" x14ac:dyDescent="0.2">
      <c r="A628" s="11" t="s">
        <v>4147</v>
      </c>
      <c r="B628" s="4" t="s">
        <v>4149</v>
      </c>
      <c r="C628" s="5">
        <f t="shared" si="13"/>
        <v>3.236418252124329E-2</v>
      </c>
      <c r="D628" s="5"/>
      <c r="E628" s="5"/>
      <c r="F628" s="5">
        <f>IF(Tabela3[[#This Row],[Retorno_Diário]]&gt;0,1,-1)</f>
        <v>1</v>
      </c>
      <c r="G628" s="5">
        <f>Tabela3[[#This Row],[Sinal_TSMOM]]*(0.4*Tabela3[[#This Row],[Volatilidade]])</f>
        <v>0</v>
      </c>
      <c r="H628" s="5">
        <f>Tabela3[[#This Row],[Position_Size]]*Tabela3[[#This Row],[Retorno_Diário]]</f>
        <v>0</v>
      </c>
    </row>
    <row r="629" spans="1:8" x14ac:dyDescent="0.2">
      <c r="A629" s="11" t="s">
        <v>4154</v>
      </c>
      <c r="B629" s="4" t="s">
        <v>4156</v>
      </c>
      <c r="C629" s="5">
        <f t="shared" si="13"/>
        <v>3.3954831117997131E-3</v>
      </c>
      <c r="D629" s="5"/>
      <c r="E629" s="5"/>
      <c r="F629" s="5">
        <f>IF(Tabela3[[#This Row],[Retorno_Diário]]&gt;0,1,-1)</f>
        <v>1</v>
      </c>
      <c r="G629" s="5">
        <f>Tabela3[[#This Row],[Sinal_TSMOM]]*(0.4*Tabela3[[#This Row],[Volatilidade]])</f>
        <v>0</v>
      </c>
      <c r="H629" s="5">
        <f>Tabela3[[#This Row],[Position_Size]]*Tabela3[[#This Row],[Retorno_Diário]]</f>
        <v>0</v>
      </c>
    </row>
    <row r="630" spans="1:8" x14ac:dyDescent="0.2">
      <c r="A630" s="11" t="s">
        <v>4161</v>
      </c>
      <c r="B630" s="4" t="s">
        <v>4163</v>
      </c>
      <c r="C630" s="5">
        <f t="shared" si="13"/>
        <v>8.6307027699281669E-3</v>
      </c>
      <c r="D630" s="5"/>
      <c r="E630" s="5"/>
      <c r="F630" s="5">
        <f>IF(Tabela3[[#This Row],[Retorno_Diário]]&gt;0,1,-1)</f>
        <v>1</v>
      </c>
      <c r="G630" s="5">
        <f>Tabela3[[#This Row],[Sinal_TSMOM]]*(0.4*Tabela3[[#This Row],[Volatilidade]])</f>
        <v>0</v>
      </c>
      <c r="H630" s="5">
        <f>Tabela3[[#This Row],[Position_Size]]*Tabela3[[#This Row],[Retorno_Diário]]</f>
        <v>0</v>
      </c>
    </row>
    <row r="631" spans="1:8" x14ac:dyDescent="0.2">
      <c r="A631" s="11" t="s">
        <v>4168</v>
      </c>
      <c r="B631" s="4" t="s">
        <v>4170</v>
      </c>
      <c r="C631" s="5">
        <f t="shared" si="13"/>
        <v>2.3615623302501998E-2</v>
      </c>
      <c r="D631" s="5"/>
      <c r="E631" s="5"/>
      <c r="F631" s="5">
        <f>IF(Tabela3[[#This Row],[Retorno_Diário]]&gt;0,1,-1)</f>
        <v>1</v>
      </c>
      <c r="G631" s="5">
        <f>Tabela3[[#This Row],[Sinal_TSMOM]]*(0.4*Tabela3[[#This Row],[Volatilidade]])</f>
        <v>0</v>
      </c>
      <c r="H631" s="5">
        <f>Tabela3[[#This Row],[Position_Size]]*Tabela3[[#This Row],[Retorno_Diário]]</f>
        <v>0</v>
      </c>
    </row>
    <row r="632" spans="1:8" x14ac:dyDescent="0.2">
      <c r="A632" s="11" t="s">
        <v>4175</v>
      </c>
      <c r="B632" s="4" t="s">
        <v>4177</v>
      </c>
      <c r="C632" s="5">
        <f t="shared" si="13"/>
        <v>3.3031245586863101E-3</v>
      </c>
      <c r="D632" s="5"/>
      <c r="E632" s="5"/>
      <c r="F632" s="5">
        <f>IF(Tabela3[[#This Row],[Retorno_Diário]]&gt;0,1,-1)</f>
        <v>1</v>
      </c>
      <c r="G632" s="5">
        <f>Tabela3[[#This Row],[Sinal_TSMOM]]*(0.4*Tabela3[[#This Row],[Volatilidade]])</f>
        <v>0</v>
      </c>
      <c r="H632" s="5">
        <f>Tabela3[[#This Row],[Position_Size]]*Tabela3[[#This Row],[Retorno_Diário]]</f>
        <v>0</v>
      </c>
    </row>
    <row r="633" spans="1:8" x14ac:dyDescent="0.2">
      <c r="A633" s="11" t="s">
        <v>4182</v>
      </c>
      <c r="B633" s="4" t="s">
        <v>4184</v>
      </c>
      <c r="C633" s="5">
        <f t="shared" si="13"/>
        <v>3.4872209040806457E-2</v>
      </c>
      <c r="D633" s="5"/>
      <c r="E633" s="5"/>
      <c r="F633" s="5">
        <f>IF(Tabela3[[#This Row],[Retorno_Diário]]&gt;0,1,-1)</f>
        <v>1</v>
      </c>
      <c r="G633" s="5">
        <f>Tabela3[[#This Row],[Sinal_TSMOM]]*(0.4*Tabela3[[#This Row],[Volatilidade]])</f>
        <v>0</v>
      </c>
      <c r="H633" s="5">
        <f>Tabela3[[#This Row],[Position_Size]]*Tabela3[[#This Row],[Retorno_Diário]]</f>
        <v>0</v>
      </c>
    </row>
    <row r="634" spans="1:8" x14ac:dyDescent="0.2">
      <c r="A634" s="11" t="s">
        <v>4189</v>
      </c>
      <c r="B634" s="4" t="s">
        <v>4191</v>
      </c>
      <c r="C634" s="5">
        <f t="shared" si="13"/>
        <v>2.8680523945857628E-2</v>
      </c>
      <c r="D634" s="5"/>
      <c r="E634" s="5"/>
      <c r="F634" s="5">
        <f>IF(Tabela3[[#This Row],[Retorno_Diário]]&gt;0,1,-1)</f>
        <v>1</v>
      </c>
      <c r="G634" s="5">
        <f>Tabela3[[#This Row],[Sinal_TSMOM]]*(0.4*Tabela3[[#This Row],[Volatilidade]])</f>
        <v>0</v>
      </c>
      <c r="H634" s="5">
        <f>Tabela3[[#This Row],[Position_Size]]*Tabela3[[#This Row],[Retorno_Diário]]</f>
        <v>0</v>
      </c>
    </row>
    <row r="635" spans="1:8" x14ac:dyDescent="0.2">
      <c r="A635" s="11" t="s">
        <v>4196</v>
      </c>
      <c r="B635" s="4" t="s">
        <v>4198</v>
      </c>
      <c r="C635" s="5">
        <f t="shared" si="13"/>
        <v>-2.8308945472502733E-3</v>
      </c>
      <c r="D635" s="5"/>
      <c r="E635" s="5"/>
      <c r="F635" s="5">
        <f>IF(Tabela3[[#This Row],[Retorno_Diário]]&gt;0,1,-1)</f>
        <v>-1</v>
      </c>
      <c r="G635" s="5">
        <f>Tabela3[[#This Row],[Sinal_TSMOM]]*(0.4*Tabela3[[#This Row],[Volatilidade]])</f>
        <v>0</v>
      </c>
      <c r="H635" s="5">
        <f>Tabela3[[#This Row],[Position_Size]]*Tabela3[[#This Row],[Retorno_Diário]]</f>
        <v>0</v>
      </c>
    </row>
    <row r="636" spans="1:8" x14ac:dyDescent="0.2">
      <c r="A636" s="11" t="s">
        <v>4203</v>
      </c>
      <c r="B636" s="4" t="s">
        <v>4205</v>
      </c>
      <c r="C636" s="5">
        <f t="shared" si="13"/>
        <v>-4.0747195423495031E-2</v>
      </c>
      <c r="D636" s="5"/>
      <c r="E636" s="5"/>
      <c r="F636" s="5">
        <f>IF(Tabela3[[#This Row],[Retorno_Diário]]&gt;0,1,-1)</f>
        <v>-1</v>
      </c>
      <c r="G636" s="5">
        <f>Tabela3[[#This Row],[Sinal_TSMOM]]*(0.4*Tabela3[[#This Row],[Volatilidade]])</f>
        <v>0</v>
      </c>
      <c r="H636" s="5">
        <f>Tabela3[[#This Row],[Position_Size]]*Tabela3[[#This Row],[Retorno_Diário]]</f>
        <v>0</v>
      </c>
    </row>
    <row r="637" spans="1:8" x14ac:dyDescent="0.2">
      <c r="A637" s="11" t="s">
        <v>4210</v>
      </c>
      <c r="B637" s="4" t="s">
        <v>4212</v>
      </c>
      <c r="C637" s="5">
        <f t="shared" si="13"/>
        <v>3.2306195085878509E-2</v>
      </c>
      <c r="D637" s="5"/>
      <c r="E637" s="5"/>
      <c r="F637" s="5">
        <f>IF(Tabela3[[#This Row],[Retorno_Diário]]&gt;0,1,-1)</f>
        <v>1</v>
      </c>
      <c r="G637" s="5">
        <f>Tabela3[[#This Row],[Sinal_TSMOM]]*(0.4*Tabela3[[#This Row],[Volatilidade]])</f>
        <v>0</v>
      </c>
      <c r="H637" s="5">
        <f>Tabela3[[#This Row],[Position_Size]]*Tabela3[[#This Row],[Retorno_Diário]]</f>
        <v>0</v>
      </c>
    </row>
    <row r="638" spans="1:8" x14ac:dyDescent="0.2">
      <c r="A638" s="11" t="s">
        <v>4217</v>
      </c>
      <c r="B638" s="4" t="s">
        <v>4219</v>
      </c>
      <c r="C638" s="5">
        <f t="shared" si="13"/>
        <v>-1.443092974378779E-2</v>
      </c>
      <c r="D638" s="5"/>
      <c r="E638" s="5"/>
      <c r="F638" s="5">
        <f>IF(Tabela3[[#This Row],[Retorno_Diário]]&gt;0,1,-1)</f>
        <v>-1</v>
      </c>
      <c r="G638" s="5">
        <f>Tabela3[[#This Row],[Sinal_TSMOM]]*(0.4*Tabela3[[#This Row],[Volatilidade]])</f>
        <v>0</v>
      </c>
      <c r="H638" s="5">
        <f>Tabela3[[#This Row],[Position_Size]]*Tabela3[[#This Row],[Retorno_Diário]]</f>
        <v>0</v>
      </c>
    </row>
    <row r="639" spans="1:8" x14ac:dyDescent="0.2">
      <c r="A639" s="11" t="s">
        <v>4224</v>
      </c>
      <c r="B639" s="4" t="s">
        <v>4226</v>
      </c>
      <c r="C639" s="5">
        <f t="shared" si="13"/>
        <v>-9.0444383460024369E-3</v>
      </c>
      <c r="D639" s="5"/>
      <c r="E639" s="5"/>
      <c r="F639" s="5">
        <f>IF(Tabela3[[#This Row],[Retorno_Diário]]&gt;0,1,-1)</f>
        <v>-1</v>
      </c>
      <c r="G639" s="5">
        <f>Tabela3[[#This Row],[Sinal_TSMOM]]*(0.4*Tabela3[[#This Row],[Volatilidade]])</f>
        <v>0</v>
      </c>
      <c r="H639" s="5">
        <f>Tabela3[[#This Row],[Position_Size]]*Tabela3[[#This Row],[Retorno_Diário]]</f>
        <v>0</v>
      </c>
    </row>
    <row r="640" spans="1:8" x14ac:dyDescent="0.2">
      <c r="A640" s="11" t="s">
        <v>4231</v>
      </c>
      <c r="B640" s="4" t="s">
        <v>4233</v>
      </c>
      <c r="C640" s="5">
        <f t="shared" si="13"/>
        <v>6.5862078829728166E-3</v>
      </c>
      <c r="D640" s="5"/>
      <c r="E640" s="5"/>
      <c r="F640" s="5">
        <f>IF(Tabela3[[#This Row],[Retorno_Diário]]&gt;0,1,-1)</f>
        <v>1</v>
      </c>
      <c r="G640" s="5">
        <f>Tabela3[[#This Row],[Sinal_TSMOM]]*(0.4*Tabela3[[#This Row],[Volatilidade]])</f>
        <v>0</v>
      </c>
      <c r="H640" s="5">
        <f>Tabela3[[#This Row],[Position_Size]]*Tabela3[[#This Row],[Retorno_Diário]]</f>
        <v>0</v>
      </c>
    </row>
    <row r="641" spans="1:8" x14ac:dyDescent="0.2">
      <c r="A641" s="11" t="s">
        <v>4238</v>
      </c>
      <c r="B641" s="4" t="s">
        <v>4240</v>
      </c>
      <c r="C641" s="5">
        <f t="shared" si="13"/>
        <v>3.0314157700331412E-2</v>
      </c>
      <c r="D641" s="5"/>
      <c r="E641" s="5"/>
      <c r="F641" s="5">
        <f>IF(Tabela3[[#This Row],[Retorno_Diário]]&gt;0,1,-1)</f>
        <v>1</v>
      </c>
      <c r="G641" s="5">
        <f>Tabela3[[#This Row],[Sinal_TSMOM]]*(0.4*Tabela3[[#This Row],[Volatilidade]])</f>
        <v>0</v>
      </c>
      <c r="H641" s="5">
        <f>Tabela3[[#This Row],[Position_Size]]*Tabela3[[#This Row],[Retorno_Diário]]</f>
        <v>0</v>
      </c>
    </row>
    <row r="642" spans="1:8" x14ac:dyDescent="0.2">
      <c r="A642" s="11" t="s">
        <v>4245</v>
      </c>
      <c r="B642" s="4" t="s">
        <v>4247</v>
      </c>
      <c r="C642" s="5">
        <f t="shared" si="13"/>
        <v>-1.7339393103549927E-2</v>
      </c>
      <c r="D642" s="5"/>
      <c r="E642" s="5"/>
      <c r="F642" s="5">
        <f>IF(Tabela3[[#This Row],[Retorno_Diário]]&gt;0,1,-1)</f>
        <v>-1</v>
      </c>
      <c r="G642" s="5">
        <f>Tabela3[[#This Row],[Sinal_TSMOM]]*(0.4*Tabela3[[#This Row],[Volatilidade]])</f>
        <v>0</v>
      </c>
      <c r="H642" s="5">
        <f>Tabela3[[#This Row],[Position_Size]]*Tabela3[[#This Row],[Retorno_Diário]]</f>
        <v>0</v>
      </c>
    </row>
    <row r="643" spans="1:8" x14ac:dyDescent="0.2">
      <c r="A643" s="11" t="s">
        <v>4252</v>
      </c>
      <c r="B643" s="4" t="s">
        <v>4254</v>
      </c>
      <c r="C643" s="5">
        <f t="shared" ref="C643:C706" si="14">B643/B642-1</f>
        <v>1.0674393689437789E-2</v>
      </c>
      <c r="D643" s="5"/>
      <c r="E643" s="5"/>
      <c r="F643" s="5">
        <f>IF(Tabela3[[#This Row],[Retorno_Diário]]&gt;0,1,-1)</f>
        <v>1</v>
      </c>
      <c r="G643" s="5">
        <f>Tabela3[[#This Row],[Sinal_TSMOM]]*(0.4*Tabela3[[#This Row],[Volatilidade]])</f>
        <v>0</v>
      </c>
      <c r="H643" s="5">
        <f>Tabela3[[#This Row],[Position_Size]]*Tabela3[[#This Row],[Retorno_Diário]]</f>
        <v>0</v>
      </c>
    </row>
    <row r="644" spans="1:8" x14ac:dyDescent="0.2">
      <c r="A644" s="11" t="s">
        <v>4259</v>
      </c>
      <c r="B644" s="4" t="s">
        <v>4261</v>
      </c>
      <c r="C644" s="5">
        <f t="shared" si="14"/>
        <v>-2.9601246064367315E-2</v>
      </c>
      <c r="D644" s="5"/>
      <c r="E644" s="5"/>
      <c r="F644" s="5">
        <f>IF(Tabela3[[#This Row],[Retorno_Diário]]&gt;0,1,-1)</f>
        <v>-1</v>
      </c>
      <c r="G644" s="5">
        <f>Tabela3[[#This Row],[Sinal_TSMOM]]*(0.4*Tabela3[[#This Row],[Volatilidade]])</f>
        <v>0</v>
      </c>
      <c r="H644" s="5">
        <f>Tabela3[[#This Row],[Position_Size]]*Tabela3[[#This Row],[Retorno_Diário]]</f>
        <v>0</v>
      </c>
    </row>
    <row r="645" spans="1:8" x14ac:dyDescent="0.2">
      <c r="A645" s="11" t="s">
        <v>4266</v>
      </c>
      <c r="B645" s="4" t="s">
        <v>4268</v>
      </c>
      <c r="C645" s="5">
        <f t="shared" si="14"/>
        <v>6.3920349567441193E-3</v>
      </c>
      <c r="D645" s="5"/>
      <c r="E645" s="5"/>
      <c r="F645" s="5">
        <f>IF(Tabela3[[#This Row],[Retorno_Diário]]&gt;0,1,-1)</f>
        <v>1</v>
      </c>
      <c r="G645" s="5">
        <f>Tabela3[[#This Row],[Sinal_TSMOM]]*(0.4*Tabela3[[#This Row],[Volatilidade]])</f>
        <v>0</v>
      </c>
      <c r="H645" s="5">
        <f>Tabela3[[#This Row],[Position_Size]]*Tabela3[[#This Row],[Retorno_Diário]]</f>
        <v>0</v>
      </c>
    </row>
    <row r="646" spans="1:8" x14ac:dyDescent="0.2">
      <c r="A646" s="11" t="s">
        <v>4273</v>
      </c>
      <c r="B646" s="4" t="s">
        <v>4275</v>
      </c>
      <c r="C646" s="5">
        <f t="shared" si="14"/>
        <v>2.2266931893740072E-2</v>
      </c>
      <c r="D646" s="5"/>
      <c r="E646" s="5"/>
      <c r="F646" s="5">
        <f>IF(Tabela3[[#This Row],[Retorno_Diário]]&gt;0,1,-1)</f>
        <v>1</v>
      </c>
      <c r="G646" s="5">
        <f>Tabela3[[#This Row],[Sinal_TSMOM]]*(0.4*Tabela3[[#This Row],[Volatilidade]])</f>
        <v>0</v>
      </c>
      <c r="H646" s="5">
        <f>Tabela3[[#This Row],[Position_Size]]*Tabela3[[#This Row],[Retorno_Diário]]</f>
        <v>0</v>
      </c>
    </row>
    <row r="647" spans="1:8" x14ac:dyDescent="0.2">
      <c r="A647" s="11" t="s">
        <v>4280</v>
      </c>
      <c r="B647" s="4" t="s">
        <v>4282</v>
      </c>
      <c r="C647" s="5">
        <f t="shared" si="14"/>
        <v>-1.9766859280540561E-2</v>
      </c>
      <c r="D647" s="5"/>
      <c r="E647" s="5"/>
      <c r="F647" s="5">
        <f>IF(Tabela3[[#This Row],[Retorno_Diário]]&gt;0,1,-1)</f>
        <v>-1</v>
      </c>
      <c r="G647" s="5">
        <f>Tabela3[[#This Row],[Sinal_TSMOM]]*(0.4*Tabela3[[#This Row],[Volatilidade]])</f>
        <v>0</v>
      </c>
      <c r="H647" s="5">
        <f>Tabela3[[#This Row],[Position_Size]]*Tabela3[[#This Row],[Retorno_Diário]]</f>
        <v>0</v>
      </c>
    </row>
    <row r="648" spans="1:8" x14ac:dyDescent="0.2">
      <c r="A648" s="11" t="s">
        <v>4287</v>
      </c>
      <c r="B648" s="4" t="s">
        <v>4289</v>
      </c>
      <c r="C648" s="5">
        <f t="shared" si="14"/>
        <v>2.4472615436090361E-2</v>
      </c>
      <c r="D648" s="5"/>
      <c r="E648" s="5"/>
      <c r="F648" s="5">
        <f>IF(Tabela3[[#This Row],[Retorno_Diário]]&gt;0,1,-1)</f>
        <v>1</v>
      </c>
      <c r="G648" s="5">
        <f>Tabela3[[#This Row],[Sinal_TSMOM]]*(0.4*Tabela3[[#This Row],[Volatilidade]])</f>
        <v>0</v>
      </c>
      <c r="H648" s="5">
        <f>Tabela3[[#This Row],[Position_Size]]*Tabela3[[#This Row],[Retorno_Diário]]</f>
        <v>0</v>
      </c>
    </row>
    <row r="649" spans="1:8" x14ac:dyDescent="0.2">
      <c r="A649" s="11" t="s">
        <v>4294</v>
      </c>
      <c r="B649" s="4" t="s">
        <v>4296</v>
      </c>
      <c r="C649" s="5">
        <f t="shared" si="14"/>
        <v>1.4189522166835777E-2</v>
      </c>
      <c r="D649" s="5"/>
      <c r="E649" s="5"/>
      <c r="F649" s="5">
        <f>IF(Tabela3[[#This Row],[Retorno_Diário]]&gt;0,1,-1)</f>
        <v>1</v>
      </c>
      <c r="G649" s="5">
        <f>Tabela3[[#This Row],[Sinal_TSMOM]]*(0.4*Tabela3[[#This Row],[Volatilidade]])</f>
        <v>0</v>
      </c>
      <c r="H649" s="5">
        <f>Tabela3[[#This Row],[Position_Size]]*Tabela3[[#This Row],[Retorno_Diário]]</f>
        <v>0</v>
      </c>
    </row>
    <row r="650" spans="1:8" x14ac:dyDescent="0.2">
      <c r="A650" s="11" t="s">
        <v>4301</v>
      </c>
      <c r="B650" s="4" t="s">
        <v>4303</v>
      </c>
      <c r="C650" s="5">
        <f t="shared" si="14"/>
        <v>7.062257302337116E-5</v>
      </c>
      <c r="D650" s="5"/>
      <c r="E650" s="5"/>
      <c r="F650" s="5">
        <f>IF(Tabela3[[#This Row],[Retorno_Diário]]&gt;0,1,-1)</f>
        <v>1</v>
      </c>
      <c r="G650" s="5">
        <f>Tabela3[[#This Row],[Sinal_TSMOM]]*(0.4*Tabela3[[#This Row],[Volatilidade]])</f>
        <v>0</v>
      </c>
      <c r="H650" s="5">
        <f>Tabela3[[#This Row],[Position_Size]]*Tabela3[[#This Row],[Retorno_Diário]]</f>
        <v>0</v>
      </c>
    </row>
    <row r="651" spans="1:8" x14ac:dyDescent="0.2">
      <c r="A651" s="11" t="s">
        <v>4307</v>
      </c>
      <c r="B651" s="4" t="s">
        <v>4309</v>
      </c>
      <c r="C651" s="5">
        <f t="shared" si="14"/>
        <v>3.7259491416822055E-2</v>
      </c>
      <c r="D651" s="5"/>
      <c r="E651" s="5"/>
      <c r="F651" s="5">
        <f>IF(Tabela3[[#This Row],[Retorno_Diário]]&gt;0,1,-1)</f>
        <v>1</v>
      </c>
      <c r="G651" s="5">
        <f>Tabela3[[#This Row],[Sinal_TSMOM]]*(0.4*Tabela3[[#This Row],[Volatilidade]])</f>
        <v>0</v>
      </c>
      <c r="H651" s="5">
        <f>Tabela3[[#This Row],[Position_Size]]*Tabela3[[#This Row],[Retorno_Diário]]</f>
        <v>0</v>
      </c>
    </row>
    <row r="652" spans="1:8" x14ac:dyDescent="0.2">
      <c r="A652" s="11" t="s">
        <v>4314</v>
      </c>
      <c r="B652" s="4" t="s">
        <v>4316</v>
      </c>
      <c r="C652" s="5">
        <f t="shared" si="14"/>
        <v>1.9754295421324564E-2</v>
      </c>
      <c r="D652" s="5"/>
      <c r="E652" s="5"/>
      <c r="F652" s="5">
        <f>IF(Tabela3[[#This Row],[Retorno_Diário]]&gt;0,1,-1)</f>
        <v>1</v>
      </c>
      <c r="G652" s="5">
        <f>Tabela3[[#This Row],[Sinal_TSMOM]]*(0.4*Tabela3[[#This Row],[Volatilidade]])</f>
        <v>0</v>
      </c>
      <c r="H652" s="5">
        <f>Tabela3[[#This Row],[Position_Size]]*Tabela3[[#This Row],[Retorno_Diário]]</f>
        <v>0</v>
      </c>
    </row>
    <row r="653" spans="1:8" x14ac:dyDescent="0.2">
      <c r="A653" s="11" t="s">
        <v>4320</v>
      </c>
      <c r="B653" s="4" t="s">
        <v>4322</v>
      </c>
      <c r="C653" s="5">
        <f t="shared" si="14"/>
        <v>5.2548387861237611E-3</v>
      </c>
      <c r="D653" s="5"/>
      <c r="E653" s="5"/>
      <c r="F653" s="5">
        <f>IF(Tabela3[[#This Row],[Retorno_Diário]]&gt;0,1,-1)</f>
        <v>1</v>
      </c>
      <c r="G653" s="5">
        <f>Tabela3[[#This Row],[Sinal_TSMOM]]*(0.4*Tabela3[[#This Row],[Volatilidade]])</f>
        <v>0</v>
      </c>
      <c r="H653" s="5">
        <f>Tabela3[[#This Row],[Position_Size]]*Tabela3[[#This Row],[Retorno_Diário]]</f>
        <v>0</v>
      </c>
    </row>
    <row r="654" spans="1:8" x14ac:dyDescent="0.2">
      <c r="A654" s="11" t="s">
        <v>4327</v>
      </c>
      <c r="B654" s="4" t="s">
        <v>4329</v>
      </c>
      <c r="C654" s="5">
        <f t="shared" si="14"/>
        <v>4.3192171704000693E-3</v>
      </c>
      <c r="D654" s="5"/>
      <c r="E654" s="5"/>
      <c r="F654" s="5">
        <f>IF(Tabela3[[#This Row],[Retorno_Diário]]&gt;0,1,-1)</f>
        <v>1</v>
      </c>
      <c r="G654" s="5">
        <f>Tabela3[[#This Row],[Sinal_TSMOM]]*(0.4*Tabela3[[#This Row],[Volatilidade]])</f>
        <v>0</v>
      </c>
      <c r="H654" s="5">
        <f>Tabela3[[#This Row],[Position_Size]]*Tabela3[[#This Row],[Retorno_Diário]]</f>
        <v>0</v>
      </c>
    </row>
    <row r="655" spans="1:8" x14ac:dyDescent="0.2">
      <c r="A655" s="11" t="s">
        <v>4334</v>
      </c>
      <c r="B655" s="4" t="s">
        <v>4336</v>
      </c>
      <c r="C655" s="5">
        <f t="shared" si="14"/>
        <v>-1.1997678302940851E-2</v>
      </c>
      <c r="D655" s="5"/>
      <c r="E655" s="5"/>
      <c r="F655" s="5">
        <f>IF(Tabela3[[#This Row],[Retorno_Diário]]&gt;0,1,-1)</f>
        <v>-1</v>
      </c>
      <c r="G655" s="5">
        <f>Tabela3[[#This Row],[Sinal_TSMOM]]*(0.4*Tabela3[[#This Row],[Volatilidade]])</f>
        <v>0</v>
      </c>
      <c r="H655" s="5">
        <f>Tabela3[[#This Row],[Position_Size]]*Tabela3[[#This Row],[Retorno_Diário]]</f>
        <v>0</v>
      </c>
    </row>
    <row r="656" spans="1:8" x14ac:dyDescent="0.2">
      <c r="A656" s="11" t="s">
        <v>4341</v>
      </c>
      <c r="B656" s="4" t="s">
        <v>4343</v>
      </c>
      <c r="C656" s="5">
        <f t="shared" si="14"/>
        <v>-3.0805055414772076E-3</v>
      </c>
      <c r="D656" s="5"/>
      <c r="E656" s="5"/>
      <c r="F656" s="5">
        <f>IF(Tabela3[[#This Row],[Retorno_Diário]]&gt;0,1,-1)</f>
        <v>-1</v>
      </c>
      <c r="G656" s="5">
        <f>Tabela3[[#This Row],[Sinal_TSMOM]]*(0.4*Tabela3[[#This Row],[Volatilidade]])</f>
        <v>0</v>
      </c>
      <c r="H656" s="5">
        <f>Tabela3[[#This Row],[Position_Size]]*Tabela3[[#This Row],[Retorno_Diário]]</f>
        <v>0</v>
      </c>
    </row>
    <row r="657" spans="1:8" x14ac:dyDescent="0.2">
      <c r="A657" s="11" t="s">
        <v>4348</v>
      </c>
      <c r="B657" s="4" t="s">
        <v>4350</v>
      </c>
      <c r="C657" s="5">
        <f t="shared" si="14"/>
        <v>-2.8213128657371023E-2</v>
      </c>
      <c r="D657" s="5"/>
      <c r="E657" s="5"/>
      <c r="F657" s="5">
        <f>IF(Tabela3[[#This Row],[Retorno_Diário]]&gt;0,1,-1)</f>
        <v>-1</v>
      </c>
      <c r="G657" s="5">
        <f>Tabela3[[#This Row],[Sinal_TSMOM]]*(0.4*Tabela3[[#This Row],[Volatilidade]])</f>
        <v>0</v>
      </c>
      <c r="H657" s="5">
        <f>Tabela3[[#This Row],[Position_Size]]*Tabela3[[#This Row],[Retorno_Diário]]</f>
        <v>0</v>
      </c>
    </row>
    <row r="658" spans="1:8" x14ac:dyDescent="0.2">
      <c r="A658" s="11" t="s">
        <v>4355</v>
      </c>
      <c r="B658" s="4" t="s">
        <v>4357</v>
      </c>
      <c r="C658" s="5">
        <f t="shared" si="14"/>
        <v>5.4400921152672588E-2</v>
      </c>
      <c r="D658" s="5"/>
      <c r="E658" s="5"/>
      <c r="F658" s="5">
        <f>IF(Tabela3[[#This Row],[Retorno_Diário]]&gt;0,1,-1)</f>
        <v>1</v>
      </c>
      <c r="G658" s="5">
        <f>Tabela3[[#This Row],[Sinal_TSMOM]]*(0.4*Tabela3[[#This Row],[Volatilidade]])</f>
        <v>0</v>
      </c>
      <c r="H658" s="5">
        <f>Tabela3[[#This Row],[Position_Size]]*Tabela3[[#This Row],[Retorno_Diário]]</f>
        <v>0</v>
      </c>
    </row>
    <row r="659" spans="1:8" x14ac:dyDescent="0.2">
      <c r="A659" s="11" t="s">
        <v>4362</v>
      </c>
      <c r="B659" s="4" t="s">
        <v>4364</v>
      </c>
      <c r="C659" s="5">
        <f t="shared" si="14"/>
        <v>2.4033067099549221E-4</v>
      </c>
      <c r="D659" s="5"/>
      <c r="E659" s="5"/>
      <c r="F659" s="5">
        <f>IF(Tabela3[[#This Row],[Retorno_Diário]]&gt;0,1,-1)</f>
        <v>1</v>
      </c>
      <c r="G659" s="5">
        <f>Tabela3[[#This Row],[Sinal_TSMOM]]*(0.4*Tabela3[[#This Row],[Volatilidade]])</f>
        <v>0</v>
      </c>
      <c r="H659" s="5">
        <f>Tabela3[[#This Row],[Position_Size]]*Tabela3[[#This Row],[Retorno_Diário]]</f>
        <v>0</v>
      </c>
    </row>
    <row r="660" spans="1:8" x14ac:dyDescent="0.2">
      <c r="A660" s="11" t="s">
        <v>4369</v>
      </c>
      <c r="B660" s="4" t="s">
        <v>4371</v>
      </c>
      <c r="C660" s="5">
        <f t="shared" si="14"/>
        <v>1.0574175619257664E-2</v>
      </c>
      <c r="D660" s="5"/>
      <c r="E660" s="5"/>
      <c r="F660" s="5">
        <f>IF(Tabela3[[#This Row],[Retorno_Diário]]&gt;0,1,-1)</f>
        <v>1</v>
      </c>
      <c r="G660" s="5">
        <f>Tabela3[[#This Row],[Sinal_TSMOM]]*(0.4*Tabela3[[#This Row],[Volatilidade]])</f>
        <v>0</v>
      </c>
      <c r="H660" s="5">
        <f>Tabela3[[#This Row],[Position_Size]]*Tabela3[[#This Row],[Retorno_Diário]]</f>
        <v>0</v>
      </c>
    </row>
    <row r="661" spans="1:8" x14ac:dyDescent="0.2">
      <c r="A661" s="11" t="s">
        <v>4376</v>
      </c>
      <c r="B661" s="4" t="s">
        <v>4378</v>
      </c>
      <c r="C661" s="5">
        <f t="shared" si="14"/>
        <v>6.6845361018581517E-2</v>
      </c>
      <c r="D661" s="5"/>
      <c r="E661" s="5"/>
      <c r="F661" s="5">
        <f>IF(Tabela3[[#This Row],[Retorno_Diário]]&gt;0,1,-1)</f>
        <v>1</v>
      </c>
      <c r="G661" s="5">
        <f>Tabela3[[#This Row],[Sinal_TSMOM]]*(0.4*Tabela3[[#This Row],[Volatilidade]])</f>
        <v>0</v>
      </c>
      <c r="H661" s="5">
        <f>Tabela3[[#This Row],[Position_Size]]*Tabela3[[#This Row],[Retorno_Diário]]</f>
        <v>0</v>
      </c>
    </row>
    <row r="662" spans="1:8" x14ac:dyDescent="0.2">
      <c r="A662" s="11" t="s">
        <v>4383</v>
      </c>
      <c r="B662" s="4" t="s">
        <v>4385</v>
      </c>
      <c r="C662" s="5">
        <f t="shared" si="14"/>
        <v>-6.1806011959196772E-3</v>
      </c>
      <c r="D662" s="5"/>
      <c r="E662" s="5"/>
      <c r="F662" s="5">
        <f>IF(Tabela3[[#This Row],[Retorno_Diário]]&gt;0,1,-1)</f>
        <v>-1</v>
      </c>
      <c r="G662" s="5">
        <f>Tabela3[[#This Row],[Sinal_TSMOM]]*(0.4*Tabela3[[#This Row],[Volatilidade]])</f>
        <v>0</v>
      </c>
      <c r="H662" s="5">
        <f>Tabela3[[#This Row],[Position_Size]]*Tabela3[[#This Row],[Retorno_Diário]]</f>
        <v>0</v>
      </c>
    </row>
    <row r="663" spans="1:8" x14ac:dyDescent="0.2">
      <c r="A663" s="11" t="s">
        <v>4390</v>
      </c>
      <c r="B663" s="4" t="s">
        <v>4392</v>
      </c>
      <c r="C663" s="5">
        <f t="shared" si="14"/>
        <v>-9.9708097055407618E-3</v>
      </c>
      <c r="D663" s="5"/>
      <c r="E663" s="5"/>
      <c r="F663" s="5">
        <f>IF(Tabela3[[#This Row],[Retorno_Diário]]&gt;0,1,-1)</f>
        <v>-1</v>
      </c>
      <c r="G663" s="5">
        <f>Tabela3[[#This Row],[Sinal_TSMOM]]*(0.4*Tabela3[[#This Row],[Volatilidade]])</f>
        <v>0</v>
      </c>
      <c r="H663" s="5">
        <f>Tabela3[[#This Row],[Position_Size]]*Tabela3[[#This Row],[Retorno_Diário]]</f>
        <v>0</v>
      </c>
    </row>
    <row r="664" spans="1:8" x14ac:dyDescent="0.2">
      <c r="A664" s="11" t="s">
        <v>4397</v>
      </c>
      <c r="B664" s="4" t="s">
        <v>4399</v>
      </c>
      <c r="C664" s="5">
        <f t="shared" si="14"/>
        <v>2.0592168219368823E-4</v>
      </c>
      <c r="D664" s="5"/>
      <c r="E664" s="5"/>
      <c r="F664" s="5">
        <f>IF(Tabela3[[#This Row],[Retorno_Diário]]&gt;0,1,-1)</f>
        <v>1</v>
      </c>
      <c r="G664" s="5">
        <f>Tabela3[[#This Row],[Sinal_TSMOM]]*(0.4*Tabela3[[#This Row],[Volatilidade]])</f>
        <v>0</v>
      </c>
      <c r="H664" s="5">
        <f>Tabela3[[#This Row],[Position_Size]]*Tabela3[[#This Row],[Retorno_Diário]]</f>
        <v>0</v>
      </c>
    </row>
    <row r="665" spans="1:8" x14ac:dyDescent="0.2">
      <c r="A665" s="11" t="s">
        <v>4404</v>
      </c>
      <c r="B665" s="4" t="s">
        <v>4406</v>
      </c>
      <c r="C665" s="5">
        <f t="shared" si="14"/>
        <v>4.4683346109471112E-2</v>
      </c>
      <c r="D665" s="5"/>
      <c r="E665" s="5"/>
      <c r="F665" s="5">
        <f>IF(Tabela3[[#This Row],[Retorno_Diário]]&gt;0,1,-1)</f>
        <v>1</v>
      </c>
      <c r="G665" s="5">
        <f>Tabela3[[#This Row],[Sinal_TSMOM]]*(0.4*Tabela3[[#This Row],[Volatilidade]])</f>
        <v>0</v>
      </c>
      <c r="H665" s="5">
        <f>Tabela3[[#This Row],[Position_Size]]*Tabela3[[#This Row],[Retorno_Diário]]</f>
        <v>0</v>
      </c>
    </row>
    <row r="666" spans="1:8" x14ac:dyDescent="0.2">
      <c r="A666" s="11" t="s">
        <v>4411</v>
      </c>
      <c r="B666" s="4" t="s">
        <v>4413</v>
      </c>
      <c r="C666" s="5">
        <f t="shared" si="14"/>
        <v>2.8974525125382566E-3</v>
      </c>
      <c r="D666" s="5"/>
      <c r="E666" s="5"/>
      <c r="F666" s="5">
        <f>IF(Tabela3[[#This Row],[Retorno_Diário]]&gt;0,1,-1)</f>
        <v>1</v>
      </c>
      <c r="G666" s="5">
        <f>Tabela3[[#This Row],[Sinal_TSMOM]]*(0.4*Tabela3[[#This Row],[Volatilidade]])</f>
        <v>0</v>
      </c>
      <c r="H666" s="5">
        <f>Tabela3[[#This Row],[Position_Size]]*Tabela3[[#This Row],[Retorno_Diário]]</f>
        <v>0</v>
      </c>
    </row>
    <row r="667" spans="1:8" x14ac:dyDescent="0.2">
      <c r="A667" s="11" t="s">
        <v>4418</v>
      </c>
      <c r="B667" s="4" t="s">
        <v>4420</v>
      </c>
      <c r="C667" s="5">
        <f t="shared" si="14"/>
        <v>2.3387802910288524E-3</v>
      </c>
      <c r="D667" s="5"/>
      <c r="E667" s="5"/>
      <c r="F667" s="5">
        <f>IF(Tabela3[[#This Row],[Retorno_Diário]]&gt;0,1,-1)</f>
        <v>1</v>
      </c>
      <c r="G667" s="5">
        <f>Tabela3[[#This Row],[Sinal_TSMOM]]*(0.4*Tabela3[[#This Row],[Volatilidade]])</f>
        <v>0</v>
      </c>
      <c r="H667" s="5">
        <f>Tabela3[[#This Row],[Position_Size]]*Tabela3[[#This Row],[Retorno_Diário]]</f>
        <v>0</v>
      </c>
    </row>
    <row r="668" spans="1:8" x14ac:dyDescent="0.2">
      <c r="A668" s="11" t="s">
        <v>4425</v>
      </c>
      <c r="B668" s="4" t="s">
        <v>4427</v>
      </c>
      <c r="C668" s="5">
        <f t="shared" si="14"/>
        <v>1.8039030187215754E-3</v>
      </c>
      <c r="D668" s="5"/>
      <c r="E668" s="5"/>
      <c r="F668" s="5">
        <f>IF(Tabela3[[#This Row],[Retorno_Diário]]&gt;0,1,-1)</f>
        <v>1</v>
      </c>
      <c r="G668" s="5">
        <f>Tabela3[[#This Row],[Sinal_TSMOM]]*(0.4*Tabela3[[#This Row],[Volatilidade]])</f>
        <v>0</v>
      </c>
      <c r="H668" s="5">
        <f>Tabela3[[#This Row],[Position_Size]]*Tabela3[[#This Row],[Retorno_Diário]]</f>
        <v>0</v>
      </c>
    </row>
    <row r="669" spans="1:8" x14ac:dyDescent="0.2">
      <c r="A669" s="11" t="s">
        <v>4432</v>
      </c>
      <c r="B669" s="4" t="s">
        <v>4434</v>
      </c>
      <c r="C669" s="5">
        <f t="shared" si="14"/>
        <v>-1.1332470374904702E-2</v>
      </c>
      <c r="D669" s="5"/>
      <c r="E669" s="5"/>
      <c r="F669" s="5">
        <f>IF(Tabela3[[#This Row],[Retorno_Diário]]&gt;0,1,-1)</f>
        <v>-1</v>
      </c>
      <c r="G669" s="5">
        <f>Tabela3[[#This Row],[Sinal_TSMOM]]*(0.4*Tabela3[[#This Row],[Volatilidade]])</f>
        <v>0</v>
      </c>
      <c r="H669" s="5">
        <f>Tabela3[[#This Row],[Position_Size]]*Tabela3[[#This Row],[Retorno_Diário]]</f>
        <v>0</v>
      </c>
    </row>
    <row r="670" spans="1:8" x14ac:dyDescent="0.2">
      <c r="A670" s="11" t="s">
        <v>4439</v>
      </c>
      <c r="B670" s="4" t="s">
        <v>4441</v>
      </c>
      <c r="C670" s="5">
        <f t="shared" si="14"/>
        <v>4.1137906972524618E-2</v>
      </c>
      <c r="D670" s="5"/>
      <c r="E670" s="5"/>
      <c r="F670" s="5">
        <f>IF(Tabela3[[#This Row],[Retorno_Diário]]&gt;0,1,-1)</f>
        <v>1</v>
      </c>
      <c r="G670" s="5">
        <f>Tabela3[[#This Row],[Sinal_TSMOM]]*(0.4*Tabela3[[#This Row],[Volatilidade]])</f>
        <v>0</v>
      </c>
      <c r="H670" s="5">
        <f>Tabela3[[#This Row],[Position_Size]]*Tabela3[[#This Row],[Retorno_Diário]]</f>
        <v>0</v>
      </c>
    </row>
    <row r="671" spans="1:8" x14ac:dyDescent="0.2">
      <c r="A671" s="11" t="s">
        <v>4446</v>
      </c>
      <c r="B671" s="4" t="s">
        <v>4448</v>
      </c>
      <c r="C671" s="5">
        <f t="shared" si="14"/>
        <v>1.7246325458799339E-2</v>
      </c>
      <c r="D671" s="5"/>
      <c r="E671" s="5"/>
      <c r="F671" s="5">
        <f>IF(Tabela3[[#This Row],[Retorno_Diário]]&gt;0,1,-1)</f>
        <v>1</v>
      </c>
      <c r="G671" s="5">
        <f>Tabela3[[#This Row],[Sinal_TSMOM]]*(0.4*Tabela3[[#This Row],[Volatilidade]])</f>
        <v>0</v>
      </c>
      <c r="H671" s="5">
        <f>Tabela3[[#This Row],[Position_Size]]*Tabela3[[#This Row],[Retorno_Diário]]</f>
        <v>0</v>
      </c>
    </row>
    <row r="672" spans="1:8" x14ac:dyDescent="0.2">
      <c r="A672" s="11" t="s">
        <v>4453</v>
      </c>
      <c r="B672" s="4" t="s">
        <v>4455</v>
      </c>
      <c r="C672" s="5">
        <f t="shared" si="14"/>
        <v>3.3384411780223555E-2</v>
      </c>
      <c r="D672" s="5"/>
      <c r="E672" s="5"/>
      <c r="F672" s="5">
        <f>IF(Tabela3[[#This Row],[Retorno_Diário]]&gt;0,1,-1)</f>
        <v>1</v>
      </c>
      <c r="G672" s="5">
        <f>Tabela3[[#This Row],[Sinal_TSMOM]]*(0.4*Tabela3[[#This Row],[Volatilidade]])</f>
        <v>0</v>
      </c>
      <c r="H672" s="5">
        <f>Tabela3[[#This Row],[Position_Size]]*Tabela3[[#This Row],[Retorno_Diário]]</f>
        <v>0</v>
      </c>
    </row>
    <row r="673" spans="1:8" x14ac:dyDescent="0.2">
      <c r="A673" s="11" t="s">
        <v>4460</v>
      </c>
      <c r="B673" s="4" t="s">
        <v>4462</v>
      </c>
      <c r="C673" s="5">
        <f t="shared" si="14"/>
        <v>3.8021872062463657E-2</v>
      </c>
      <c r="D673" s="5"/>
      <c r="E673" s="5"/>
      <c r="F673" s="5">
        <f>IF(Tabela3[[#This Row],[Retorno_Diário]]&gt;0,1,-1)</f>
        <v>1</v>
      </c>
      <c r="G673" s="5">
        <f>Tabela3[[#This Row],[Sinal_TSMOM]]*(0.4*Tabela3[[#This Row],[Volatilidade]])</f>
        <v>0</v>
      </c>
      <c r="H673" s="5">
        <f>Tabela3[[#This Row],[Position_Size]]*Tabela3[[#This Row],[Retorno_Diário]]</f>
        <v>0</v>
      </c>
    </row>
    <row r="674" spans="1:8" x14ac:dyDescent="0.2">
      <c r="A674" s="11" t="s">
        <v>4467</v>
      </c>
      <c r="B674" s="4" t="s">
        <v>4469</v>
      </c>
      <c r="C674" s="5">
        <f t="shared" si="14"/>
        <v>-9.2775261649699181E-2</v>
      </c>
      <c r="D674" s="5"/>
      <c r="E674" s="5"/>
      <c r="F674" s="5">
        <f>IF(Tabela3[[#This Row],[Retorno_Diário]]&gt;0,1,-1)</f>
        <v>-1</v>
      </c>
      <c r="G674" s="5">
        <f>Tabela3[[#This Row],[Sinal_TSMOM]]*(0.4*Tabela3[[#This Row],[Volatilidade]])</f>
        <v>0</v>
      </c>
      <c r="H674" s="5">
        <f>Tabela3[[#This Row],[Position_Size]]*Tabela3[[#This Row],[Retorno_Diário]]</f>
        <v>0</v>
      </c>
    </row>
    <row r="675" spans="1:8" x14ac:dyDescent="0.2">
      <c r="A675" s="11" t="s">
        <v>4474</v>
      </c>
      <c r="B675" s="4" t="s">
        <v>4476</v>
      </c>
      <c r="C675" s="5">
        <f t="shared" si="14"/>
        <v>-3.0194740653412766E-2</v>
      </c>
      <c r="D675" s="5"/>
      <c r="E675" s="5"/>
      <c r="F675" s="5">
        <f>IF(Tabela3[[#This Row],[Retorno_Diário]]&gt;0,1,-1)</f>
        <v>-1</v>
      </c>
      <c r="G675" s="5">
        <f>Tabela3[[#This Row],[Sinal_TSMOM]]*(0.4*Tabela3[[#This Row],[Volatilidade]])</f>
        <v>0</v>
      </c>
      <c r="H675" s="5">
        <f>Tabela3[[#This Row],[Position_Size]]*Tabela3[[#This Row],[Retorno_Diário]]</f>
        <v>0</v>
      </c>
    </row>
    <row r="676" spans="1:8" x14ac:dyDescent="0.2">
      <c r="A676" s="11" t="s">
        <v>4480</v>
      </c>
      <c r="B676" s="4" t="s">
        <v>4482</v>
      </c>
      <c r="C676" s="5">
        <f t="shared" si="14"/>
        <v>-5.6209173239761601E-2</v>
      </c>
      <c r="D676" s="5"/>
      <c r="E676" s="5"/>
      <c r="F676" s="5">
        <f>IF(Tabela3[[#This Row],[Retorno_Diário]]&gt;0,1,-1)</f>
        <v>-1</v>
      </c>
      <c r="G676" s="5">
        <f>Tabela3[[#This Row],[Sinal_TSMOM]]*(0.4*Tabela3[[#This Row],[Volatilidade]])</f>
        <v>0</v>
      </c>
      <c r="H676" s="5">
        <f>Tabela3[[#This Row],[Position_Size]]*Tabela3[[#This Row],[Retorno_Diário]]</f>
        <v>0</v>
      </c>
    </row>
    <row r="677" spans="1:8" x14ac:dyDescent="0.2">
      <c r="A677" s="11" t="s">
        <v>4487</v>
      </c>
      <c r="B677" s="4" t="s">
        <v>4489</v>
      </c>
      <c r="C677" s="5">
        <f t="shared" si="14"/>
        <v>6.7321416820750324E-2</v>
      </c>
      <c r="D677" s="5"/>
      <c r="E677" s="5"/>
      <c r="F677" s="5">
        <f>IF(Tabela3[[#This Row],[Retorno_Diário]]&gt;0,1,-1)</f>
        <v>1</v>
      </c>
      <c r="G677" s="5">
        <f>Tabela3[[#This Row],[Sinal_TSMOM]]*(0.4*Tabela3[[#This Row],[Volatilidade]])</f>
        <v>0</v>
      </c>
      <c r="H677" s="5">
        <f>Tabela3[[#This Row],[Position_Size]]*Tabela3[[#This Row],[Retorno_Diário]]</f>
        <v>0</v>
      </c>
    </row>
    <row r="678" spans="1:8" x14ac:dyDescent="0.2">
      <c r="A678" s="11" t="s">
        <v>4494</v>
      </c>
      <c r="B678" s="4" t="s">
        <v>4496</v>
      </c>
      <c r="C678" s="5">
        <f t="shared" si="14"/>
        <v>-3.1714489639107835E-2</v>
      </c>
      <c r="D678" s="5"/>
      <c r="E678" s="5"/>
      <c r="F678" s="5">
        <f>IF(Tabela3[[#This Row],[Retorno_Diário]]&gt;0,1,-1)</f>
        <v>-1</v>
      </c>
      <c r="G678" s="5">
        <f>Tabela3[[#This Row],[Sinal_TSMOM]]*(0.4*Tabela3[[#This Row],[Volatilidade]])</f>
        <v>0</v>
      </c>
      <c r="H678" s="5">
        <f>Tabela3[[#This Row],[Position_Size]]*Tabela3[[#This Row],[Retorno_Diário]]</f>
        <v>0</v>
      </c>
    </row>
    <row r="679" spans="1:8" x14ac:dyDescent="0.2">
      <c r="A679" s="11" t="s">
        <v>4501</v>
      </c>
      <c r="B679" s="4" t="s">
        <v>4503</v>
      </c>
      <c r="C679" s="5">
        <f t="shared" si="14"/>
        <v>-1.1960133250648819E-2</v>
      </c>
      <c r="D679" s="5"/>
      <c r="E679" s="5"/>
      <c r="F679" s="5">
        <f>IF(Tabela3[[#This Row],[Retorno_Diário]]&gt;0,1,-1)</f>
        <v>-1</v>
      </c>
      <c r="G679" s="5">
        <f>Tabela3[[#This Row],[Sinal_TSMOM]]*(0.4*Tabela3[[#This Row],[Volatilidade]])</f>
        <v>0</v>
      </c>
      <c r="H679" s="5">
        <f>Tabela3[[#This Row],[Position_Size]]*Tabela3[[#This Row],[Retorno_Diário]]</f>
        <v>0</v>
      </c>
    </row>
    <row r="680" spans="1:8" x14ac:dyDescent="0.2">
      <c r="A680" s="11" t="s">
        <v>4508</v>
      </c>
      <c r="B680" s="4" t="s">
        <v>4510</v>
      </c>
      <c r="C680" s="5">
        <f t="shared" si="14"/>
        <v>5.8181540794904452E-2</v>
      </c>
      <c r="D680" s="5"/>
      <c r="E680" s="5"/>
      <c r="F680" s="5">
        <f>IF(Tabela3[[#This Row],[Retorno_Diário]]&gt;0,1,-1)</f>
        <v>1</v>
      </c>
      <c r="G680" s="5">
        <f>Tabela3[[#This Row],[Sinal_TSMOM]]*(0.4*Tabela3[[#This Row],[Volatilidade]])</f>
        <v>0</v>
      </c>
      <c r="H680" s="5">
        <f>Tabela3[[#This Row],[Position_Size]]*Tabela3[[#This Row],[Retorno_Diário]]</f>
        <v>0</v>
      </c>
    </row>
    <row r="681" spans="1:8" x14ac:dyDescent="0.2">
      <c r="A681" s="11" t="s">
        <v>4515</v>
      </c>
      <c r="B681" s="4" t="s">
        <v>4517</v>
      </c>
      <c r="C681" s="5">
        <f t="shared" si="14"/>
        <v>9.2253161540947204E-3</v>
      </c>
      <c r="D681" s="5"/>
      <c r="E681" s="5"/>
      <c r="F681" s="5">
        <f>IF(Tabela3[[#This Row],[Retorno_Diário]]&gt;0,1,-1)</f>
        <v>1</v>
      </c>
      <c r="G681" s="5">
        <f>Tabela3[[#This Row],[Sinal_TSMOM]]*(0.4*Tabela3[[#This Row],[Volatilidade]])</f>
        <v>0</v>
      </c>
      <c r="H681" s="5">
        <f>Tabela3[[#This Row],[Position_Size]]*Tabela3[[#This Row],[Retorno_Diário]]</f>
        <v>0</v>
      </c>
    </row>
    <row r="682" spans="1:8" x14ac:dyDescent="0.2">
      <c r="A682" s="11" t="s">
        <v>4522</v>
      </c>
      <c r="B682" s="4" t="s">
        <v>4524</v>
      </c>
      <c r="C682" s="5">
        <f t="shared" si="14"/>
        <v>-3.6679278326000042E-2</v>
      </c>
      <c r="D682" s="5"/>
      <c r="E682" s="5"/>
      <c r="F682" s="5">
        <f>IF(Tabela3[[#This Row],[Retorno_Diário]]&gt;0,1,-1)</f>
        <v>-1</v>
      </c>
      <c r="G682" s="5">
        <f>Tabela3[[#This Row],[Sinal_TSMOM]]*(0.4*Tabela3[[#This Row],[Volatilidade]])</f>
        <v>0</v>
      </c>
      <c r="H682" s="5">
        <f>Tabela3[[#This Row],[Position_Size]]*Tabela3[[#This Row],[Retorno_Diário]]</f>
        <v>0</v>
      </c>
    </row>
    <row r="683" spans="1:8" x14ac:dyDescent="0.2">
      <c r="A683" s="11" t="s">
        <v>4529</v>
      </c>
      <c r="B683" s="4" t="s">
        <v>4531</v>
      </c>
      <c r="C683" s="5">
        <f t="shared" si="14"/>
        <v>-4.0752441397204908E-3</v>
      </c>
      <c r="D683" s="5"/>
      <c r="E683" s="5"/>
      <c r="F683" s="5">
        <f>IF(Tabela3[[#This Row],[Retorno_Diário]]&gt;0,1,-1)</f>
        <v>-1</v>
      </c>
      <c r="G683" s="5">
        <f>Tabela3[[#This Row],[Sinal_TSMOM]]*(0.4*Tabela3[[#This Row],[Volatilidade]])</f>
        <v>0</v>
      </c>
      <c r="H683" s="5">
        <f>Tabela3[[#This Row],[Position_Size]]*Tabela3[[#This Row],[Retorno_Diário]]</f>
        <v>0</v>
      </c>
    </row>
    <row r="684" spans="1:8" x14ac:dyDescent="0.2">
      <c r="A684" s="11" t="s">
        <v>4536</v>
      </c>
      <c r="B684" s="4" t="s">
        <v>4538</v>
      </c>
      <c r="C684" s="5">
        <f t="shared" si="14"/>
        <v>-2.2004254825198744E-2</v>
      </c>
      <c r="D684" s="5"/>
      <c r="E684" s="5"/>
      <c r="F684" s="5">
        <f>IF(Tabela3[[#This Row],[Retorno_Diário]]&gt;0,1,-1)</f>
        <v>-1</v>
      </c>
      <c r="G684" s="5">
        <f>Tabela3[[#This Row],[Sinal_TSMOM]]*(0.4*Tabela3[[#This Row],[Volatilidade]])</f>
        <v>0</v>
      </c>
      <c r="H684" s="5">
        <f>Tabela3[[#This Row],[Position_Size]]*Tabela3[[#This Row],[Retorno_Diário]]</f>
        <v>0</v>
      </c>
    </row>
    <row r="685" spans="1:8" x14ac:dyDescent="0.2">
      <c r="A685" s="11" t="s">
        <v>4543</v>
      </c>
      <c r="B685" s="4" t="s">
        <v>4545</v>
      </c>
      <c r="C685" s="5">
        <f t="shared" si="14"/>
        <v>2.6908962312677032E-2</v>
      </c>
      <c r="D685" s="5"/>
      <c r="E685" s="5"/>
      <c r="F685" s="5">
        <f>IF(Tabela3[[#This Row],[Retorno_Diário]]&gt;0,1,-1)</f>
        <v>1</v>
      </c>
      <c r="G685" s="5">
        <f>Tabela3[[#This Row],[Sinal_TSMOM]]*(0.4*Tabela3[[#This Row],[Volatilidade]])</f>
        <v>0</v>
      </c>
      <c r="H685" s="5">
        <f>Tabela3[[#This Row],[Position_Size]]*Tabela3[[#This Row],[Retorno_Diário]]</f>
        <v>0</v>
      </c>
    </row>
    <row r="686" spans="1:8" x14ac:dyDescent="0.2">
      <c r="A686" s="11" t="s">
        <v>4550</v>
      </c>
      <c r="B686" s="4" t="s">
        <v>4552</v>
      </c>
      <c r="C686" s="5">
        <f t="shared" si="14"/>
        <v>9.6266840011451915E-3</v>
      </c>
      <c r="D686" s="5"/>
      <c r="E686" s="5"/>
      <c r="F686" s="5">
        <f>IF(Tabela3[[#This Row],[Retorno_Diário]]&gt;0,1,-1)</f>
        <v>1</v>
      </c>
      <c r="G686" s="5">
        <f>Tabela3[[#This Row],[Sinal_TSMOM]]*(0.4*Tabela3[[#This Row],[Volatilidade]])</f>
        <v>0</v>
      </c>
      <c r="H686" s="5">
        <f>Tabela3[[#This Row],[Position_Size]]*Tabela3[[#This Row],[Retorno_Diário]]</f>
        <v>0</v>
      </c>
    </row>
    <row r="687" spans="1:8" x14ac:dyDescent="0.2">
      <c r="A687" s="11" t="s">
        <v>4557</v>
      </c>
      <c r="B687" s="4" t="s">
        <v>4559</v>
      </c>
      <c r="C687" s="5">
        <f t="shared" si="14"/>
        <v>-4.067179302548718E-2</v>
      </c>
      <c r="D687" s="5"/>
      <c r="E687" s="5"/>
      <c r="F687" s="5">
        <f>IF(Tabela3[[#This Row],[Retorno_Diário]]&gt;0,1,-1)</f>
        <v>-1</v>
      </c>
      <c r="G687" s="5">
        <f>Tabela3[[#This Row],[Sinal_TSMOM]]*(0.4*Tabela3[[#This Row],[Volatilidade]])</f>
        <v>0</v>
      </c>
      <c r="H687" s="5">
        <f>Tabela3[[#This Row],[Position_Size]]*Tabela3[[#This Row],[Retorno_Diário]]</f>
        <v>0</v>
      </c>
    </row>
    <row r="688" spans="1:8" x14ac:dyDescent="0.2">
      <c r="A688" s="11" t="s">
        <v>4564</v>
      </c>
      <c r="B688" s="4" t="s">
        <v>4566</v>
      </c>
      <c r="C688" s="5">
        <f t="shared" si="14"/>
        <v>1.8496739434742837E-2</v>
      </c>
      <c r="D688" s="5"/>
      <c r="E688" s="5"/>
      <c r="F688" s="5">
        <f>IF(Tabela3[[#This Row],[Retorno_Diário]]&gt;0,1,-1)</f>
        <v>1</v>
      </c>
      <c r="G688" s="5">
        <f>Tabela3[[#This Row],[Sinal_TSMOM]]*(0.4*Tabela3[[#This Row],[Volatilidade]])</f>
        <v>0</v>
      </c>
      <c r="H688" s="5">
        <f>Tabela3[[#This Row],[Position_Size]]*Tabela3[[#This Row],[Retorno_Diário]]</f>
        <v>0</v>
      </c>
    </row>
    <row r="689" spans="1:8" x14ac:dyDescent="0.2">
      <c r="A689" s="11" t="s">
        <v>4571</v>
      </c>
      <c r="B689" s="4" t="s">
        <v>4573</v>
      </c>
      <c r="C689" s="5">
        <f t="shared" si="14"/>
        <v>4.2577759832230555E-2</v>
      </c>
      <c r="D689" s="5"/>
      <c r="E689" s="5"/>
      <c r="F689" s="5">
        <f>IF(Tabela3[[#This Row],[Retorno_Diário]]&gt;0,1,-1)</f>
        <v>1</v>
      </c>
      <c r="G689" s="5">
        <f>Tabela3[[#This Row],[Sinal_TSMOM]]*(0.4*Tabela3[[#This Row],[Volatilidade]])</f>
        <v>0</v>
      </c>
      <c r="H689" s="5">
        <f>Tabela3[[#This Row],[Position_Size]]*Tabela3[[#This Row],[Retorno_Diário]]</f>
        <v>0</v>
      </c>
    </row>
    <row r="690" spans="1:8" x14ac:dyDescent="0.2">
      <c r="A690" s="11" t="s">
        <v>4578</v>
      </c>
      <c r="B690" s="4" t="s">
        <v>4580</v>
      </c>
      <c r="C690" s="5">
        <f t="shared" si="14"/>
        <v>1.2525497060737578E-2</v>
      </c>
      <c r="D690" s="5"/>
      <c r="E690" s="5"/>
      <c r="F690" s="5">
        <f>IF(Tabela3[[#This Row],[Retorno_Diário]]&gt;0,1,-1)</f>
        <v>1</v>
      </c>
      <c r="G690" s="5">
        <f>Tabela3[[#This Row],[Sinal_TSMOM]]*(0.4*Tabela3[[#This Row],[Volatilidade]])</f>
        <v>0</v>
      </c>
      <c r="H690" s="5">
        <f>Tabela3[[#This Row],[Position_Size]]*Tabela3[[#This Row],[Retorno_Diário]]</f>
        <v>0</v>
      </c>
    </row>
    <row r="691" spans="1:8" x14ac:dyDescent="0.2">
      <c r="A691" s="11" t="s">
        <v>4584</v>
      </c>
      <c r="B691" s="4" t="s">
        <v>4586</v>
      </c>
      <c r="C691" s="5">
        <f t="shared" si="14"/>
        <v>1.4633688093841579E-2</v>
      </c>
      <c r="D691" s="5"/>
      <c r="E691" s="5"/>
      <c r="F691" s="5">
        <f>IF(Tabela3[[#This Row],[Retorno_Diário]]&gt;0,1,-1)</f>
        <v>1</v>
      </c>
      <c r="G691" s="5">
        <f>Tabela3[[#This Row],[Sinal_TSMOM]]*(0.4*Tabela3[[#This Row],[Volatilidade]])</f>
        <v>0</v>
      </c>
      <c r="H691" s="5">
        <f>Tabela3[[#This Row],[Position_Size]]*Tabela3[[#This Row],[Retorno_Diário]]</f>
        <v>0</v>
      </c>
    </row>
    <row r="692" spans="1:8" x14ac:dyDescent="0.2">
      <c r="A692" s="11" t="s">
        <v>4591</v>
      </c>
      <c r="B692" s="4" t="s">
        <v>4593</v>
      </c>
      <c r="C692" s="5">
        <f t="shared" si="14"/>
        <v>2.304220503246257E-2</v>
      </c>
      <c r="D692" s="5"/>
      <c r="E692" s="5"/>
      <c r="F692" s="5">
        <f>IF(Tabela3[[#This Row],[Retorno_Diário]]&gt;0,1,-1)</f>
        <v>1</v>
      </c>
      <c r="G692" s="5">
        <f>Tabela3[[#This Row],[Sinal_TSMOM]]*(0.4*Tabela3[[#This Row],[Volatilidade]])</f>
        <v>0</v>
      </c>
      <c r="H692" s="5">
        <f>Tabela3[[#This Row],[Position_Size]]*Tabela3[[#This Row],[Retorno_Diário]]</f>
        <v>0</v>
      </c>
    </row>
    <row r="693" spans="1:8" x14ac:dyDescent="0.2">
      <c r="A693" s="11" t="s">
        <v>4598</v>
      </c>
      <c r="B693" s="4" t="s">
        <v>4600</v>
      </c>
      <c r="C693" s="5">
        <f t="shared" si="14"/>
        <v>6.2081690426305514E-3</v>
      </c>
      <c r="D693" s="5"/>
      <c r="E693" s="5"/>
      <c r="F693" s="5">
        <f>IF(Tabela3[[#This Row],[Retorno_Diário]]&gt;0,1,-1)</f>
        <v>1</v>
      </c>
      <c r="G693" s="5">
        <f>Tabela3[[#This Row],[Sinal_TSMOM]]*(0.4*Tabela3[[#This Row],[Volatilidade]])</f>
        <v>0</v>
      </c>
      <c r="H693" s="5">
        <f>Tabela3[[#This Row],[Position_Size]]*Tabela3[[#This Row],[Retorno_Diário]]</f>
        <v>0</v>
      </c>
    </row>
    <row r="694" spans="1:8" x14ac:dyDescent="0.2">
      <c r="A694" s="11" t="s">
        <v>4605</v>
      </c>
      <c r="B694" s="4" t="s">
        <v>4607</v>
      </c>
      <c r="C694" s="5">
        <f t="shared" si="14"/>
        <v>-4.0563363075423964E-2</v>
      </c>
      <c r="D694" s="5"/>
      <c r="E694" s="5"/>
      <c r="F694" s="5">
        <f>IF(Tabela3[[#This Row],[Retorno_Diário]]&gt;0,1,-1)</f>
        <v>-1</v>
      </c>
      <c r="G694" s="5">
        <f>Tabela3[[#This Row],[Sinal_TSMOM]]*(0.4*Tabela3[[#This Row],[Volatilidade]])</f>
        <v>0</v>
      </c>
      <c r="H694" s="5">
        <f>Tabela3[[#This Row],[Position_Size]]*Tabela3[[#This Row],[Retorno_Diário]]</f>
        <v>0</v>
      </c>
    </row>
    <row r="695" spans="1:8" x14ac:dyDescent="0.2">
      <c r="A695" s="11" t="s">
        <v>4612</v>
      </c>
      <c r="B695" s="4" t="s">
        <v>4614</v>
      </c>
      <c r="C695" s="5">
        <f t="shared" si="14"/>
        <v>4.4421885990275856E-2</v>
      </c>
      <c r="D695" s="5"/>
      <c r="E695" s="5"/>
      <c r="F695" s="5">
        <f>IF(Tabela3[[#This Row],[Retorno_Diário]]&gt;0,1,-1)</f>
        <v>1</v>
      </c>
      <c r="G695" s="5">
        <f>Tabela3[[#This Row],[Sinal_TSMOM]]*(0.4*Tabela3[[#This Row],[Volatilidade]])</f>
        <v>0</v>
      </c>
      <c r="H695" s="5">
        <f>Tabela3[[#This Row],[Position_Size]]*Tabela3[[#This Row],[Retorno_Diário]]</f>
        <v>0</v>
      </c>
    </row>
    <row r="696" spans="1:8" x14ac:dyDescent="0.2">
      <c r="A696" s="11" t="s">
        <v>4619</v>
      </c>
      <c r="B696" s="4" t="s">
        <v>4621</v>
      </c>
      <c r="C696" s="5">
        <f t="shared" si="14"/>
        <v>6.8902227008673655E-3</v>
      </c>
      <c r="D696" s="5"/>
      <c r="E696" s="5"/>
      <c r="F696" s="5">
        <f>IF(Tabela3[[#This Row],[Retorno_Diário]]&gt;0,1,-1)</f>
        <v>1</v>
      </c>
      <c r="G696" s="5">
        <f>Tabela3[[#This Row],[Sinal_TSMOM]]*(0.4*Tabela3[[#This Row],[Volatilidade]])</f>
        <v>0</v>
      </c>
      <c r="H696" s="5">
        <f>Tabela3[[#This Row],[Position_Size]]*Tabela3[[#This Row],[Retorno_Diário]]</f>
        <v>0</v>
      </c>
    </row>
    <row r="697" spans="1:8" x14ac:dyDescent="0.2">
      <c r="A697" s="11" t="s">
        <v>4626</v>
      </c>
      <c r="B697" s="4" t="s">
        <v>4628</v>
      </c>
      <c r="C697" s="5">
        <f t="shared" si="14"/>
        <v>1.6561712619005187E-2</v>
      </c>
      <c r="D697" s="5"/>
      <c r="E697" s="5"/>
      <c r="F697" s="5">
        <f>IF(Tabela3[[#This Row],[Retorno_Diário]]&gt;0,1,-1)</f>
        <v>1</v>
      </c>
      <c r="G697" s="5">
        <f>Tabela3[[#This Row],[Sinal_TSMOM]]*(0.4*Tabela3[[#This Row],[Volatilidade]])</f>
        <v>0</v>
      </c>
      <c r="H697" s="5">
        <f>Tabela3[[#This Row],[Position_Size]]*Tabela3[[#This Row],[Retorno_Diário]]</f>
        <v>0</v>
      </c>
    </row>
    <row r="698" spans="1:8" x14ac:dyDescent="0.2">
      <c r="A698" s="11" t="s">
        <v>4633</v>
      </c>
      <c r="B698" s="4" t="s">
        <v>4635</v>
      </c>
      <c r="C698" s="5">
        <f t="shared" si="14"/>
        <v>-8.9694833091626958E-3</v>
      </c>
      <c r="D698" s="5"/>
      <c r="E698" s="5"/>
      <c r="F698" s="5">
        <f>IF(Tabela3[[#This Row],[Retorno_Diário]]&gt;0,1,-1)</f>
        <v>-1</v>
      </c>
      <c r="G698" s="5">
        <f>Tabela3[[#This Row],[Sinal_TSMOM]]*(0.4*Tabela3[[#This Row],[Volatilidade]])</f>
        <v>0</v>
      </c>
      <c r="H698" s="5">
        <f>Tabela3[[#This Row],[Position_Size]]*Tabela3[[#This Row],[Retorno_Diário]]</f>
        <v>0</v>
      </c>
    </row>
    <row r="699" spans="1:8" x14ac:dyDescent="0.2">
      <c r="A699" s="11" t="s">
        <v>4639</v>
      </c>
      <c r="B699" s="4" t="s">
        <v>4601</v>
      </c>
      <c r="C699" s="5">
        <f t="shared" si="14"/>
        <v>-5.4918409720163819E-3</v>
      </c>
      <c r="D699" s="5"/>
      <c r="E699" s="5"/>
      <c r="F699" s="5">
        <f>IF(Tabela3[[#This Row],[Retorno_Diário]]&gt;0,1,-1)</f>
        <v>-1</v>
      </c>
      <c r="G699" s="5">
        <f>Tabela3[[#This Row],[Sinal_TSMOM]]*(0.4*Tabela3[[#This Row],[Volatilidade]])</f>
        <v>0</v>
      </c>
      <c r="H699" s="5">
        <f>Tabela3[[#This Row],[Position_Size]]*Tabela3[[#This Row],[Retorno_Diário]]</f>
        <v>0</v>
      </c>
    </row>
    <row r="700" spans="1:8" x14ac:dyDescent="0.2">
      <c r="A700" s="11" t="s">
        <v>4645</v>
      </c>
      <c r="B700" s="4" t="s">
        <v>4647</v>
      </c>
      <c r="C700" s="5">
        <f t="shared" si="14"/>
        <v>3.3659709815250682E-2</v>
      </c>
      <c r="D700" s="5"/>
      <c r="E700" s="5"/>
      <c r="F700" s="5">
        <f>IF(Tabela3[[#This Row],[Retorno_Diário]]&gt;0,1,-1)</f>
        <v>1</v>
      </c>
      <c r="G700" s="5">
        <f>Tabela3[[#This Row],[Sinal_TSMOM]]*(0.4*Tabela3[[#This Row],[Volatilidade]])</f>
        <v>0</v>
      </c>
      <c r="H700" s="5">
        <f>Tabela3[[#This Row],[Position_Size]]*Tabela3[[#This Row],[Retorno_Diário]]</f>
        <v>0</v>
      </c>
    </row>
    <row r="701" spans="1:8" x14ac:dyDescent="0.2">
      <c r="A701" s="11" t="s">
        <v>4652</v>
      </c>
      <c r="B701" s="4" t="s">
        <v>4654</v>
      </c>
      <c r="C701" s="5">
        <f t="shared" si="14"/>
        <v>1.5640500308251593E-3</v>
      </c>
      <c r="D701" s="5"/>
      <c r="E701" s="5"/>
      <c r="F701" s="5">
        <f>IF(Tabela3[[#This Row],[Retorno_Diário]]&gt;0,1,-1)</f>
        <v>1</v>
      </c>
      <c r="G701" s="5">
        <f>Tabela3[[#This Row],[Sinal_TSMOM]]*(0.4*Tabela3[[#This Row],[Volatilidade]])</f>
        <v>0</v>
      </c>
      <c r="H701" s="5">
        <f>Tabela3[[#This Row],[Position_Size]]*Tabela3[[#This Row],[Retorno_Diário]]</f>
        <v>0</v>
      </c>
    </row>
    <row r="702" spans="1:8" x14ac:dyDescent="0.2">
      <c r="A702" s="11" t="s">
        <v>4659</v>
      </c>
      <c r="B702" s="4" t="s">
        <v>4661</v>
      </c>
      <c r="C702" s="5">
        <f t="shared" si="14"/>
        <v>-1.0738152253622402E-2</v>
      </c>
      <c r="D702" s="5"/>
      <c r="E702" s="5"/>
      <c r="F702" s="5">
        <f>IF(Tabela3[[#This Row],[Retorno_Diário]]&gt;0,1,-1)</f>
        <v>-1</v>
      </c>
      <c r="G702" s="5">
        <f>Tabela3[[#This Row],[Sinal_TSMOM]]*(0.4*Tabela3[[#This Row],[Volatilidade]])</f>
        <v>0</v>
      </c>
      <c r="H702" s="5">
        <f>Tabela3[[#This Row],[Position_Size]]*Tabela3[[#This Row],[Retorno_Diário]]</f>
        <v>0</v>
      </c>
    </row>
    <row r="703" spans="1:8" x14ac:dyDescent="0.2">
      <c r="A703" s="11" t="s">
        <v>4666</v>
      </c>
      <c r="B703" s="4" t="s">
        <v>4668</v>
      </c>
      <c r="C703" s="5">
        <f t="shared" si="14"/>
        <v>-8.8859623999854032E-3</v>
      </c>
      <c r="D703" s="5"/>
      <c r="E703" s="5"/>
      <c r="F703" s="5">
        <f>IF(Tabela3[[#This Row],[Retorno_Diário]]&gt;0,1,-1)</f>
        <v>-1</v>
      </c>
      <c r="G703" s="5">
        <f>Tabela3[[#This Row],[Sinal_TSMOM]]*(0.4*Tabela3[[#This Row],[Volatilidade]])</f>
        <v>0</v>
      </c>
      <c r="H703" s="5">
        <f>Tabela3[[#This Row],[Position_Size]]*Tabela3[[#This Row],[Retorno_Diário]]</f>
        <v>0</v>
      </c>
    </row>
    <row r="704" spans="1:8" x14ac:dyDescent="0.2">
      <c r="A704" s="11" t="s">
        <v>4673</v>
      </c>
      <c r="B704" s="4" t="s">
        <v>4675</v>
      </c>
      <c r="C704" s="5">
        <f t="shared" si="14"/>
        <v>-1.1345788715615424E-2</v>
      </c>
      <c r="D704" s="5"/>
      <c r="E704" s="5"/>
      <c r="F704" s="5">
        <f>IF(Tabela3[[#This Row],[Retorno_Diário]]&gt;0,1,-1)</f>
        <v>-1</v>
      </c>
      <c r="G704" s="5">
        <f>Tabela3[[#This Row],[Sinal_TSMOM]]*(0.4*Tabela3[[#This Row],[Volatilidade]])</f>
        <v>0</v>
      </c>
      <c r="H704" s="5">
        <f>Tabela3[[#This Row],[Position_Size]]*Tabela3[[#This Row],[Retorno_Diário]]</f>
        <v>0</v>
      </c>
    </row>
    <row r="705" spans="1:8" x14ac:dyDescent="0.2">
      <c r="A705" s="11" t="s">
        <v>4680</v>
      </c>
      <c r="B705" s="4" t="s">
        <v>4682</v>
      </c>
      <c r="C705" s="5">
        <f t="shared" si="14"/>
        <v>-2.2716527715317625E-2</v>
      </c>
      <c r="D705" s="5"/>
      <c r="E705" s="5"/>
      <c r="F705" s="5">
        <f>IF(Tabela3[[#This Row],[Retorno_Diário]]&gt;0,1,-1)</f>
        <v>-1</v>
      </c>
      <c r="G705" s="5">
        <f>Tabela3[[#This Row],[Sinal_TSMOM]]*(0.4*Tabela3[[#This Row],[Volatilidade]])</f>
        <v>0</v>
      </c>
      <c r="H705" s="5">
        <f>Tabela3[[#This Row],[Position_Size]]*Tabela3[[#This Row],[Retorno_Diário]]</f>
        <v>0</v>
      </c>
    </row>
    <row r="706" spans="1:8" x14ac:dyDescent="0.2">
      <c r="A706" s="11" t="s">
        <v>4687</v>
      </c>
      <c r="B706" s="4" t="s">
        <v>4689</v>
      </c>
      <c r="C706" s="5">
        <f t="shared" si="14"/>
        <v>1.0946261245608158E-2</v>
      </c>
      <c r="D706" s="5"/>
      <c r="E706" s="5"/>
      <c r="F706" s="5">
        <f>IF(Tabela3[[#This Row],[Retorno_Diário]]&gt;0,1,-1)</f>
        <v>1</v>
      </c>
      <c r="G706" s="5">
        <f>Tabela3[[#This Row],[Sinal_TSMOM]]*(0.4*Tabela3[[#This Row],[Volatilidade]])</f>
        <v>0</v>
      </c>
      <c r="H706" s="5">
        <f>Tabela3[[#This Row],[Position_Size]]*Tabela3[[#This Row],[Retorno_Diário]]</f>
        <v>0</v>
      </c>
    </row>
    <row r="707" spans="1:8" x14ac:dyDescent="0.2">
      <c r="A707" s="11" t="s">
        <v>4694</v>
      </c>
      <c r="B707" s="4" t="s">
        <v>4696</v>
      </c>
      <c r="C707" s="5">
        <f t="shared" ref="C707:C770" si="15">B707/B706-1</f>
        <v>-8.8491023140068181E-3</v>
      </c>
      <c r="D707" s="5"/>
      <c r="E707" s="5"/>
      <c r="F707" s="5">
        <f>IF(Tabela3[[#This Row],[Retorno_Diário]]&gt;0,1,-1)</f>
        <v>-1</v>
      </c>
      <c r="G707" s="5">
        <f>Tabela3[[#This Row],[Sinal_TSMOM]]*(0.4*Tabela3[[#This Row],[Volatilidade]])</f>
        <v>0</v>
      </c>
      <c r="H707" s="5">
        <f>Tabela3[[#This Row],[Position_Size]]*Tabela3[[#This Row],[Retorno_Diário]]</f>
        <v>0</v>
      </c>
    </row>
    <row r="708" spans="1:8" x14ac:dyDescent="0.2">
      <c r="A708" s="11" t="s">
        <v>4701</v>
      </c>
      <c r="B708" s="4" t="s">
        <v>4703</v>
      </c>
      <c r="C708" s="5">
        <f t="shared" si="15"/>
        <v>-1.2107410324043943E-2</v>
      </c>
      <c r="D708" s="5"/>
      <c r="E708" s="5"/>
      <c r="F708" s="5">
        <f>IF(Tabela3[[#This Row],[Retorno_Diário]]&gt;0,1,-1)</f>
        <v>-1</v>
      </c>
      <c r="G708" s="5">
        <f>Tabela3[[#This Row],[Sinal_TSMOM]]*(0.4*Tabela3[[#This Row],[Volatilidade]])</f>
        <v>0</v>
      </c>
      <c r="H708" s="5">
        <f>Tabela3[[#This Row],[Position_Size]]*Tabela3[[#This Row],[Retorno_Diário]]</f>
        <v>0</v>
      </c>
    </row>
    <row r="709" spans="1:8" x14ac:dyDescent="0.2">
      <c r="A709" s="11" t="s">
        <v>4708</v>
      </c>
      <c r="B709" s="4" t="s">
        <v>4710</v>
      </c>
      <c r="C709" s="5">
        <f t="shared" si="15"/>
        <v>1.7158143340794352E-2</v>
      </c>
      <c r="D709" s="5"/>
      <c r="E709" s="5"/>
      <c r="F709" s="5">
        <f>IF(Tabela3[[#This Row],[Retorno_Diário]]&gt;0,1,-1)</f>
        <v>1</v>
      </c>
      <c r="G709" s="5">
        <f>Tabela3[[#This Row],[Sinal_TSMOM]]*(0.4*Tabela3[[#This Row],[Volatilidade]])</f>
        <v>0</v>
      </c>
      <c r="H709" s="5">
        <f>Tabela3[[#This Row],[Position_Size]]*Tabela3[[#This Row],[Retorno_Diário]]</f>
        <v>0</v>
      </c>
    </row>
    <row r="710" spans="1:8" x14ac:dyDescent="0.2">
      <c r="A710" s="11" t="s">
        <v>4715</v>
      </c>
      <c r="B710" s="4" t="s">
        <v>4717</v>
      </c>
      <c r="C710" s="5">
        <f t="shared" si="15"/>
        <v>-3.3038417842010004E-2</v>
      </c>
      <c r="D710" s="5"/>
      <c r="E710" s="5"/>
      <c r="F710" s="5">
        <f>IF(Tabela3[[#This Row],[Retorno_Diário]]&gt;0,1,-1)</f>
        <v>-1</v>
      </c>
      <c r="G710" s="5">
        <f>Tabela3[[#This Row],[Sinal_TSMOM]]*(0.4*Tabela3[[#This Row],[Volatilidade]])</f>
        <v>0</v>
      </c>
      <c r="H710" s="5">
        <f>Tabela3[[#This Row],[Position_Size]]*Tabela3[[#This Row],[Retorno_Diário]]</f>
        <v>0</v>
      </c>
    </row>
    <row r="711" spans="1:8" x14ac:dyDescent="0.2">
      <c r="A711" s="11" t="s">
        <v>4722</v>
      </c>
      <c r="B711" s="4" t="s">
        <v>4724</v>
      </c>
      <c r="C711" s="5">
        <f t="shared" si="15"/>
        <v>1.944265576958859E-2</v>
      </c>
      <c r="D711" s="5"/>
      <c r="E711" s="5"/>
      <c r="F711" s="5">
        <f>IF(Tabela3[[#This Row],[Retorno_Diário]]&gt;0,1,-1)</f>
        <v>1</v>
      </c>
      <c r="G711" s="5">
        <f>Tabela3[[#This Row],[Sinal_TSMOM]]*(0.4*Tabela3[[#This Row],[Volatilidade]])</f>
        <v>0</v>
      </c>
      <c r="H711" s="5">
        <f>Tabela3[[#This Row],[Position_Size]]*Tabela3[[#This Row],[Retorno_Diário]]</f>
        <v>0</v>
      </c>
    </row>
    <row r="712" spans="1:8" x14ac:dyDescent="0.2">
      <c r="A712" s="11" t="s">
        <v>4729</v>
      </c>
      <c r="B712" s="4" t="s">
        <v>4731</v>
      </c>
      <c r="C712" s="5">
        <f t="shared" si="15"/>
        <v>-5.7458008041419317E-2</v>
      </c>
      <c r="D712" s="5"/>
      <c r="E712" s="5"/>
      <c r="F712" s="5">
        <f>IF(Tabela3[[#This Row],[Retorno_Diário]]&gt;0,1,-1)</f>
        <v>-1</v>
      </c>
      <c r="G712" s="5">
        <f>Tabela3[[#This Row],[Sinal_TSMOM]]*(0.4*Tabela3[[#This Row],[Volatilidade]])</f>
        <v>0</v>
      </c>
      <c r="H712" s="5">
        <f>Tabela3[[#This Row],[Position_Size]]*Tabela3[[#This Row],[Retorno_Diário]]</f>
        <v>0</v>
      </c>
    </row>
    <row r="713" spans="1:8" x14ac:dyDescent="0.2">
      <c r="A713" s="11" t="s">
        <v>4736</v>
      </c>
      <c r="B713" s="4" t="s">
        <v>4738</v>
      </c>
      <c r="C713" s="5">
        <f t="shared" si="15"/>
        <v>3.144058900472646E-2</v>
      </c>
      <c r="D713" s="5"/>
      <c r="E713" s="5"/>
      <c r="F713" s="5">
        <f>IF(Tabela3[[#This Row],[Retorno_Diário]]&gt;0,1,-1)</f>
        <v>1</v>
      </c>
      <c r="G713" s="5">
        <f>Tabela3[[#This Row],[Sinal_TSMOM]]*(0.4*Tabela3[[#This Row],[Volatilidade]])</f>
        <v>0</v>
      </c>
      <c r="H713" s="5">
        <f>Tabela3[[#This Row],[Position_Size]]*Tabela3[[#This Row],[Retorno_Diário]]</f>
        <v>0</v>
      </c>
    </row>
    <row r="714" spans="1:8" x14ac:dyDescent="0.2">
      <c r="A714" s="11" t="s">
        <v>4742</v>
      </c>
      <c r="B714" s="4" t="s">
        <v>4744</v>
      </c>
      <c r="C714" s="5">
        <f t="shared" si="15"/>
        <v>-3.7622832064130529E-2</v>
      </c>
      <c r="D714" s="5"/>
      <c r="E714" s="5"/>
      <c r="F714" s="5">
        <f>IF(Tabela3[[#This Row],[Retorno_Diário]]&gt;0,1,-1)</f>
        <v>-1</v>
      </c>
      <c r="G714" s="5">
        <f>Tabela3[[#This Row],[Sinal_TSMOM]]*(0.4*Tabela3[[#This Row],[Volatilidade]])</f>
        <v>0</v>
      </c>
      <c r="H714" s="5">
        <f>Tabela3[[#This Row],[Position_Size]]*Tabela3[[#This Row],[Retorno_Diário]]</f>
        <v>0</v>
      </c>
    </row>
    <row r="715" spans="1:8" x14ac:dyDescent="0.2">
      <c r="A715" s="11" t="s">
        <v>4748</v>
      </c>
      <c r="B715" s="4" t="s">
        <v>4750</v>
      </c>
      <c r="C715" s="5">
        <f t="shared" si="15"/>
        <v>3.7298601551587485E-3</v>
      </c>
      <c r="D715" s="5"/>
      <c r="E715" s="5"/>
      <c r="F715" s="5">
        <f>IF(Tabela3[[#This Row],[Retorno_Diário]]&gt;0,1,-1)</f>
        <v>1</v>
      </c>
      <c r="G715" s="5">
        <f>Tabela3[[#This Row],[Sinal_TSMOM]]*(0.4*Tabela3[[#This Row],[Volatilidade]])</f>
        <v>0</v>
      </c>
      <c r="H715" s="5">
        <f>Tabela3[[#This Row],[Position_Size]]*Tabela3[[#This Row],[Retorno_Diário]]</f>
        <v>0</v>
      </c>
    </row>
    <row r="716" spans="1:8" x14ac:dyDescent="0.2">
      <c r="A716" s="11" t="s">
        <v>4755</v>
      </c>
      <c r="B716" s="4" t="s">
        <v>4757</v>
      </c>
      <c r="C716" s="5">
        <f t="shared" si="15"/>
        <v>3.4874653508262909E-2</v>
      </c>
      <c r="D716" s="5"/>
      <c r="E716" s="5"/>
      <c r="F716" s="5">
        <f>IF(Tabela3[[#This Row],[Retorno_Diário]]&gt;0,1,-1)</f>
        <v>1</v>
      </c>
      <c r="G716" s="5">
        <f>Tabela3[[#This Row],[Sinal_TSMOM]]*(0.4*Tabela3[[#This Row],[Volatilidade]])</f>
        <v>0</v>
      </c>
      <c r="H716" s="5">
        <f>Tabela3[[#This Row],[Position_Size]]*Tabela3[[#This Row],[Retorno_Diário]]</f>
        <v>0</v>
      </c>
    </row>
    <row r="717" spans="1:8" x14ac:dyDescent="0.2">
      <c r="A717" s="11" t="s">
        <v>4762</v>
      </c>
      <c r="B717" s="4" t="s">
        <v>4764</v>
      </c>
      <c r="C717" s="5">
        <f t="shared" si="15"/>
        <v>5.9506875765232614E-2</v>
      </c>
      <c r="D717" s="5"/>
      <c r="E717" s="5"/>
      <c r="F717" s="5">
        <f>IF(Tabela3[[#This Row],[Retorno_Diário]]&gt;0,1,-1)</f>
        <v>1</v>
      </c>
      <c r="G717" s="5">
        <f>Tabela3[[#This Row],[Sinal_TSMOM]]*(0.4*Tabela3[[#This Row],[Volatilidade]])</f>
        <v>0</v>
      </c>
      <c r="H717" s="5">
        <f>Tabela3[[#This Row],[Position_Size]]*Tabela3[[#This Row],[Retorno_Diário]]</f>
        <v>0</v>
      </c>
    </row>
    <row r="718" spans="1:8" x14ac:dyDescent="0.2">
      <c r="A718" s="11" t="s">
        <v>4769</v>
      </c>
      <c r="B718" s="4" t="s">
        <v>4771</v>
      </c>
      <c r="C718" s="5">
        <f t="shared" si="15"/>
        <v>2.6514694539025774E-2</v>
      </c>
      <c r="D718" s="5"/>
      <c r="E718" s="5"/>
      <c r="F718" s="5">
        <f>IF(Tabela3[[#This Row],[Retorno_Diário]]&gt;0,1,-1)</f>
        <v>1</v>
      </c>
      <c r="G718" s="5">
        <f>Tabela3[[#This Row],[Sinal_TSMOM]]*(0.4*Tabela3[[#This Row],[Volatilidade]])</f>
        <v>0</v>
      </c>
      <c r="H718" s="5">
        <f>Tabela3[[#This Row],[Position_Size]]*Tabela3[[#This Row],[Retorno_Diário]]</f>
        <v>0</v>
      </c>
    </row>
    <row r="719" spans="1:8" x14ac:dyDescent="0.2">
      <c r="A719" s="11" t="s">
        <v>4776</v>
      </c>
      <c r="B719" s="4" t="s">
        <v>4778</v>
      </c>
      <c r="C719" s="5">
        <f t="shared" si="15"/>
        <v>2.8389860987150239E-2</v>
      </c>
      <c r="D719" s="5"/>
      <c r="E719" s="5"/>
      <c r="F719" s="5">
        <f>IF(Tabela3[[#This Row],[Retorno_Diário]]&gt;0,1,-1)</f>
        <v>1</v>
      </c>
      <c r="G719" s="5">
        <f>Tabela3[[#This Row],[Sinal_TSMOM]]*(0.4*Tabela3[[#This Row],[Volatilidade]])</f>
        <v>0</v>
      </c>
      <c r="H719" s="5">
        <f>Tabela3[[#This Row],[Position_Size]]*Tabela3[[#This Row],[Retorno_Diário]]</f>
        <v>0</v>
      </c>
    </row>
    <row r="720" spans="1:8" x14ac:dyDescent="0.2">
      <c r="A720" s="11" t="s">
        <v>4783</v>
      </c>
      <c r="B720" s="4" t="s">
        <v>4785</v>
      </c>
      <c r="C720" s="5">
        <f t="shared" si="15"/>
        <v>-6.395073167422094E-2</v>
      </c>
      <c r="D720" s="5"/>
      <c r="E720" s="5"/>
      <c r="F720" s="5">
        <f>IF(Tabela3[[#This Row],[Retorno_Diário]]&gt;0,1,-1)</f>
        <v>-1</v>
      </c>
      <c r="G720" s="5">
        <f>Tabela3[[#This Row],[Sinal_TSMOM]]*(0.4*Tabela3[[#This Row],[Volatilidade]])</f>
        <v>0</v>
      </c>
      <c r="H720" s="5">
        <f>Tabela3[[#This Row],[Position_Size]]*Tabela3[[#This Row],[Retorno_Diário]]</f>
        <v>0</v>
      </c>
    </row>
    <row r="721" spans="1:8" x14ac:dyDescent="0.2">
      <c r="A721" s="11" t="s">
        <v>4790</v>
      </c>
      <c r="B721" s="4" t="s">
        <v>4792</v>
      </c>
      <c r="C721" s="5">
        <f t="shared" si="15"/>
        <v>-6.3147608420618395E-2</v>
      </c>
      <c r="D721" s="5"/>
      <c r="E721" s="5"/>
      <c r="F721" s="5">
        <f>IF(Tabela3[[#This Row],[Retorno_Diário]]&gt;0,1,-1)</f>
        <v>-1</v>
      </c>
      <c r="G721" s="5">
        <f>Tabela3[[#This Row],[Sinal_TSMOM]]*(0.4*Tabela3[[#This Row],[Volatilidade]])</f>
        <v>0</v>
      </c>
      <c r="H721" s="5">
        <f>Tabela3[[#This Row],[Position_Size]]*Tabela3[[#This Row],[Retorno_Diário]]</f>
        <v>0</v>
      </c>
    </row>
    <row r="722" spans="1:8" x14ac:dyDescent="0.2">
      <c r="A722" s="11" t="s">
        <v>4795</v>
      </c>
      <c r="B722" s="4" t="s">
        <v>4797</v>
      </c>
      <c r="C722" s="5">
        <f t="shared" si="15"/>
        <v>5.0743910748636267E-2</v>
      </c>
      <c r="D722" s="5"/>
      <c r="E722" s="5"/>
      <c r="F722" s="5">
        <f>IF(Tabela3[[#This Row],[Retorno_Diário]]&gt;0,1,-1)</f>
        <v>1</v>
      </c>
      <c r="G722" s="5">
        <f>Tabela3[[#This Row],[Sinal_TSMOM]]*(0.4*Tabela3[[#This Row],[Volatilidade]])</f>
        <v>0</v>
      </c>
      <c r="H722" s="5">
        <f>Tabela3[[#This Row],[Position_Size]]*Tabela3[[#This Row],[Retorno_Diário]]</f>
        <v>0</v>
      </c>
    </row>
    <row r="723" spans="1:8" x14ac:dyDescent="0.2">
      <c r="A723" s="11" t="s">
        <v>4802</v>
      </c>
      <c r="B723" s="4" t="s">
        <v>4804</v>
      </c>
      <c r="C723" s="5">
        <f t="shared" si="15"/>
        <v>2.8878889689407661E-3</v>
      </c>
      <c r="D723" s="5"/>
      <c r="E723" s="5"/>
      <c r="F723" s="5">
        <f>IF(Tabela3[[#This Row],[Retorno_Diário]]&gt;0,1,-1)</f>
        <v>1</v>
      </c>
      <c r="G723" s="5">
        <f>Tabela3[[#This Row],[Sinal_TSMOM]]*(0.4*Tabela3[[#This Row],[Volatilidade]])</f>
        <v>0</v>
      </c>
      <c r="H723" s="5">
        <f>Tabela3[[#This Row],[Position_Size]]*Tabela3[[#This Row],[Retorno_Diário]]</f>
        <v>0</v>
      </c>
    </row>
    <row r="724" spans="1:8" x14ac:dyDescent="0.2">
      <c r="A724" s="11" t="s">
        <v>4809</v>
      </c>
      <c r="B724" s="4" t="s">
        <v>4811</v>
      </c>
      <c r="C724" s="5">
        <f t="shared" si="15"/>
        <v>-1.1871364611625079E-2</v>
      </c>
      <c r="D724" s="5"/>
      <c r="E724" s="5"/>
      <c r="F724" s="5">
        <f>IF(Tabela3[[#This Row],[Retorno_Diário]]&gt;0,1,-1)</f>
        <v>-1</v>
      </c>
      <c r="G724" s="5">
        <f>Tabela3[[#This Row],[Sinal_TSMOM]]*(0.4*Tabela3[[#This Row],[Volatilidade]])</f>
        <v>0</v>
      </c>
      <c r="H724" s="5">
        <f>Tabela3[[#This Row],[Position_Size]]*Tabela3[[#This Row],[Retorno_Diário]]</f>
        <v>0</v>
      </c>
    </row>
    <row r="725" spans="1:8" x14ac:dyDescent="0.2">
      <c r="A725" s="11" t="s">
        <v>4816</v>
      </c>
      <c r="B725" s="4" t="s">
        <v>4818</v>
      </c>
      <c r="C725" s="5">
        <f t="shared" si="15"/>
        <v>1.6413497464482729E-2</v>
      </c>
      <c r="D725" s="5"/>
      <c r="E725" s="5"/>
      <c r="F725" s="5">
        <f>IF(Tabela3[[#This Row],[Retorno_Diário]]&gt;0,1,-1)</f>
        <v>1</v>
      </c>
      <c r="G725" s="5">
        <f>Tabela3[[#This Row],[Sinal_TSMOM]]*(0.4*Tabela3[[#This Row],[Volatilidade]])</f>
        <v>0</v>
      </c>
      <c r="H725" s="5">
        <f>Tabela3[[#This Row],[Position_Size]]*Tabela3[[#This Row],[Retorno_Diário]]</f>
        <v>0</v>
      </c>
    </row>
    <row r="726" spans="1:8" x14ac:dyDescent="0.2">
      <c r="A726" s="11" t="s">
        <v>4823</v>
      </c>
      <c r="B726" s="4" t="s">
        <v>4825</v>
      </c>
      <c r="C726" s="5">
        <f t="shared" si="15"/>
        <v>-6.8811461548864417E-3</v>
      </c>
      <c r="D726" s="5"/>
      <c r="E726" s="5"/>
      <c r="F726" s="5">
        <f>IF(Tabela3[[#This Row],[Retorno_Diário]]&gt;0,1,-1)</f>
        <v>-1</v>
      </c>
      <c r="G726" s="5">
        <f>Tabela3[[#This Row],[Sinal_TSMOM]]*(0.4*Tabela3[[#This Row],[Volatilidade]])</f>
        <v>0</v>
      </c>
      <c r="H726" s="5">
        <f>Tabela3[[#This Row],[Position_Size]]*Tabela3[[#This Row],[Retorno_Diário]]</f>
        <v>0</v>
      </c>
    </row>
    <row r="727" spans="1:8" x14ac:dyDescent="0.2">
      <c r="A727" s="11" t="s">
        <v>4830</v>
      </c>
      <c r="B727" s="4" t="s">
        <v>4832</v>
      </c>
      <c r="C727" s="5">
        <f t="shared" si="15"/>
        <v>4.8428871764127912E-4</v>
      </c>
      <c r="D727" s="5"/>
      <c r="E727" s="5"/>
      <c r="F727" s="5">
        <f>IF(Tabela3[[#This Row],[Retorno_Diário]]&gt;0,1,-1)</f>
        <v>1</v>
      </c>
      <c r="G727" s="5">
        <f>Tabela3[[#This Row],[Sinal_TSMOM]]*(0.4*Tabela3[[#This Row],[Volatilidade]])</f>
        <v>0</v>
      </c>
      <c r="H727" s="5">
        <f>Tabela3[[#This Row],[Position_Size]]*Tabela3[[#This Row],[Retorno_Diário]]</f>
        <v>0</v>
      </c>
    </row>
    <row r="728" spans="1:8" x14ac:dyDescent="0.2">
      <c r="A728" s="11" t="s">
        <v>4837</v>
      </c>
      <c r="B728" s="4" t="s">
        <v>4839</v>
      </c>
      <c r="C728" s="5">
        <f t="shared" si="15"/>
        <v>8.5639829090045083E-4</v>
      </c>
      <c r="D728" s="5"/>
      <c r="E728" s="5"/>
      <c r="F728" s="5">
        <f>IF(Tabela3[[#This Row],[Retorno_Diário]]&gt;0,1,-1)</f>
        <v>1</v>
      </c>
      <c r="G728" s="5">
        <f>Tabela3[[#This Row],[Sinal_TSMOM]]*(0.4*Tabela3[[#This Row],[Volatilidade]])</f>
        <v>0</v>
      </c>
      <c r="H728" s="5">
        <f>Tabela3[[#This Row],[Position_Size]]*Tabela3[[#This Row],[Retorno_Diário]]</f>
        <v>0</v>
      </c>
    </row>
    <row r="729" spans="1:8" x14ac:dyDescent="0.2">
      <c r="A729" s="11" t="s">
        <v>4844</v>
      </c>
      <c r="B729" s="4" t="s">
        <v>4846</v>
      </c>
      <c r="C729" s="5">
        <f t="shared" si="15"/>
        <v>-2.6227187102027649E-2</v>
      </c>
      <c r="D729" s="5"/>
      <c r="E729" s="5"/>
      <c r="F729" s="5">
        <f>IF(Tabela3[[#This Row],[Retorno_Diário]]&gt;0,1,-1)</f>
        <v>-1</v>
      </c>
      <c r="G729" s="5">
        <f>Tabela3[[#This Row],[Sinal_TSMOM]]*(0.4*Tabela3[[#This Row],[Volatilidade]])</f>
        <v>0</v>
      </c>
      <c r="H729" s="5">
        <f>Tabela3[[#This Row],[Position_Size]]*Tabela3[[#This Row],[Retorno_Diário]]</f>
        <v>0</v>
      </c>
    </row>
    <row r="730" spans="1:8" x14ac:dyDescent="0.2">
      <c r="A730" s="11" t="s">
        <v>4851</v>
      </c>
      <c r="B730" s="4" t="s">
        <v>4853</v>
      </c>
      <c r="C730" s="5">
        <f t="shared" si="15"/>
        <v>3.9922757319752478E-3</v>
      </c>
      <c r="D730" s="5"/>
      <c r="E730" s="5"/>
      <c r="F730" s="5">
        <f>IF(Tabela3[[#This Row],[Retorno_Diário]]&gt;0,1,-1)</f>
        <v>1</v>
      </c>
      <c r="G730" s="5">
        <f>Tabela3[[#This Row],[Sinal_TSMOM]]*(0.4*Tabela3[[#This Row],[Volatilidade]])</f>
        <v>0</v>
      </c>
      <c r="H730" s="5">
        <f>Tabela3[[#This Row],[Position_Size]]*Tabela3[[#This Row],[Retorno_Diário]]</f>
        <v>0</v>
      </c>
    </row>
    <row r="731" spans="1:8" x14ac:dyDescent="0.2">
      <c r="A731" s="11" t="s">
        <v>4857</v>
      </c>
      <c r="B731" s="4" t="s">
        <v>4859</v>
      </c>
      <c r="C731" s="5">
        <f t="shared" si="15"/>
        <v>-1.3869864393178277E-2</v>
      </c>
      <c r="D731" s="5"/>
      <c r="E731" s="5"/>
      <c r="F731" s="5">
        <f>IF(Tabela3[[#This Row],[Retorno_Diário]]&gt;0,1,-1)</f>
        <v>-1</v>
      </c>
      <c r="G731" s="5">
        <f>Tabela3[[#This Row],[Sinal_TSMOM]]*(0.4*Tabela3[[#This Row],[Volatilidade]])</f>
        <v>0</v>
      </c>
      <c r="H731" s="5">
        <f>Tabela3[[#This Row],[Position_Size]]*Tabela3[[#This Row],[Retorno_Diário]]</f>
        <v>0</v>
      </c>
    </row>
    <row r="732" spans="1:8" x14ac:dyDescent="0.2">
      <c r="A732" s="11" t="s">
        <v>4864</v>
      </c>
      <c r="B732" s="4" t="s">
        <v>4866</v>
      </c>
      <c r="C732" s="5">
        <f t="shared" si="15"/>
        <v>2.13771269488785E-2</v>
      </c>
      <c r="D732" s="5"/>
      <c r="E732" s="5"/>
      <c r="F732" s="5">
        <f>IF(Tabela3[[#This Row],[Retorno_Diário]]&gt;0,1,-1)</f>
        <v>1</v>
      </c>
      <c r="G732" s="5">
        <f>Tabela3[[#This Row],[Sinal_TSMOM]]*(0.4*Tabela3[[#This Row],[Volatilidade]])</f>
        <v>0</v>
      </c>
      <c r="H732" s="5">
        <f>Tabela3[[#This Row],[Position_Size]]*Tabela3[[#This Row],[Retorno_Diário]]</f>
        <v>0</v>
      </c>
    </row>
    <row r="733" spans="1:8" x14ac:dyDescent="0.2">
      <c r="A733" s="11" t="s">
        <v>4871</v>
      </c>
      <c r="B733" s="4" t="s">
        <v>4873</v>
      </c>
      <c r="C733" s="5">
        <f t="shared" si="15"/>
        <v>2.0022855469470358E-3</v>
      </c>
      <c r="D733" s="5"/>
      <c r="E733" s="5"/>
      <c r="F733" s="5">
        <f>IF(Tabela3[[#This Row],[Retorno_Diário]]&gt;0,1,-1)</f>
        <v>1</v>
      </c>
      <c r="G733" s="5">
        <f>Tabela3[[#This Row],[Sinal_TSMOM]]*(0.4*Tabela3[[#This Row],[Volatilidade]])</f>
        <v>0</v>
      </c>
      <c r="H733" s="5">
        <f>Tabela3[[#This Row],[Position_Size]]*Tabela3[[#This Row],[Retorno_Diário]]</f>
        <v>0</v>
      </c>
    </row>
    <row r="734" spans="1:8" x14ac:dyDescent="0.2">
      <c r="A734" s="11" t="s">
        <v>4878</v>
      </c>
      <c r="B734" s="4" t="s">
        <v>4880</v>
      </c>
      <c r="C734" s="5">
        <f t="shared" si="15"/>
        <v>1.0575941999048544E-2</v>
      </c>
      <c r="D734" s="5"/>
      <c r="E734" s="5"/>
      <c r="F734" s="5">
        <f>IF(Tabela3[[#This Row],[Retorno_Diário]]&gt;0,1,-1)</f>
        <v>1</v>
      </c>
      <c r="G734" s="5">
        <f>Tabela3[[#This Row],[Sinal_TSMOM]]*(0.4*Tabela3[[#This Row],[Volatilidade]])</f>
        <v>0</v>
      </c>
      <c r="H734" s="5">
        <f>Tabela3[[#This Row],[Position_Size]]*Tabela3[[#This Row],[Retorno_Diário]]</f>
        <v>0</v>
      </c>
    </row>
    <row r="735" spans="1:8" x14ac:dyDescent="0.2">
      <c r="A735" s="11" t="s">
        <v>4885</v>
      </c>
      <c r="B735" s="4" t="s">
        <v>4887</v>
      </c>
      <c r="C735" s="5">
        <f t="shared" si="15"/>
        <v>-8.5806850899050602E-4</v>
      </c>
      <c r="D735" s="5"/>
      <c r="E735" s="5"/>
      <c r="F735" s="5">
        <f>IF(Tabela3[[#This Row],[Retorno_Diário]]&gt;0,1,-1)</f>
        <v>-1</v>
      </c>
      <c r="G735" s="5">
        <f>Tabela3[[#This Row],[Sinal_TSMOM]]*(0.4*Tabela3[[#This Row],[Volatilidade]])</f>
        <v>0</v>
      </c>
      <c r="H735" s="5">
        <f>Tabela3[[#This Row],[Position_Size]]*Tabela3[[#This Row],[Retorno_Diário]]</f>
        <v>0</v>
      </c>
    </row>
    <row r="736" spans="1:8" x14ac:dyDescent="0.2">
      <c r="A736" s="11" t="s">
        <v>4892</v>
      </c>
      <c r="B736" s="4" t="s">
        <v>4894</v>
      </c>
      <c r="C736" s="5">
        <f t="shared" si="15"/>
        <v>1.153846181239615E-2</v>
      </c>
      <c r="D736" s="5"/>
      <c r="E736" s="5"/>
      <c r="F736" s="5">
        <f>IF(Tabela3[[#This Row],[Retorno_Diário]]&gt;0,1,-1)</f>
        <v>1</v>
      </c>
      <c r="G736" s="5">
        <f>Tabela3[[#This Row],[Sinal_TSMOM]]*(0.4*Tabela3[[#This Row],[Volatilidade]])</f>
        <v>0</v>
      </c>
      <c r="H736" s="5">
        <f>Tabela3[[#This Row],[Position_Size]]*Tabela3[[#This Row],[Retorno_Diário]]</f>
        <v>0</v>
      </c>
    </row>
    <row r="737" spans="1:8" x14ac:dyDescent="0.2">
      <c r="A737" s="11" t="s">
        <v>4899</v>
      </c>
      <c r="B737" s="4" t="s">
        <v>4901</v>
      </c>
      <c r="C737" s="5">
        <f t="shared" si="15"/>
        <v>-1.0963892255683061E-2</v>
      </c>
      <c r="D737" s="5"/>
      <c r="E737" s="5"/>
      <c r="F737" s="5">
        <f>IF(Tabela3[[#This Row],[Retorno_Diário]]&gt;0,1,-1)</f>
        <v>-1</v>
      </c>
      <c r="G737" s="5">
        <f>Tabela3[[#This Row],[Sinal_TSMOM]]*(0.4*Tabela3[[#This Row],[Volatilidade]])</f>
        <v>0</v>
      </c>
      <c r="H737" s="5">
        <f>Tabela3[[#This Row],[Position_Size]]*Tabela3[[#This Row],[Retorno_Diário]]</f>
        <v>0</v>
      </c>
    </row>
    <row r="738" spans="1:8" x14ac:dyDescent="0.2">
      <c r="A738" s="11" t="s">
        <v>4906</v>
      </c>
      <c r="B738" s="4" t="s">
        <v>4908</v>
      </c>
      <c r="C738" s="5">
        <f t="shared" si="15"/>
        <v>1.2111863235866993E-2</v>
      </c>
      <c r="D738" s="5"/>
      <c r="E738" s="5"/>
      <c r="F738" s="5">
        <f>IF(Tabela3[[#This Row],[Retorno_Diário]]&gt;0,1,-1)</f>
        <v>1</v>
      </c>
      <c r="G738" s="5">
        <f>Tabela3[[#This Row],[Sinal_TSMOM]]*(0.4*Tabela3[[#This Row],[Volatilidade]])</f>
        <v>0</v>
      </c>
      <c r="H738" s="5">
        <f>Tabela3[[#This Row],[Position_Size]]*Tabela3[[#This Row],[Retorno_Diário]]</f>
        <v>0</v>
      </c>
    </row>
    <row r="739" spans="1:8" x14ac:dyDescent="0.2">
      <c r="A739" s="11" t="s">
        <v>4913</v>
      </c>
      <c r="B739" s="4" t="s">
        <v>4915</v>
      </c>
      <c r="C739" s="5">
        <f t="shared" si="15"/>
        <v>3.5770918689803644E-3</v>
      </c>
      <c r="D739" s="5"/>
      <c r="E739" s="5"/>
      <c r="F739" s="5">
        <f>IF(Tabela3[[#This Row],[Retorno_Diário]]&gt;0,1,-1)</f>
        <v>1</v>
      </c>
      <c r="G739" s="5">
        <f>Tabela3[[#This Row],[Sinal_TSMOM]]*(0.4*Tabela3[[#This Row],[Volatilidade]])</f>
        <v>0</v>
      </c>
      <c r="H739" s="5">
        <f>Tabela3[[#This Row],[Position_Size]]*Tabela3[[#This Row],[Retorno_Diário]]</f>
        <v>0</v>
      </c>
    </row>
    <row r="740" spans="1:8" x14ac:dyDescent="0.2">
      <c r="A740" s="11" t="s">
        <v>4920</v>
      </c>
      <c r="B740" s="4" t="s">
        <v>4922</v>
      </c>
      <c r="C740" s="5">
        <f t="shared" si="15"/>
        <v>-1.8869249594415938E-2</v>
      </c>
      <c r="D740" s="5"/>
      <c r="E740" s="5"/>
      <c r="F740" s="5">
        <f>IF(Tabela3[[#This Row],[Retorno_Diário]]&gt;0,1,-1)</f>
        <v>-1</v>
      </c>
      <c r="G740" s="5">
        <f>Tabela3[[#This Row],[Sinal_TSMOM]]*(0.4*Tabela3[[#This Row],[Volatilidade]])</f>
        <v>0</v>
      </c>
      <c r="H740" s="5">
        <f>Tabela3[[#This Row],[Position_Size]]*Tabela3[[#This Row],[Retorno_Diário]]</f>
        <v>0</v>
      </c>
    </row>
    <row r="741" spans="1:8" x14ac:dyDescent="0.2">
      <c r="A741" s="11" t="s">
        <v>4927</v>
      </c>
      <c r="B741" s="4" t="s">
        <v>4929</v>
      </c>
      <c r="C741" s="5">
        <f t="shared" si="15"/>
        <v>-3.1404530060031743E-2</v>
      </c>
      <c r="D741" s="5"/>
      <c r="E741" s="5"/>
      <c r="F741" s="5">
        <f>IF(Tabela3[[#This Row],[Retorno_Diário]]&gt;0,1,-1)</f>
        <v>-1</v>
      </c>
      <c r="G741" s="5">
        <f>Tabela3[[#This Row],[Sinal_TSMOM]]*(0.4*Tabela3[[#This Row],[Volatilidade]])</f>
        <v>0</v>
      </c>
      <c r="H741" s="5">
        <f>Tabela3[[#This Row],[Position_Size]]*Tabela3[[#This Row],[Retorno_Diário]]</f>
        <v>0</v>
      </c>
    </row>
    <row r="742" spans="1:8" x14ac:dyDescent="0.2">
      <c r="A742" s="11" t="s">
        <v>4934</v>
      </c>
      <c r="B742" s="4" t="s">
        <v>4882</v>
      </c>
      <c r="C742" s="5">
        <f t="shared" si="15"/>
        <v>3.2094110469695902E-3</v>
      </c>
      <c r="D742" s="5"/>
      <c r="E742" s="5"/>
      <c r="F742" s="5">
        <f>IF(Tabela3[[#This Row],[Retorno_Diário]]&gt;0,1,-1)</f>
        <v>1</v>
      </c>
      <c r="G742" s="5">
        <f>Tabela3[[#This Row],[Sinal_TSMOM]]*(0.4*Tabela3[[#This Row],[Volatilidade]])</f>
        <v>0</v>
      </c>
      <c r="H742" s="5">
        <f>Tabela3[[#This Row],[Position_Size]]*Tabela3[[#This Row],[Retorno_Diário]]</f>
        <v>0</v>
      </c>
    </row>
    <row r="743" spans="1:8" x14ac:dyDescent="0.2">
      <c r="A743" s="11" t="s">
        <v>4940</v>
      </c>
      <c r="B743" s="4" t="s">
        <v>4942</v>
      </c>
      <c r="C743" s="5">
        <f t="shared" si="15"/>
        <v>3.1606210379175881E-3</v>
      </c>
      <c r="D743" s="5"/>
      <c r="E743" s="5"/>
      <c r="F743" s="5">
        <f>IF(Tabela3[[#This Row],[Retorno_Diário]]&gt;0,1,-1)</f>
        <v>1</v>
      </c>
      <c r="G743" s="5">
        <f>Tabela3[[#This Row],[Sinal_TSMOM]]*(0.4*Tabela3[[#This Row],[Volatilidade]])</f>
        <v>0</v>
      </c>
      <c r="H743" s="5">
        <f>Tabela3[[#This Row],[Position_Size]]*Tabela3[[#This Row],[Retorno_Diário]]</f>
        <v>0</v>
      </c>
    </row>
    <row r="744" spans="1:8" x14ac:dyDescent="0.2">
      <c r="A744" s="11" t="s">
        <v>4946</v>
      </c>
      <c r="B744" s="4" t="s">
        <v>4948</v>
      </c>
      <c r="C744" s="5">
        <f t="shared" si="15"/>
        <v>2.2707609065100387E-2</v>
      </c>
      <c r="D744" s="5"/>
      <c r="E744" s="5"/>
      <c r="F744" s="5">
        <f>IF(Tabela3[[#This Row],[Retorno_Diário]]&gt;0,1,-1)</f>
        <v>1</v>
      </c>
      <c r="G744" s="5">
        <f>Tabela3[[#This Row],[Sinal_TSMOM]]*(0.4*Tabela3[[#This Row],[Volatilidade]])</f>
        <v>0</v>
      </c>
      <c r="H744" s="5">
        <f>Tabela3[[#This Row],[Position_Size]]*Tabela3[[#This Row],[Retorno_Diário]]</f>
        <v>0</v>
      </c>
    </row>
    <row r="745" spans="1:8" x14ac:dyDescent="0.2">
      <c r="A745" s="11" t="s">
        <v>4952</v>
      </c>
      <c r="B745" s="4" t="s">
        <v>4954</v>
      </c>
      <c r="C745" s="5">
        <f t="shared" si="15"/>
        <v>3.8884329867323597E-3</v>
      </c>
      <c r="D745" s="5"/>
      <c r="E745" s="5"/>
      <c r="F745" s="5">
        <f>IF(Tabela3[[#This Row],[Retorno_Diário]]&gt;0,1,-1)</f>
        <v>1</v>
      </c>
      <c r="G745" s="5">
        <f>Tabela3[[#This Row],[Sinal_TSMOM]]*(0.4*Tabela3[[#This Row],[Volatilidade]])</f>
        <v>0</v>
      </c>
      <c r="H745" s="5">
        <f>Tabela3[[#This Row],[Position_Size]]*Tabela3[[#This Row],[Retorno_Diário]]</f>
        <v>0</v>
      </c>
    </row>
    <row r="746" spans="1:8" x14ac:dyDescent="0.2">
      <c r="A746" s="11" t="s">
        <v>4959</v>
      </c>
      <c r="B746" s="4" t="s">
        <v>4961</v>
      </c>
      <c r="C746" s="5">
        <f t="shared" si="15"/>
        <v>-8.8320068524947448E-3</v>
      </c>
      <c r="D746" s="5"/>
      <c r="E746" s="5"/>
      <c r="F746" s="5">
        <f>IF(Tabela3[[#This Row],[Retorno_Diário]]&gt;0,1,-1)</f>
        <v>-1</v>
      </c>
      <c r="G746" s="5">
        <f>Tabela3[[#This Row],[Sinal_TSMOM]]*(0.4*Tabela3[[#This Row],[Volatilidade]])</f>
        <v>0</v>
      </c>
      <c r="H746" s="5">
        <f>Tabela3[[#This Row],[Position_Size]]*Tabela3[[#This Row],[Retorno_Diário]]</f>
        <v>0</v>
      </c>
    </row>
    <row r="747" spans="1:8" x14ac:dyDescent="0.2">
      <c r="A747" s="11" t="s">
        <v>4966</v>
      </c>
      <c r="B747" s="4" t="s">
        <v>4968</v>
      </c>
      <c r="C747" s="5">
        <f t="shared" si="15"/>
        <v>7.4570596311336335E-3</v>
      </c>
      <c r="D747" s="5"/>
      <c r="E747" s="5"/>
      <c r="F747" s="5">
        <f>IF(Tabela3[[#This Row],[Retorno_Diário]]&gt;0,1,-1)</f>
        <v>1</v>
      </c>
      <c r="G747" s="5">
        <f>Tabela3[[#This Row],[Sinal_TSMOM]]*(0.4*Tabela3[[#This Row],[Volatilidade]])</f>
        <v>0</v>
      </c>
      <c r="H747" s="5">
        <f>Tabela3[[#This Row],[Position_Size]]*Tabela3[[#This Row],[Retorno_Diário]]</f>
        <v>0</v>
      </c>
    </row>
    <row r="748" spans="1:8" x14ac:dyDescent="0.2">
      <c r="A748" s="11" t="s">
        <v>4973</v>
      </c>
      <c r="B748" s="4" t="s">
        <v>4975</v>
      </c>
      <c r="C748" s="5">
        <f t="shared" si="15"/>
        <v>-5.1906758837069189E-3</v>
      </c>
      <c r="D748" s="5"/>
      <c r="E748" s="5"/>
      <c r="F748" s="5">
        <f>IF(Tabela3[[#This Row],[Retorno_Diário]]&gt;0,1,-1)</f>
        <v>-1</v>
      </c>
      <c r="G748" s="5">
        <f>Tabela3[[#This Row],[Sinal_TSMOM]]*(0.4*Tabela3[[#This Row],[Volatilidade]])</f>
        <v>0</v>
      </c>
      <c r="H748" s="5">
        <f>Tabela3[[#This Row],[Position_Size]]*Tabela3[[#This Row],[Retorno_Diário]]</f>
        <v>0</v>
      </c>
    </row>
    <row r="749" spans="1:8" x14ac:dyDescent="0.2">
      <c r="A749" s="11" t="s">
        <v>4980</v>
      </c>
      <c r="B749" s="4" t="s">
        <v>4982</v>
      </c>
      <c r="C749" s="5">
        <f t="shared" si="15"/>
        <v>4.5395816149258472E-3</v>
      </c>
      <c r="D749" s="5"/>
      <c r="E749" s="5"/>
      <c r="F749" s="5">
        <f>IF(Tabela3[[#This Row],[Retorno_Diário]]&gt;0,1,-1)</f>
        <v>1</v>
      </c>
      <c r="G749" s="5">
        <f>Tabela3[[#This Row],[Sinal_TSMOM]]*(0.4*Tabela3[[#This Row],[Volatilidade]])</f>
        <v>0</v>
      </c>
      <c r="H749" s="5">
        <f>Tabela3[[#This Row],[Position_Size]]*Tabela3[[#This Row],[Retorno_Diário]]</f>
        <v>0</v>
      </c>
    </row>
    <row r="750" spans="1:8" x14ac:dyDescent="0.2">
      <c r="A750" s="11" t="s">
        <v>4987</v>
      </c>
      <c r="B750" s="4" t="s">
        <v>4989</v>
      </c>
      <c r="C750" s="5">
        <f t="shared" si="15"/>
        <v>-4.0503217589131779E-3</v>
      </c>
      <c r="D750" s="5"/>
      <c r="E750" s="5"/>
      <c r="F750" s="5">
        <f>IF(Tabela3[[#This Row],[Retorno_Diário]]&gt;0,1,-1)</f>
        <v>-1</v>
      </c>
      <c r="G750" s="5">
        <f>Tabela3[[#This Row],[Sinal_TSMOM]]*(0.4*Tabela3[[#This Row],[Volatilidade]])</f>
        <v>0</v>
      </c>
      <c r="H750" s="5">
        <f>Tabela3[[#This Row],[Position_Size]]*Tabela3[[#This Row],[Retorno_Diário]]</f>
        <v>0</v>
      </c>
    </row>
    <row r="751" spans="1:8" x14ac:dyDescent="0.2">
      <c r="A751" s="11" t="s">
        <v>4994</v>
      </c>
      <c r="B751" s="4" t="s">
        <v>4996</v>
      </c>
      <c r="C751" s="5">
        <f t="shared" si="15"/>
        <v>-2.0258698146276566E-2</v>
      </c>
      <c r="D751" s="5"/>
      <c r="E751" s="5"/>
      <c r="F751" s="5">
        <f>IF(Tabela3[[#This Row],[Retorno_Diário]]&gt;0,1,-1)</f>
        <v>-1</v>
      </c>
      <c r="G751" s="5">
        <f>Tabela3[[#This Row],[Sinal_TSMOM]]*(0.4*Tabela3[[#This Row],[Volatilidade]])</f>
        <v>0</v>
      </c>
      <c r="H751" s="5">
        <f>Tabela3[[#This Row],[Position_Size]]*Tabela3[[#This Row],[Retorno_Diário]]</f>
        <v>0</v>
      </c>
    </row>
    <row r="752" spans="1:8" x14ac:dyDescent="0.2">
      <c r="A752" s="11" t="s">
        <v>5001</v>
      </c>
      <c r="B752" s="4" t="s">
        <v>5003</v>
      </c>
      <c r="C752" s="5">
        <f t="shared" si="15"/>
        <v>-1.1914652295325068E-3</v>
      </c>
      <c r="D752" s="5"/>
      <c r="E752" s="5"/>
      <c r="F752" s="5">
        <f>IF(Tabela3[[#This Row],[Retorno_Diário]]&gt;0,1,-1)</f>
        <v>-1</v>
      </c>
      <c r="G752" s="5">
        <f>Tabela3[[#This Row],[Sinal_TSMOM]]*(0.4*Tabela3[[#This Row],[Volatilidade]])</f>
        <v>0</v>
      </c>
      <c r="H752" s="5">
        <f>Tabela3[[#This Row],[Position_Size]]*Tabela3[[#This Row],[Retorno_Diário]]</f>
        <v>0</v>
      </c>
    </row>
    <row r="753" spans="1:8" x14ac:dyDescent="0.2">
      <c r="A753" s="11" t="s">
        <v>5008</v>
      </c>
      <c r="B753" s="4" t="s">
        <v>5010</v>
      </c>
      <c r="C753" s="5">
        <f t="shared" si="15"/>
        <v>-7.2150074268250153E-3</v>
      </c>
      <c r="D753" s="5"/>
      <c r="E753" s="5"/>
      <c r="F753" s="5">
        <f>IF(Tabela3[[#This Row],[Retorno_Diário]]&gt;0,1,-1)</f>
        <v>-1</v>
      </c>
      <c r="G753" s="5">
        <f>Tabela3[[#This Row],[Sinal_TSMOM]]*(0.4*Tabela3[[#This Row],[Volatilidade]])</f>
        <v>0</v>
      </c>
      <c r="H753" s="5">
        <f>Tabela3[[#This Row],[Position_Size]]*Tabela3[[#This Row],[Retorno_Diário]]</f>
        <v>0</v>
      </c>
    </row>
    <row r="754" spans="1:8" x14ac:dyDescent="0.2">
      <c r="A754" s="11" t="s">
        <v>5014</v>
      </c>
      <c r="B754" s="4" t="s">
        <v>5016</v>
      </c>
      <c r="C754" s="5">
        <f t="shared" si="15"/>
        <v>3.3527197831288991E-3</v>
      </c>
      <c r="D754" s="5"/>
      <c r="E754" s="5"/>
      <c r="F754" s="5">
        <f>IF(Tabela3[[#This Row],[Retorno_Diário]]&gt;0,1,-1)</f>
        <v>1</v>
      </c>
      <c r="G754" s="5">
        <f>Tabela3[[#This Row],[Sinal_TSMOM]]*(0.4*Tabela3[[#This Row],[Volatilidade]])</f>
        <v>0</v>
      </c>
      <c r="H754" s="5">
        <f>Tabela3[[#This Row],[Position_Size]]*Tabela3[[#This Row],[Retorno_Diário]]</f>
        <v>0</v>
      </c>
    </row>
    <row r="755" spans="1:8" x14ac:dyDescent="0.2">
      <c r="A755" s="11" t="s">
        <v>5021</v>
      </c>
      <c r="B755" s="4" t="s">
        <v>5023</v>
      </c>
      <c r="C755" s="5">
        <f t="shared" si="15"/>
        <v>1.5645247366610882E-2</v>
      </c>
      <c r="D755" s="5"/>
      <c r="E755" s="5"/>
      <c r="F755" s="5">
        <f>IF(Tabela3[[#This Row],[Retorno_Diário]]&gt;0,1,-1)</f>
        <v>1</v>
      </c>
      <c r="G755" s="5">
        <f>Tabela3[[#This Row],[Sinal_TSMOM]]*(0.4*Tabela3[[#This Row],[Volatilidade]])</f>
        <v>0</v>
      </c>
      <c r="H755" s="5">
        <f>Tabela3[[#This Row],[Position_Size]]*Tabela3[[#This Row],[Retorno_Diário]]</f>
        <v>0</v>
      </c>
    </row>
    <row r="756" spans="1:8" x14ac:dyDescent="0.2">
      <c r="A756" s="12" t="s">
        <v>5028</v>
      </c>
      <c r="B756" s="13" t="s">
        <v>5030</v>
      </c>
      <c r="C756" s="14">
        <f t="shared" si="15"/>
        <v>-6.9033520555761285E-3</v>
      </c>
      <c r="D756" s="14">
        <f>Tabela3[[#This Row],[Preço_Fecho]]/B504-1</f>
        <v>1.1766496984105643</v>
      </c>
      <c r="E756" s="14">
        <f>_xlfn.STDEV.P(C504:C756)*SQRT(253)</f>
        <v>0.57824019982606922</v>
      </c>
      <c r="F756" s="14">
        <f>IF(Tabela3[[#This Row],[Retorno_Diário]]&gt;0,1,-1)</f>
        <v>-1</v>
      </c>
      <c r="G756" s="14">
        <f>Tabela3[[#This Row],[Sinal_TSMOM]]*(0.4*Tabela3[[#This Row],[Volatilidade]])</f>
        <v>-0.23129607993042769</v>
      </c>
      <c r="H756" s="14">
        <f>Tabela3[[#This Row],[Position_Size]]*Tabela3[[#This Row],[Retorno_Diário]]</f>
        <v>1.5967182688344185E-3</v>
      </c>
    </row>
    <row r="757" spans="1:8" x14ac:dyDescent="0.2">
      <c r="A757" s="11" t="s">
        <v>5035</v>
      </c>
      <c r="B757" s="4" t="s">
        <v>5037</v>
      </c>
      <c r="C757" s="5">
        <f t="shared" si="15"/>
        <v>4.4809907985607911E-3</v>
      </c>
      <c r="D757" s="5"/>
      <c r="E757" s="5"/>
      <c r="F757" s="5">
        <f>IF(Tabela3[[#This Row],[Retorno_Diário]]&gt;0,1,-1)</f>
        <v>1</v>
      </c>
      <c r="G757" s="5">
        <f>Tabela3[[#This Row],[Sinal_TSMOM]]*(0.4*Tabela3[[#This Row],[Volatilidade]])</f>
        <v>0</v>
      </c>
      <c r="H757" s="5">
        <f>Tabela3[[#This Row],[Position_Size]]*Tabela3[[#This Row],[Retorno_Diário]]</f>
        <v>0</v>
      </c>
    </row>
    <row r="758" spans="1:8" x14ac:dyDescent="0.2">
      <c r="A758" s="11" t="s">
        <v>5042</v>
      </c>
      <c r="B758" s="4" t="s">
        <v>5044</v>
      </c>
      <c r="C758" s="5">
        <f t="shared" si="15"/>
        <v>2.2209954386386732E-2</v>
      </c>
      <c r="D758" s="5"/>
      <c r="E758" s="5"/>
      <c r="F758" s="5">
        <f>IF(Tabela3[[#This Row],[Retorno_Diário]]&gt;0,1,-1)</f>
        <v>1</v>
      </c>
      <c r="G758" s="5">
        <f>Tabela3[[#This Row],[Sinal_TSMOM]]*(0.4*Tabela3[[#This Row],[Volatilidade]])</f>
        <v>0</v>
      </c>
      <c r="H758" s="5">
        <f>Tabela3[[#This Row],[Position_Size]]*Tabela3[[#This Row],[Retorno_Diário]]</f>
        <v>0</v>
      </c>
    </row>
    <row r="759" spans="1:8" x14ac:dyDescent="0.2">
      <c r="A759" s="11" t="s">
        <v>5049</v>
      </c>
      <c r="B759" s="4" t="s">
        <v>5051</v>
      </c>
      <c r="C759" s="5">
        <f t="shared" si="15"/>
        <v>-5.8952970564172369E-2</v>
      </c>
      <c r="D759" s="5"/>
      <c r="E759" s="5"/>
      <c r="F759" s="5">
        <f>IF(Tabela3[[#This Row],[Retorno_Diário]]&gt;0,1,-1)</f>
        <v>-1</v>
      </c>
      <c r="G759" s="5">
        <f>Tabela3[[#This Row],[Sinal_TSMOM]]*(0.4*Tabela3[[#This Row],[Volatilidade]])</f>
        <v>0</v>
      </c>
      <c r="H759" s="5">
        <f>Tabela3[[#This Row],[Position_Size]]*Tabela3[[#This Row],[Retorno_Diário]]</f>
        <v>0</v>
      </c>
    </row>
    <row r="760" spans="1:8" x14ac:dyDescent="0.2">
      <c r="A760" s="11" t="s">
        <v>5056</v>
      </c>
      <c r="B760" s="4" t="s">
        <v>5058</v>
      </c>
      <c r="C760" s="5">
        <f t="shared" si="15"/>
        <v>5.7830259958559171E-2</v>
      </c>
      <c r="D760" s="5"/>
      <c r="E760" s="5"/>
      <c r="F760" s="5">
        <f>IF(Tabela3[[#This Row],[Retorno_Diário]]&gt;0,1,-1)</f>
        <v>1</v>
      </c>
      <c r="G760" s="5">
        <f>Tabela3[[#This Row],[Sinal_TSMOM]]*(0.4*Tabela3[[#This Row],[Volatilidade]])</f>
        <v>0</v>
      </c>
      <c r="H760" s="5">
        <f>Tabela3[[#This Row],[Position_Size]]*Tabela3[[#This Row],[Retorno_Diário]]</f>
        <v>0</v>
      </c>
    </row>
    <row r="761" spans="1:8" x14ac:dyDescent="0.2">
      <c r="A761" s="11" t="s">
        <v>5062</v>
      </c>
      <c r="B761" s="4" t="s">
        <v>5064</v>
      </c>
      <c r="C761" s="5">
        <f t="shared" si="15"/>
        <v>-5.0397371449417694E-3</v>
      </c>
      <c r="D761" s="5"/>
      <c r="E761" s="5"/>
      <c r="F761" s="5">
        <f>IF(Tabela3[[#This Row],[Retorno_Diário]]&gt;0,1,-1)</f>
        <v>-1</v>
      </c>
      <c r="G761" s="5">
        <f>Tabela3[[#This Row],[Sinal_TSMOM]]*(0.4*Tabela3[[#This Row],[Volatilidade]])</f>
        <v>0</v>
      </c>
      <c r="H761" s="5">
        <f>Tabela3[[#This Row],[Position_Size]]*Tabela3[[#This Row],[Retorno_Diário]]</f>
        <v>0</v>
      </c>
    </row>
    <row r="762" spans="1:8" x14ac:dyDescent="0.2">
      <c r="A762" s="11" t="s">
        <v>5069</v>
      </c>
      <c r="B762" s="4" t="s">
        <v>5071</v>
      </c>
      <c r="C762" s="5">
        <f t="shared" si="15"/>
        <v>2.5966476318484144E-2</v>
      </c>
      <c r="D762" s="5"/>
      <c r="E762" s="5"/>
      <c r="F762" s="5">
        <f>IF(Tabela3[[#This Row],[Retorno_Diário]]&gt;0,1,-1)</f>
        <v>1</v>
      </c>
      <c r="G762" s="5">
        <f>Tabela3[[#This Row],[Sinal_TSMOM]]*(0.4*Tabela3[[#This Row],[Volatilidade]])</f>
        <v>0</v>
      </c>
      <c r="H762" s="5">
        <f>Tabela3[[#This Row],[Position_Size]]*Tabela3[[#This Row],[Retorno_Diário]]</f>
        <v>0</v>
      </c>
    </row>
    <row r="763" spans="1:8" x14ac:dyDescent="0.2">
      <c r="A763" s="11" t="s">
        <v>5075</v>
      </c>
      <c r="B763" s="4" t="s">
        <v>5077</v>
      </c>
      <c r="C763" s="5">
        <f t="shared" si="15"/>
        <v>-1.0039292375965458E-2</v>
      </c>
      <c r="D763" s="5"/>
      <c r="E763" s="5"/>
      <c r="F763" s="5">
        <f>IF(Tabela3[[#This Row],[Retorno_Diário]]&gt;0,1,-1)</f>
        <v>-1</v>
      </c>
      <c r="G763" s="5">
        <f>Tabela3[[#This Row],[Sinal_TSMOM]]*(0.4*Tabela3[[#This Row],[Volatilidade]])</f>
        <v>0</v>
      </c>
      <c r="H763" s="5">
        <f>Tabela3[[#This Row],[Position_Size]]*Tabela3[[#This Row],[Retorno_Diário]]</f>
        <v>0</v>
      </c>
    </row>
    <row r="764" spans="1:8" x14ac:dyDescent="0.2">
      <c r="A764" s="11" t="s">
        <v>5082</v>
      </c>
      <c r="B764" s="4" t="s">
        <v>5084</v>
      </c>
      <c r="C764" s="5">
        <f t="shared" si="15"/>
        <v>3.4854136749566944E-3</v>
      </c>
      <c r="D764" s="5"/>
      <c r="E764" s="5"/>
      <c r="F764" s="5">
        <f>IF(Tabela3[[#This Row],[Retorno_Diário]]&gt;0,1,-1)</f>
        <v>1</v>
      </c>
      <c r="G764" s="5">
        <f>Tabela3[[#This Row],[Sinal_TSMOM]]*(0.4*Tabela3[[#This Row],[Volatilidade]])</f>
        <v>0</v>
      </c>
      <c r="H764" s="5">
        <f>Tabela3[[#This Row],[Position_Size]]*Tabela3[[#This Row],[Retorno_Diário]]</f>
        <v>0</v>
      </c>
    </row>
    <row r="765" spans="1:8" x14ac:dyDescent="0.2">
      <c r="A765" s="11" t="s">
        <v>5088</v>
      </c>
      <c r="B765" s="4" t="s">
        <v>5090</v>
      </c>
      <c r="C765" s="5">
        <f t="shared" si="15"/>
        <v>-2.4497944473867994E-2</v>
      </c>
      <c r="D765" s="5"/>
      <c r="E765" s="5"/>
      <c r="F765" s="5">
        <f>IF(Tabela3[[#This Row],[Retorno_Diário]]&gt;0,1,-1)</f>
        <v>-1</v>
      </c>
      <c r="G765" s="5">
        <f>Tabela3[[#This Row],[Sinal_TSMOM]]*(0.4*Tabela3[[#This Row],[Volatilidade]])</f>
        <v>0</v>
      </c>
      <c r="H765" s="5">
        <f>Tabela3[[#This Row],[Position_Size]]*Tabela3[[#This Row],[Retorno_Diário]]</f>
        <v>0</v>
      </c>
    </row>
    <row r="766" spans="1:8" x14ac:dyDescent="0.2">
      <c r="A766" s="11" t="s">
        <v>5094</v>
      </c>
      <c r="B766" s="4" t="s">
        <v>5096</v>
      </c>
      <c r="C766" s="5">
        <f t="shared" si="15"/>
        <v>-2.5813886030128685E-2</v>
      </c>
      <c r="D766" s="5"/>
      <c r="E766" s="5"/>
      <c r="F766" s="5">
        <f>IF(Tabela3[[#This Row],[Retorno_Diário]]&gt;0,1,-1)</f>
        <v>-1</v>
      </c>
      <c r="G766" s="5">
        <f>Tabela3[[#This Row],[Sinal_TSMOM]]*(0.4*Tabela3[[#This Row],[Volatilidade]])</f>
        <v>0</v>
      </c>
      <c r="H766" s="5">
        <f>Tabela3[[#This Row],[Position_Size]]*Tabela3[[#This Row],[Retorno_Diário]]</f>
        <v>0</v>
      </c>
    </row>
    <row r="767" spans="1:8" x14ac:dyDescent="0.2">
      <c r="A767" s="11" t="s">
        <v>5101</v>
      </c>
      <c r="B767" s="4" t="s">
        <v>5103</v>
      </c>
      <c r="C767" s="5">
        <f t="shared" si="15"/>
        <v>1.2889342853535712E-2</v>
      </c>
      <c r="D767" s="5"/>
      <c r="E767" s="5"/>
      <c r="F767" s="5">
        <f>IF(Tabela3[[#This Row],[Retorno_Diário]]&gt;0,1,-1)</f>
        <v>1</v>
      </c>
      <c r="G767" s="5">
        <f>Tabela3[[#This Row],[Sinal_TSMOM]]*(0.4*Tabela3[[#This Row],[Volatilidade]])</f>
        <v>0</v>
      </c>
      <c r="H767" s="5">
        <f>Tabela3[[#This Row],[Position_Size]]*Tabela3[[#This Row],[Retorno_Diário]]</f>
        <v>0</v>
      </c>
    </row>
    <row r="768" spans="1:8" x14ac:dyDescent="0.2">
      <c r="A768" s="11" t="s">
        <v>5108</v>
      </c>
      <c r="B768" s="4" t="s">
        <v>5110</v>
      </c>
      <c r="C768" s="5">
        <f t="shared" si="15"/>
        <v>2.6141522547467044E-2</v>
      </c>
      <c r="D768" s="5"/>
      <c r="E768" s="5"/>
      <c r="F768" s="5">
        <f>IF(Tabela3[[#This Row],[Retorno_Diário]]&gt;0,1,-1)</f>
        <v>1</v>
      </c>
      <c r="G768" s="5">
        <f>Tabela3[[#This Row],[Sinal_TSMOM]]*(0.4*Tabela3[[#This Row],[Volatilidade]])</f>
        <v>0</v>
      </c>
      <c r="H768" s="5">
        <f>Tabela3[[#This Row],[Position_Size]]*Tabela3[[#This Row],[Retorno_Diário]]</f>
        <v>0</v>
      </c>
    </row>
    <row r="769" spans="1:8" x14ac:dyDescent="0.2">
      <c r="A769" s="11" t="s">
        <v>5115</v>
      </c>
      <c r="B769" s="4" t="s">
        <v>5117</v>
      </c>
      <c r="C769" s="5">
        <f t="shared" si="15"/>
        <v>3.7539979472001495E-2</v>
      </c>
      <c r="D769" s="5"/>
      <c r="E769" s="5"/>
      <c r="F769" s="5">
        <f>IF(Tabela3[[#This Row],[Retorno_Diário]]&gt;0,1,-1)</f>
        <v>1</v>
      </c>
      <c r="G769" s="5">
        <f>Tabela3[[#This Row],[Sinal_TSMOM]]*(0.4*Tabela3[[#This Row],[Volatilidade]])</f>
        <v>0</v>
      </c>
      <c r="H769" s="5">
        <f>Tabela3[[#This Row],[Position_Size]]*Tabela3[[#This Row],[Retorno_Diário]]</f>
        <v>0</v>
      </c>
    </row>
    <row r="770" spans="1:8" x14ac:dyDescent="0.2">
      <c r="A770" s="11" t="s">
        <v>5122</v>
      </c>
      <c r="B770" s="4" t="s">
        <v>5124</v>
      </c>
      <c r="C770" s="5">
        <f t="shared" si="15"/>
        <v>-1.117726217663384E-2</v>
      </c>
      <c r="D770" s="5"/>
      <c r="E770" s="5"/>
      <c r="F770" s="5">
        <f>IF(Tabela3[[#This Row],[Retorno_Diário]]&gt;0,1,-1)</f>
        <v>-1</v>
      </c>
      <c r="G770" s="5">
        <f>Tabela3[[#This Row],[Sinal_TSMOM]]*(0.4*Tabela3[[#This Row],[Volatilidade]])</f>
        <v>0</v>
      </c>
      <c r="H770" s="5">
        <f>Tabela3[[#This Row],[Position_Size]]*Tabela3[[#This Row],[Retorno_Diário]]</f>
        <v>0</v>
      </c>
    </row>
    <row r="771" spans="1:8" x14ac:dyDescent="0.2">
      <c r="A771" s="11" t="s">
        <v>5128</v>
      </c>
      <c r="B771" s="4" t="s">
        <v>5130</v>
      </c>
      <c r="C771" s="5">
        <f t="shared" ref="C771:C834" si="16">B771/B770-1</f>
        <v>-4.3208663320313256E-3</v>
      </c>
      <c r="D771" s="5"/>
      <c r="E771" s="5"/>
      <c r="F771" s="5">
        <f>IF(Tabela3[[#This Row],[Retorno_Diário]]&gt;0,1,-1)</f>
        <v>-1</v>
      </c>
      <c r="G771" s="5">
        <f>Tabela3[[#This Row],[Sinal_TSMOM]]*(0.4*Tabela3[[#This Row],[Volatilidade]])</f>
        <v>0</v>
      </c>
      <c r="H771" s="5">
        <f>Tabela3[[#This Row],[Position_Size]]*Tabela3[[#This Row],[Retorno_Diário]]</f>
        <v>0</v>
      </c>
    </row>
    <row r="772" spans="1:8" x14ac:dyDescent="0.2">
      <c r="A772" s="11" t="s">
        <v>5135</v>
      </c>
      <c r="B772" s="4" t="s">
        <v>5137</v>
      </c>
      <c r="C772" s="5">
        <f t="shared" si="16"/>
        <v>-1.5966854957962018E-2</v>
      </c>
      <c r="D772" s="5"/>
      <c r="E772" s="5"/>
      <c r="F772" s="5">
        <f>IF(Tabela3[[#This Row],[Retorno_Diário]]&gt;0,1,-1)</f>
        <v>-1</v>
      </c>
      <c r="G772" s="5">
        <f>Tabela3[[#This Row],[Sinal_TSMOM]]*(0.4*Tabela3[[#This Row],[Volatilidade]])</f>
        <v>0</v>
      </c>
      <c r="H772" s="5">
        <f>Tabela3[[#This Row],[Position_Size]]*Tabela3[[#This Row],[Retorno_Diário]]</f>
        <v>0</v>
      </c>
    </row>
    <row r="773" spans="1:8" x14ac:dyDescent="0.2">
      <c r="A773" s="11" t="s">
        <v>5142</v>
      </c>
      <c r="B773" s="4" t="s">
        <v>5144</v>
      </c>
      <c r="C773" s="5">
        <f t="shared" si="16"/>
        <v>-3.8518070957580197E-2</v>
      </c>
      <c r="D773" s="5"/>
      <c r="E773" s="5"/>
      <c r="F773" s="5">
        <f>IF(Tabela3[[#This Row],[Retorno_Diário]]&gt;0,1,-1)</f>
        <v>-1</v>
      </c>
      <c r="G773" s="5">
        <f>Tabela3[[#This Row],[Sinal_TSMOM]]*(0.4*Tabela3[[#This Row],[Volatilidade]])</f>
        <v>0</v>
      </c>
      <c r="H773" s="5">
        <f>Tabela3[[#This Row],[Position_Size]]*Tabela3[[#This Row],[Retorno_Diário]]</f>
        <v>0</v>
      </c>
    </row>
    <row r="774" spans="1:8" x14ac:dyDescent="0.2">
      <c r="A774" s="11" t="s">
        <v>5149</v>
      </c>
      <c r="B774" s="4" t="s">
        <v>4609</v>
      </c>
      <c r="C774" s="5">
        <f t="shared" si="16"/>
        <v>1.0315208077107618E-2</v>
      </c>
      <c r="D774" s="5"/>
      <c r="E774" s="5"/>
      <c r="F774" s="5">
        <f>IF(Tabela3[[#This Row],[Retorno_Diário]]&gt;0,1,-1)</f>
        <v>1</v>
      </c>
      <c r="G774" s="5">
        <f>Tabela3[[#This Row],[Sinal_TSMOM]]*(0.4*Tabela3[[#This Row],[Volatilidade]])</f>
        <v>0</v>
      </c>
      <c r="H774" s="5">
        <f>Tabela3[[#This Row],[Position_Size]]*Tabela3[[#This Row],[Retorno_Diário]]</f>
        <v>0</v>
      </c>
    </row>
    <row r="775" spans="1:8" x14ac:dyDescent="0.2">
      <c r="A775" s="11" t="s">
        <v>5155</v>
      </c>
      <c r="B775" s="4" t="s">
        <v>5157</v>
      </c>
      <c r="C775" s="5">
        <f t="shared" si="16"/>
        <v>-4.6931066319869652E-3</v>
      </c>
      <c r="D775" s="5"/>
      <c r="E775" s="5"/>
      <c r="F775" s="5">
        <f>IF(Tabela3[[#This Row],[Retorno_Diário]]&gt;0,1,-1)</f>
        <v>-1</v>
      </c>
      <c r="G775" s="5">
        <f>Tabela3[[#This Row],[Sinal_TSMOM]]*(0.4*Tabela3[[#This Row],[Volatilidade]])</f>
        <v>0</v>
      </c>
      <c r="H775" s="5">
        <f>Tabela3[[#This Row],[Position_Size]]*Tabela3[[#This Row],[Retorno_Diário]]</f>
        <v>0</v>
      </c>
    </row>
    <row r="776" spans="1:8" x14ac:dyDescent="0.2">
      <c r="A776" s="11" t="s">
        <v>5162</v>
      </c>
      <c r="B776" s="4" t="s">
        <v>5164</v>
      </c>
      <c r="C776" s="5">
        <f t="shared" si="16"/>
        <v>1.9034281544174636E-2</v>
      </c>
      <c r="D776" s="5"/>
      <c r="E776" s="5"/>
      <c r="F776" s="5">
        <f>IF(Tabela3[[#This Row],[Retorno_Diário]]&gt;0,1,-1)</f>
        <v>1</v>
      </c>
      <c r="G776" s="5">
        <f>Tabela3[[#This Row],[Sinal_TSMOM]]*(0.4*Tabela3[[#This Row],[Volatilidade]])</f>
        <v>0</v>
      </c>
      <c r="H776" s="5">
        <f>Tabela3[[#This Row],[Position_Size]]*Tabela3[[#This Row],[Retorno_Diário]]</f>
        <v>0</v>
      </c>
    </row>
    <row r="777" spans="1:8" x14ac:dyDescent="0.2">
      <c r="A777" s="11" t="s">
        <v>5169</v>
      </c>
      <c r="B777" s="4" t="s">
        <v>5171</v>
      </c>
      <c r="C777" s="5">
        <f t="shared" si="16"/>
        <v>2.4155761948430721E-2</v>
      </c>
      <c r="D777" s="5"/>
      <c r="E777" s="5"/>
      <c r="F777" s="5">
        <f>IF(Tabela3[[#This Row],[Retorno_Diário]]&gt;0,1,-1)</f>
        <v>1</v>
      </c>
      <c r="G777" s="5">
        <f>Tabela3[[#This Row],[Sinal_TSMOM]]*(0.4*Tabela3[[#This Row],[Volatilidade]])</f>
        <v>0</v>
      </c>
      <c r="H777" s="5">
        <f>Tabela3[[#This Row],[Position_Size]]*Tabela3[[#This Row],[Retorno_Diário]]</f>
        <v>0</v>
      </c>
    </row>
    <row r="778" spans="1:8" x14ac:dyDescent="0.2">
      <c r="A778" s="11" t="s">
        <v>5176</v>
      </c>
      <c r="B778" s="4" t="s">
        <v>4593</v>
      </c>
      <c r="C778" s="5">
        <f t="shared" si="16"/>
        <v>-1.9362963086921869E-3</v>
      </c>
      <c r="D778" s="5"/>
      <c r="E778" s="5"/>
      <c r="F778" s="5">
        <f>IF(Tabela3[[#This Row],[Retorno_Diário]]&gt;0,1,-1)</f>
        <v>-1</v>
      </c>
      <c r="G778" s="5">
        <f>Tabela3[[#This Row],[Sinal_TSMOM]]*(0.4*Tabela3[[#This Row],[Volatilidade]])</f>
        <v>0</v>
      </c>
      <c r="H778" s="5">
        <f>Tabela3[[#This Row],[Position_Size]]*Tabela3[[#This Row],[Retorno_Diário]]</f>
        <v>0</v>
      </c>
    </row>
    <row r="779" spans="1:8" x14ac:dyDescent="0.2">
      <c r="A779" s="11" t="s">
        <v>5182</v>
      </c>
      <c r="B779" s="4" t="s">
        <v>5184</v>
      </c>
      <c r="C779" s="5">
        <f t="shared" si="16"/>
        <v>9.885071341079632E-3</v>
      </c>
      <c r="D779" s="5"/>
      <c r="E779" s="5"/>
      <c r="F779" s="5">
        <f>IF(Tabela3[[#This Row],[Retorno_Diário]]&gt;0,1,-1)</f>
        <v>1</v>
      </c>
      <c r="G779" s="5">
        <f>Tabela3[[#This Row],[Sinal_TSMOM]]*(0.4*Tabela3[[#This Row],[Volatilidade]])</f>
        <v>0</v>
      </c>
      <c r="H779" s="5">
        <f>Tabela3[[#This Row],[Position_Size]]*Tabela3[[#This Row],[Retorno_Diário]]</f>
        <v>0</v>
      </c>
    </row>
    <row r="780" spans="1:8" x14ac:dyDescent="0.2">
      <c r="A780" s="11" t="s">
        <v>5188</v>
      </c>
      <c r="B780" s="4" t="s">
        <v>5190</v>
      </c>
      <c r="C780" s="5">
        <f t="shared" si="16"/>
        <v>-5.3607602733286575E-3</v>
      </c>
      <c r="D780" s="5"/>
      <c r="E780" s="5"/>
      <c r="F780" s="5">
        <f>IF(Tabela3[[#This Row],[Retorno_Diário]]&gt;0,1,-1)</f>
        <v>-1</v>
      </c>
      <c r="G780" s="5">
        <f>Tabela3[[#This Row],[Sinal_TSMOM]]*(0.4*Tabela3[[#This Row],[Volatilidade]])</f>
        <v>0</v>
      </c>
      <c r="H780" s="5">
        <f>Tabela3[[#This Row],[Position_Size]]*Tabela3[[#This Row],[Retorno_Diário]]</f>
        <v>0</v>
      </c>
    </row>
    <row r="781" spans="1:8" x14ac:dyDescent="0.2">
      <c r="A781" s="11" t="s">
        <v>5195</v>
      </c>
      <c r="B781" s="4" t="s">
        <v>5197</v>
      </c>
      <c r="C781" s="5">
        <f t="shared" si="16"/>
        <v>6.2375887609719571E-2</v>
      </c>
      <c r="D781" s="5"/>
      <c r="E781" s="5"/>
      <c r="F781" s="5">
        <f>IF(Tabela3[[#This Row],[Retorno_Diário]]&gt;0,1,-1)</f>
        <v>1</v>
      </c>
      <c r="G781" s="5">
        <f>Tabela3[[#This Row],[Sinal_TSMOM]]*(0.4*Tabela3[[#This Row],[Volatilidade]])</f>
        <v>0</v>
      </c>
      <c r="H781" s="5">
        <f>Tabela3[[#This Row],[Position_Size]]*Tabela3[[#This Row],[Retorno_Diário]]</f>
        <v>0</v>
      </c>
    </row>
    <row r="782" spans="1:8" x14ac:dyDescent="0.2">
      <c r="A782" s="11" t="s">
        <v>5201</v>
      </c>
      <c r="B782" s="4" t="s">
        <v>5203</v>
      </c>
      <c r="C782" s="5">
        <f t="shared" si="16"/>
        <v>-1.2154785755762898E-2</v>
      </c>
      <c r="D782" s="5"/>
      <c r="E782" s="5"/>
      <c r="F782" s="5">
        <f>IF(Tabela3[[#This Row],[Retorno_Diário]]&gt;0,1,-1)</f>
        <v>-1</v>
      </c>
      <c r="G782" s="5">
        <f>Tabela3[[#This Row],[Sinal_TSMOM]]*(0.4*Tabela3[[#This Row],[Volatilidade]])</f>
        <v>0</v>
      </c>
      <c r="H782" s="5">
        <f>Tabela3[[#This Row],[Position_Size]]*Tabela3[[#This Row],[Retorno_Diário]]</f>
        <v>0</v>
      </c>
    </row>
    <row r="783" spans="1:8" x14ac:dyDescent="0.2">
      <c r="A783" s="11" t="s">
        <v>5208</v>
      </c>
      <c r="B783" s="4" t="s">
        <v>5210</v>
      </c>
      <c r="C783" s="5">
        <f t="shared" si="16"/>
        <v>3.5125195054166447E-2</v>
      </c>
      <c r="D783" s="5"/>
      <c r="E783" s="5"/>
      <c r="F783" s="5">
        <f>IF(Tabela3[[#This Row],[Retorno_Diário]]&gt;0,1,-1)</f>
        <v>1</v>
      </c>
      <c r="G783" s="5">
        <f>Tabela3[[#This Row],[Sinal_TSMOM]]*(0.4*Tabela3[[#This Row],[Volatilidade]])</f>
        <v>0</v>
      </c>
      <c r="H783" s="5">
        <f>Tabela3[[#This Row],[Position_Size]]*Tabela3[[#This Row],[Retorno_Diário]]</f>
        <v>0</v>
      </c>
    </row>
    <row r="784" spans="1:8" x14ac:dyDescent="0.2">
      <c r="A784" s="11" t="s">
        <v>5215</v>
      </c>
      <c r="B784" s="4" t="s">
        <v>5217</v>
      </c>
      <c r="C784" s="5">
        <f t="shared" si="16"/>
        <v>3.295120259500095E-2</v>
      </c>
      <c r="D784" s="5"/>
      <c r="E784" s="5"/>
      <c r="F784" s="5">
        <f>IF(Tabela3[[#This Row],[Retorno_Diário]]&gt;0,1,-1)</f>
        <v>1</v>
      </c>
      <c r="G784" s="5">
        <f>Tabela3[[#This Row],[Sinal_TSMOM]]*(0.4*Tabela3[[#This Row],[Volatilidade]])</f>
        <v>0</v>
      </c>
      <c r="H784" s="5">
        <f>Tabela3[[#This Row],[Position_Size]]*Tabela3[[#This Row],[Retorno_Diário]]</f>
        <v>0</v>
      </c>
    </row>
    <row r="785" spans="1:8" x14ac:dyDescent="0.2">
      <c r="A785" s="11" t="s">
        <v>5222</v>
      </c>
      <c r="B785" s="4" t="s">
        <v>5224</v>
      </c>
      <c r="C785" s="5">
        <f t="shared" si="16"/>
        <v>-1.8982626471321318E-2</v>
      </c>
      <c r="D785" s="5"/>
      <c r="E785" s="5"/>
      <c r="F785" s="5">
        <f>IF(Tabela3[[#This Row],[Retorno_Diário]]&gt;0,1,-1)</f>
        <v>-1</v>
      </c>
      <c r="G785" s="5">
        <f>Tabela3[[#This Row],[Sinal_TSMOM]]*(0.4*Tabela3[[#This Row],[Volatilidade]])</f>
        <v>0</v>
      </c>
      <c r="H785" s="5">
        <f>Tabela3[[#This Row],[Position_Size]]*Tabela3[[#This Row],[Retorno_Diário]]</f>
        <v>0</v>
      </c>
    </row>
    <row r="786" spans="1:8" x14ac:dyDescent="0.2">
      <c r="A786" s="11" t="s">
        <v>5229</v>
      </c>
      <c r="B786" s="4" t="s">
        <v>5231</v>
      </c>
      <c r="C786" s="5">
        <f t="shared" si="16"/>
        <v>2.4663679416789597E-2</v>
      </c>
      <c r="D786" s="5"/>
      <c r="E786" s="5"/>
      <c r="F786" s="5">
        <f>IF(Tabela3[[#This Row],[Retorno_Diário]]&gt;0,1,-1)</f>
        <v>1</v>
      </c>
      <c r="G786" s="5">
        <f>Tabela3[[#This Row],[Sinal_TSMOM]]*(0.4*Tabela3[[#This Row],[Volatilidade]])</f>
        <v>0</v>
      </c>
      <c r="H786" s="5">
        <f>Tabela3[[#This Row],[Position_Size]]*Tabela3[[#This Row],[Retorno_Diário]]</f>
        <v>0</v>
      </c>
    </row>
    <row r="787" spans="1:8" x14ac:dyDescent="0.2">
      <c r="A787" s="11" t="s">
        <v>5236</v>
      </c>
      <c r="B787" s="4" t="s">
        <v>5238</v>
      </c>
      <c r="C787" s="5">
        <f t="shared" si="16"/>
        <v>-2.7674020642821207E-2</v>
      </c>
      <c r="D787" s="5"/>
      <c r="E787" s="5"/>
      <c r="F787" s="5">
        <f>IF(Tabela3[[#This Row],[Retorno_Diário]]&gt;0,1,-1)</f>
        <v>-1</v>
      </c>
      <c r="G787" s="5">
        <f>Tabela3[[#This Row],[Sinal_TSMOM]]*(0.4*Tabela3[[#This Row],[Volatilidade]])</f>
        <v>0</v>
      </c>
      <c r="H787" s="5">
        <f>Tabela3[[#This Row],[Position_Size]]*Tabela3[[#This Row],[Retorno_Diário]]</f>
        <v>0</v>
      </c>
    </row>
    <row r="788" spans="1:8" x14ac:dyDescent="0.2">
      <c r="A788" s="11" t="s">
        <v>5243</v>
      </c>
      <c r="B788" s="4" t="s">
        <v>5245</v>
      </c>
      <c r="C788" s="5">
        <f t="shared" si="16"/>
        <v>-5.1656825169261733E-3</v>
      </c>
      <c r="D788" s="5"/>
      <c r="E788" s="5"/>
      <c r="F788" s="5">
        <f>IF(Tabela3[[#This Row],[Retorno_Diário]]&gt;0,1,-1)</f>
        <v>-1</v>
      </c>
      <c r="G788" s="5">
        <f>Tabela3[[#This Row],[Sinal_TSMOM]]*(0.4*Tabela3[[#This Row],[Volatilidade]])</f>
        <v>0</v>
      </c>
      <c r="H788" s="5">
        <f>Tabela3[[#This Row],[Position_Size]]*Tabela3[[#This Row],[Retorno_Diário]]</f>
        <v>0</v>
      </c>
    </row>
    <row r="789" spans="1:8" x14ac:dyDescent="0.2">
      <c r="A789" s="11" t="s">
        <v>5250</v>
      </c>
      <c r="B789" s="4" t="s">
        <v>5252</v>
      </c>
      <c r="C789" s="5">
        <f t="shared" si="16"/>
        <v>6.5749439815228072E-3</v>
      </c>
      <c r="D789" s="5"/>
      <c r="E789" s="5"/>
      <c r="F789" s="5">
        <f>IF(Tabela3[[#This Row],[Retorno_Diário]]&gt;0,1,-1)</f>
        <v>1</v>
      </c>
      <c r="G789" s="5">
        <f>Tabela3[[#This Row],[Sinal_TSMOM]]*(0.4*Tabela3[[#This Row],[Volatilidade]])</f>
        <v>0</v>
      </c>
      <c r="H789" s="5">
        <f>Tabela3[[#This Row],[Position_Size]]*Tabela3[[#This Row],[Retorno_Diário]]</f>
        <v>0</v>
      </c>
    </row>
    <row r="790" spans="1:8" x14ac:dyDescent="0.2">
      <c r="A790" s="11" t="s">
        <v>5257</v>
      </c>
      <c r="B790" s="4" t="s">
        <v>5259</v>
      </c>
      <c r="C790" s="5">
        <f t="shared" si="16"/>
        <v>-3.8237378103280983E-2</v>
      </c>
      <c r="D790" s="5"/>
      <c r="E790" s="5"/>
      <c r="F790" s="5">
        <f>IF(Tabela3[[#This Row],[Retorno_Diário]]&gt;0,1,-1)</f>
        <v>-1</v>
      </c>
      <c r="G790" s="5">
        <f>Tabela3[[#This Row],[Sinal_TSMOM]]*(0.4*Tabela3[[#This Row],[Volatilidade]])</f>
        <v>0</v>
      </c>
      <c r="H790" s="5">
        <f>Tabela3[[#This Row],[Position_Size]]*Tabela3[[#This Row],[Retorno_Diário]]</f>
        <v>0</v>
      </c>
    </row>
    <row r="791" spans="1:8" x14ac:dyDescent="0.2">
      <c r="A791" s="11" t="s">
        <v>5264</v>
      </c>
      <c r="B791" s="4" t="s">
        <v>4622</v>
      </c>
      <c r="C791" s="5">
        <f t="shared" si="16"/>
        <v>-1.4889496146807124E-2</v>
      </c>
      <c r="D791" s="5"/>
      <c r="E791" s="5"/>
      <c r="F791" s="5">
        <f>IF(Tabela3[[#This Row],[Retorno_Diário]]&gt;0,1,-1)</f>
        <v>-1</v>
      </c>
      <c r="G791" s="5">
        <f>Tabela3[[#This Row],[Sinal_TSMOM]]*(0.4*Tabela3[[#This Row],[Volatilidade]])</f>
        <v>0</v>
      </c>
      <c r="H791" s="5">
        <f>Tabela3[[#This Row],[Position_Size]]*Tabela3[[#This Row],[Retorno_Diário]]</f>
        <v>0</v>
      </c>
    </row>
    <row r="792" spans="1:8" x14ac:dyDescent="0.2">
      <c r="A792" s="11" t="s">
        <v>5270</v>
      </c>
      <c r="B792" s="4" t="s">
        <v>5272</v>
      </c>
      <c r="C792" s="5">
        <f t="shared" si="16"/>
        <v>2.5243911205650615E-2</v>
      </c>
      <c r="D792" s="5"/>
      <c r="E792" s="5"/>
      <c r="F792" s="5">
        <f>IF(Tabela3[[#This Row],[Retorno_Diário]]&gt;0,1,-1)</f>
        <v>1</v>
      </c>
      <c r="G792" s="5">
        <f>Tabela3[[#This Row],[Sinal_TSMOM]]*(0.4*Tabela3[[#This Row],[Volatilidade]])</f>
        <v>0</v>
      </c>
      <c r="H792" s="5">
        <f>Tabela3[[#This Row],[Position_Size]]*Tabela3[[#This Row],[Retorno_Diário]]</f>
        <v>0</v>
      </c>
    </row>
    <row r="793" spans="1:8" x14ac:dyDescent="0.2">
      <c r="A793" s="11" t="s">
        <v>5277</v>
      </c>
      <c r="B793" s="4" t="s">
        <v>5279</v>
      </c>
      <c r="C793" s="5">
        <f t="shared" si="16"/>
        <v>-8.217806354316548E-2</v>
      </c>
      <c r="D793" s="5"/>
      <c r="E793" s="5"/>
      <c r="F793" s="5">
        <f>IF(Tabela3[[#This Row],[Retorno_Diário]]&gt;0,1,-1)</f>
        <v>-1</v>
      </c>
      <c r="G793" s="5">
        <f>Tabela3[[#This Row],[Sinal_TSMOM]]*(0.4*Tabela3[[#This Row],[Volatilidade]])</f>
        <v>0</v>
      </c>
      <c r="H793" s="5">
        <f>Tabela3[[#This Row],[Position_Size]]*Tabela3[[#This Row],[Retorno_Diário]]</f>
        <v>0</v>
      </c>
    </row>
    <row r="794" spans="1:8" x14ac:dyDescent="0.2">
      <c r="A794" s="11" t="s">
        <v>5284</v>
      </c>
      <c r="B794" s="4" t="s">
        <v>5286</v>
      </c>
      <c r="C794" s="5">
        <f t="shared" si="16"/>
        <v>3.0584297966341989E-2</v>
      </c>
      <c r="D794" s="5"/>
      <c r="E794" s="5"/>
      <c r="F794" s="5">
        <f>IF(Tabela3[[#This Row],[Retorno_Diário]]&gt;0,1,-1)</f>
        <v>1</v>
      </c>
      <c r="G794" s="5">
        <f>Tabela3[[#This Row],[Sinal_TSMOM]]*(0.4*Tabela3[[#This Row],[Volatilidade]])</f>
        <v>0</v>
      </c>
      <c r="H794" s="5">
        <f>Tabela3[[#This Row],[Position_Size]]*Tabela3[[#This Row],[Retorno_Diário]]</f>
        <v>0</v>
      </c>
    </row>
    <row r="795" spans="1:8" x14ac:dyDescent="0.2">
      <c r="A795" s="11" t="s">
        <v>5289</v>
      </c>
      <c r="B795" s="4" t="s">
        <v>5125</v>
      </c>
      <c r="C795" s="5">
        <f t="shared" si="16"/>
        <v>9.2784799845571087E-3</v>
      </c>
      <c r="D795" s="5"/>
      <c r="E795" s="5"/>
      <c r="F795" s="5">
        <f>IF(Tabela3[[#This Row],[Retorno_Diário]]&gt;0,1,-1)</f>
        <v>1</v>
      </c>
      <c r="G795" s="5">
        <f>Tabela3[[#This Row],[Sinal_TSMOM]]*(0.4*Tabela3[[#This Row],[Volatilidade]])</f>
        <v>0</v>
      </c>
      <c r="H795" s="5">
        <f>Tabela3[[#This Row],[Position_Size]]*Tabela3[[#This Row],[Retorno_Diário]]</f>
        <v>0</v>
      </c>
    </row>
    <row r="796" spans="1:8" x14ac:dyDescent="0.2">
      <c r="A796" s="11" t="s">
        <v>5295</v>
      </c>
      <c r="B796" s="4" t="s">
        <v>5297</v>
      </c>
      <c r="C796" s="5">
        <f t="shared" si="16"/>
        <v>-3.1462794834295038E-2</v>
      </c>
      <c r="D796" s="5"/>
      <c r="E796" s="5"/>
      <c r="F796" s="5">
        <f>IF(Tabela3[[#This Row],[Retorno_Diário]]&gt;0,1,-1)</f>
        <v>-1</v>
      </c>
      <c r="G796" s="5">
        <f>Tabela3[[#This Row],[Sinal_TSMOM]]*(0.4*Tabela3[[#This Row],[Volatilidade]])</f>
        <v>0</v>
      </c>
      <c r="H796" s="5">
        <f>Tabela3[[#This Row],[Position_Size]]*Tabela3[[#This Row],[Retorno_Diário]]</f>
        <v>0</v>
      </c>
    </row>
    <row r="797" spans="1:8" x14ac:dyDescent="0.2">
      <c r="A797" s="11" t="s">
        <v>5300</v>
      </c>
      <c r="B797" s="4" t="s">
        <v>5302</v>
      </c>
      <c r="C797" s="5">
        <f t="shared" si="16"/>
        <v>-4.4867099859781878E-2</v>
      </c>
      <c r="D797" s="5"/>
      <c r="E797" s="5"/>
      <c r="F797" s="5">
        <f>IF(Tabela3[[#This Row],[Retorno_Diário]]&gt;0,1,-1)</f>
        <v>-1</v>
      </c>
      <c r="G797" s="5">
        <f>Tabela3[[#This Row],[Sinal_TSMOM]]*(0.4*Tabela3[[#This Row],[Volatilidade]])</f>
        <v>0</v>
      </c>
      <c r="H797" s="5">
        <f>Tabela3[[#This Row],[Position_Size]]*Tabela3[[#This Row],[Retorno_Diário]]</f>
        <v>0</v>
      </c>
    </row>
    <row r="798" spans="1:8" x14ac:dyDescent="0.2">
      <c r="A798" s="11" t="s">
        <v>5307</v>
      </c>
      <c r="B798" s="4" t="s">
        <v>5309</v>
      </c>
      <c r="C798" s="5">
        <f t="shared" si="16"/>
        <v>-3.3932773327045362E-2</v>
      </c>
      <c r="D798" s="5"/>
      <c r="E798" s="5"/>
      <c r="F798" s="5">
        <f>IF(Tabela3[[#This Row],[Retorno_Diário]]&gt;0,1,-1)</f>
        <v>-1</v>
      </c>
      <c r="G798" s="5">
        <f>Tabela3[[#This Row],[Sinal_TSMOM]]*(0.4*Tabela3[[#This Row],[Volatilidade]])</f>
        <v>0</v>
      </c>
      <c r="H798" s="5">
        <f>Tabela3[[#This Row],[Position_Size]]*Tabela3[[#This Row],[Retorno_Diário]]</f>
        <v>0</v>
      </c>
    </row>
    <row r="799" spans="1:8" x14ac:dyDescent="0.2">
      <c r="A799" s="11" t="s">
        <v>5314</v>
      </c>
      <c r="B799" s="4" t="s">
        <v>5316</v>
      </c>
      <c r="C799" s="5">
        <f t="shared" si="16"/>
        <v>7.3766028555533047E-3</v>
      </c>
      <c r="D799" s="5"/>
      <c r="E799" s="5"/>
      <c r="F799" s="5">
        <f>IF(Tabela3[[#This Row],[Retorno_Diário]]&gt;0,1,-1)</f>
        <v>1</v>
      </c>
      <c r="G799" s="5">
        <f>Tabela3[[#This Row],[Sinal_TSMOM]]*(0.4*Tabela3[[#This Row],[Volatilidade]])</f>
        <v>0</v>
      </c>
      <c r="H799" s="5">
        <f>Tabela3[[#This Row],[Position_Size]]*Tabela3[[#This Row],[Retorno_Diário]]</f>
        <v>0</v>
      </c>
    </row>
    <row r="800" spans="1:8" x14ac:dyDescent="0.2">
      <c r="A800" s="11" t="s">
        <v>5319</v>
      </c>
      <c r="B800" s="4" t="s">
        <v>5321</v>
      </c>
      <c r="C800" s="5">
        <f t="shared" si="16"/>
        <v>-6.9674588251314673E-2</v>
      </c>
      <c r="D800" s="5"/>
      <c r="E800" s="5"/>
      <c r="F800" s="5">
        <f>IF(Tabela3[[#This Row],[Retorno_Diário]]&gt;0,1,-1)</f>
        <v>-1</v>
      </c>
      <c r="G800" s="5">
        <f>Tabela3[[#This Row],[Sinal_TSMOM]]*(0.4*Tabela3[[#This Row],[Volatilidade]])</f>
        <v>0</v>
      </c>
      <c r="H800" s="5">
        <f>Tabela3[[#This Row],[Position_Size]]*Tabela3[[#This Row],[Retorno_Diário]]</f>
        <v>0</v>
      </c>
    </row>
    <row r="801" spans="1:8" x14ac:dyDescent="0.2">
      <c r="A801" s="11" t="s">
        <v>5325</v>
      </c>
      <c r="B801" s="4" t="s">
        <v>5327</v>
      </c>
      <c r="C801" s="5">
        <f t="shared" si="16"/>
        <v>7.9960323793115906E-2</v>
      </c>
      <c r="D801" s="5"/>
      <c r="E801" s="5"/>
      <c r="F801" s="5">
        <f>IF(Tabela3[[#This Row],[Retorno_Diário]]&gt;0,1,-1)</f>
        <v>1</v>
      </c>
      <c r="G801" s="5">
        <f>Tabela3[[#This Row],[Sinal_TSMOM]]*(0.4*Tabela3[[#This Row],[Volatilidade]])</f>
        <v>0</v>
      </c>
      <c r="H801" s="5">
        <f>Tabela3[[#This Row],[Position_Size]]*Tabela3[[#This Row],[Retorno_Diário]]</f>
        <v>0</v>
      </c>
    </row>
    <row r="802" spans="1:8" x14ac:dyDescent="0.2">
      <c r="A802" s="11" t="s">
        <v>5332</v>
      </c>
      <c r="B802" s="4" t="s">
        <v>5334</v>
      </c>
      <c r="C802" s="5">
        <f t="shared" si="16"/>
        <v>-4.153275249731192E-3</v>
      </c>
      <c r="D802" s="5"/>
      <c r="E802" s="5"/>
      <c r="F802" s="5">
        <f>IF(Tabela3[[#This Row],[Retorno_Diário]]&gt;0,1,-1)</f>
        <v>-1</v>
      </c>
      <c r="G802" s="5">
        <f>Tabela3[[#This Row],[Sinal_TSMOM]]*(0.4*Tabela3[[#This Row],[Volatilidade]])</f>
        <v>0</v>
      </c>
      <c r="H802" s="5">
        <f>Tabela3[[#This Row],[Position_Size]]*Tabela3[[#This Row],[Retorno_Diário]]</f>
        <v>0</v>
      </c>
    </row>
    <row r="803" spans="1:8" x14ac:dyDescent="0.2">
      <c r="A803" s="11" t="s">
        <v>5339</v>
      </c>
      <c r="B803" s="4" t="s">
        <v>5341</v>
      </c>
      <c r="C803" s="5">
        <f t="shared" si="16"/>
        <v>4.2126960048971318E-2</v>
      </c>
      <c r="D803" s="5"/>
      <c r="E803" s="5"/>
      <c r="F803" s="5">
        <f>IF(Tabela3[[#This Row],[Retorno_Diário]]&gt;0,1,-1)</f>
        <v>1</v>
      </c>
      <c r="G803" s="5">
        <f>Tabela3[[#This Row],[Sinal_TSMOM]]*(0.4*Tabela3[[#This Row],[Volatilidade]])</f>
        <v>0</v>
      </c>
      <c r="H803" s="5">
        <f>Tabela3[[#This Row],[Position_Size]]*Tabela3[[#This Row],[Retorno_Diário]]</f>
        <v>0</v>
      </c>
    </row>
    <row r="804" spans="1:8" x14ac:dyDescent="0.2">
      <c r="A804" s="11" t="s">
        <v>5346</v>
      </c>
      <c r="B804" s="4" t="s">
        <v>5348</v>
      </c>
      <c r="C804" s="5">
        <f t="shared" si="16"/>
        <v>-1.0582199703593864E-2</v>
      </c>
      <c r="D804" s="5"/>
      <c r="E804" s="5"/>
      <c r="F804" s="5">
        <f>IF(Tabela3[[#This Row],[Retorno_Diário]]&gt;0,1,-1)</f>
        <v>-1</v>
      </c>
      <c r="G804" s="5">
        <f>Tabela3[[#This Row],[Sinal_TSMOM]]*(0.4*Tabela3[[#This Row],[Volatilidade]])</f>
        <v>0</v>
      </c>
      <c r="H804" s="5">
        <f>Tabela3[[#This Row],[Position_Size]]*Tabela3[[#This Row],[Retorno_Diário]]</f>
        <v>0</v>
      </c>
    </row>
    <row r="805" spans="1:8" x14ac:dyDescent="0.2">
      <c r="A805" s="11" t="s">
        <v>5353</v>
      </c>
      <c r="B805" s="4" t="s">
        <v>5355</v>
      </c>
      <c r="C805" s="5">
        <f t="shared" si="16"/>
        <v>2.6077310377300877E-2</v>
      </c>
      <c r="D805" s="5"/>
      <c r="E805" s="5"/>
      <c r="F805" s="5">
        <f>IF(Tabela3[[#This Row],[Retorno_Diário]]&gt;0,1,-1)</f>
        <v>1</v>
      </c>
      <c r="G805" s="5">
        <f>Tabela3[[#This Row],[Sinal_TSMOM]]*(0.4*Tabela3[[#This Row],[Volatilidade]])</f>
        <v>0</v>
      </c>
      <c r="H805" s="5">
        <f>Tabela3[[#This Row],[Position_Size]]*Tabela3[[#This Row],[Retorno_Diário]]</f>
        <v>0</v>
      </c>
    </row>
    <row r="806" spans="1:8" x14ac:dyDescent="0.2">
      <c r="A806" s="11" t="s">
        <v>5360</v>
      </c>
      <c r="B806" s="4" t="s">
        <v>4712</v>
      </c>
      <c r="C806" s="5">
        <f t="shared" si="16"/>
        <v>7.5808117218945092E-3</v>
      </c>
      <c r="D806" s="5"/>
      <c r="E806" s="5"/>
      <c r="F806" s="5">
        <f>IF(Tabela3[[#This Row],[Retorno_Diário]]&gt;0,1,-1)</f>
        <v>1</v>
      </c>
      <c r="G806" s="5">
        <f>Tabela3[[#This Row],[Sinal_TSMOM]]*(0.4*Tabela3[[#This Row],[Volatilidade]])</f>
        <v>0</v>
      </c>
      <c r="H806" s="5">
        <f>Tabela3[[#This Row],[Position_Size]]*Tabela3[[#This Row],[Retorno_Diário]]</f>
        <v>0</v>
      </c>
    </row>
    <row r="807" spans="1:8" x14ac:dyDescent="0.2">
      <c r="A807" s="11" t="s">
        <v>5366</v>
      </c>
      <c r="B807" s="4" t="s">
        <v>4968</v>
      </c>
      <c r="C807" s="5">
        <f t="shared" si="16"/>
        <v>3.7618876985889838E-3</v>
      </c>
      <c r="D807" s="5"/>
      <c r="E807" s="5"/>
      <c r="F807" s="5">
        <f>IF(Tabela3[[#This Row],[Retorno_Diário]]&gt;0,1,-1)</f>
        <v>1</v>
      </c>
      <c r="G807" s="5">
        <f>Tabela3[[#This Row],[Sinal_TSMOM]]*(0.4*Tabela3[[#This Row],[Volatilidade]])</f>
        <v>0</v>
      </c>
      <c r="H807" s="5">
        <f>Tabela3[[#This Row],[Position_Size]]*Tabela3[[#This Row],[Retorno_Diário]]</f>
        <v>0</v>
      </c>
    </row>
    <row r="808" spans="1:8" x14ac:dyDescent="0.2">
      <c r="A808" s="11" t="s">
        <v>5372</v>
      </c>
      <c r="B808" s="4" t="s">
        <v>5374</v>
      </c>
      <c r="C808" s="5">
        <f t="shared" si="16"/>
        <v>-4.6378754070518058E-2</v>
      </c>
      <c r="D808" s="5"/>
      <c r="E808" s="5"/>
      <c r="F808" s="5">
        <f>IF(Tabela3[[#This Row],[Retorno_Diário]]&gt;0,1,-1)</f>
        <v>-1</v>
      </c>
      <c r="G808" s="5">
        <f>Tabela3[[#This Row],[Sinal_TSMOM]]*(0.4*Tabela3[[#This Row],[Volatilidade]])</f>
        <v>0</v>
      </c>
      <c r="H808" s="5">
        <f>Tabela3[[#This Row],[Position_Size]]*Tabela3[[#This Row],[Retorno_Diário]]</f>
        <v>0</v>
      </c>
    </row>
    <row r="809" spans="1:8" x14ac:dyDescent="0.2">
      <c r="A809" s="11" t="s">
        <v>5378</v>
      </c>
      <c r="B809" s="4" t="s">
        <v>5380</v>
      </c>
      <c r="C809" s="5">
        <f t="shared" si="16"/>
        <v>9.6875621228220687E-3</v>
      </c>
      <c r="D809" s="5"/>
      <c r="E809" s="5"/>
      <c r="F809" s="5">
        <f>IF(Tabela3[[#This Row],[Retorno_Diário]]&gt;0,1,-1)</f>
        <v>1</v>
      </c>
      <c r="G809" s="5">
        <f>Tabela3[[#This Row],[Sinal_TSMOM]]*(0.4*Tabela3[[#This Row],[Volatilidade]])</f>
        <v>0</v>
      </c>
      <c r="H809" s="5">
        <f>Tabela3[[#This Row],[Position_Size]]*Tabela3[[#This Row],[Retorno_Diário]]</f>
        <v>0</v>
      </c>
    </row>
    <row r="810" spans="1:8" x14ac:dyDescent="0.2">
      <c r="A810" s="11" t="s">
        <v>5384</v>
      </c>
      <c r="B810" s="4" t="s">
        <v>5386</v>
      </c>
      <c r="C810" s="5">
        <f t="shared" si="16"/>
        <v>2.6506812118559653E-2</v>
      </c>
      <c r="D810" s="5"/>
      <c r="E810" s="5"/>
      <c r="F810" s="5">
        <f>IF(Tabela3[[#This Row],[Retorno_Diário]]&gt;0,1,-1)</f>
        <v>1</v>
      </c>
      <c r="G810" s="5">
        <f>Tabela3[[#This Row],[Sinal_TSMOM]]*(0.4*Tabela3[[#This Row],[Volatilidade]])</f>
        <v>0</v>
      </c>
      <c r="H810" s="5">
        <f>Tabela3[[#This Row],[Position_Size]]*Tabela3[[#This Row],[Retorno_Diário]]</f>
        <v>0</v>
      </c>
    </row>
    <row r="811" spans="1:8" x14ac:dyDescent="0.2">
      <c r="A811" s="11" t="s">
        <v>5391</v>
      </c>
      <c r="B811" s="4" t="s">
        <v>5393</v>
      </c>
      <c r="C811" s="5">
        <f t="shared" si="16"/>
        <v>-8.7590860782125191E-3</v>
      </c>
      <c r="D811" s="5"/>
      <c r="E811" s="5"/>
      <c r="F811" s="5">
        <f>IF(Tabela3[[#This Row],[Retorno_Diário]]&gt;0,1,-1)</f>
        <v>-1</v>
      </c>
      <c r="G811" s="5">
        <f>Tabela3[[#This Row],[Sinal_TSMOM]]*(0.4*Tabela3[[#This Row],[Volatilidade]])</f>
        <v>0</v>
      </c>
      <c r="H811" s="5">
        <f>Tabela3[[#This Row],[Position_Size]]*Tabela3[[#This Row],[Retorno_Diário]]</f>
        <v>0</v>
      </c>
    </row>
    <row r="812" spans="1:8" x14ac:dyDescent="0.2">
      <c r="A812" s="11" t="s">
        <v>5398</v>
      </c>
      <c r="B812" s="4" t="s">
        <v>5400</v>
      </c>
      <c r="C812" s="5">
        <f t="shared" si="16"/>
        <v>-3.2725786945920099E-2</v>
      </c>
      <c r="D812" s="5"/>
      <c r="E812" s="5"/>
      <c r="F812" s="5">
        <f>IF(Tabela3[[#This Row],[Retorno_Diário]]&gt;0,1,-1)</f>
        <v>-1</v>
      </c>
      <c r="G812" s="5">
        <f>Tabela3[[#This Row],[Sinal_TSMOM]]*(0.4*Tabela3[[#This Row],[Volatilidade]])</f>
        <v>0</v>
      </c>
      <c r="H812" s="5">
        <f>Tabela3[[#This Row],[Position_Size]]*Tabela3[[#This Row],[Retorno_Diário]]</f>
        <v>0</v>
      </c>
    </row>
    <row r="813" spans="1:8" x14ac:dyDescent="0.2">
      <c r="A813" s="11" t="s">
        <v>5405</v>
      </c>
      <c r="B813" s="4" t="s">
        <v>5407</v>
      </c>
      <c r="C813" s="5">
        <f t="shared" si="16"/>
        <v>-8.5224979795767153E-3</v>
      </c>
      <c r="D813" s="5"/>
      <c r="E813" s="5"/>
      <c r="F813" s="5">
        <f>IF(Tabela3[[#This Row],[Retorno_Diário]]&gt;0,1,-1)</f>
        <v>-1</v>
      </c>
      <c r="G813" s="5">
        <f>Tabela3[[#This Row],[Sinal_TSMOM]]*(0.4*Tabela3[[#This Row],[Volatilidade]])</f>
        <v>0</v>
      </c>
      <c r="H813" s="5">
        <f>Tabela3[[#This Row],[Position_Size]]*Tabela3[[#This Row],[Retorno_Diário]]</f>
        <v>0</v>
      </c>
    </row>
    <row r="814" spans="1:8" x14ac:dyDescent="0.2">
      <c r="A814" s="11" t="s">
        <v>5412</v>
      </c>
      <c r="B814" s="4" t="s">
        <v>5414</v>
      </c>
      <c r="C814" s="5">
        <f t="shared" si="16"/>
        <v>2.4251603107138031E-2</v>
      </c>
      <c r="D814" s="5"/>
      <c r="E814" s="5"/>
      <c r="F814" s="5">
        <f>IF(Tabela3[[#This Row],[Retorno_Diário]]&gt;0,1,-1)</f>
        <v>1</v>
      </c>
      <c r="G814" s="5">
        <f>Tabela3[[#This Row],[Sinal_TSMOM]]*(0.4*Tabela3[[#This Row],[Volatilidade]])</f>
        <v>0</v>
      </c>
      <c r="H814" s="5">
        <f>Tabela3[[#This Row],[Position_Size]]*Tabela3[[#This Row],[Retorno_Diário]]</f>
        <v>0</v>
      </c>
    </row>
    <row r="815" spans="1:8" x14ac:dyDescent="0.2">
      <c r="A815" s="11" t="s">
        <v>5419</v>
      </c>
      <c r="B815" s="4" t="s">
        <v>4799</v>
      </c>
      <c r="C815" s="5">
        <f t="shared" si="16"/>
        <v>8.4896087619603655E-3</v>
      </c>
      <c r="D815" s="5"/>
      <c r="E815" s="5"/>
      <c r="F815" s="5">
        <f>IF(Tabela3[[#This Row],[Retorno_Diário]]&gt;0,1,-1)</f>
        <v>1</v>
      </c>
      <c r="G815" s="5">
        <f>Tabela3[[#This Row],[Sinal_TSMOM]]*(0.4*Tabela3[[#This Row],[Volatilidade]])</f>
        <v>0</v>
      </c>
      <c r="H815" s="5">
        <f>Tabela3[[#This Row],[Position_Size]]*Tabela3[[#This Row],[Retorno_Diário]]</f>
        <v>0</v>
      </c>
    </row>
    <row r="816" spans="1:8" x14ac:dyDescent="0.2">
      <c r="A816" s="11" t="s">
        <v>5424</v>
      </c>
      <c r="B816" s="4" t="s">
        <v>5426</v>
      </c>
      <c r="C816" s="5">
        <f t="shared" si="16"/>
        <v>-5.9081296736400724E-3</v>
      </c>
      <c r="D816" s="5"/>
      <c r="E816" s="5"/>
      <c r="F816" s="5">
        <f>IF(Tabela3[[#This Row],[Retorno_Diário]]&gt;0,1,-1)</f>
        <v>-1</v>
      </c>
      <c r="G816" s="5">
        <f>Tabela3[[#This Row],[Sinal_TSMOM]]*(0.4*Tabela3[[#This Row],[Volatilidade]])</f>
        <v>0</v>
      </c>
      <c r="H816" s="5">
        <f>Tabela3[[#This Row],[Position_Size]]*Tabela3[[#This Row],[Retorno_Diário]]</f>
        <v>0</v>
      </c>
    </row>
    <row r="817" spans="1:8" x14ac:dyDescent="0.2">
      <c r="A817" s="11" t="s">
        <v>5431</v>
      </c>
      <c r="B817" s="4" t="s">
        <v>5433</v>
      </c>
      <c r="C817" s="5">
        <f t="shared" si="16"/>
        <v>3.7019093416857496E-2</v>
      </c>
      <c r="D817" s="5"/>
      <c r="E817" s="5"/>
      <c r="F817" s="5">
        <f>IF(Tabela3[[#This Row],[Retorno_Diário]]&gt;0,1,-1)</f>
        <v>1</v>
      </c>
      <c r="G817" s="5">
        <f>Tabela3[[#This Row],[Sinal_TSMOM]]*(0.4*Tabela3[[#This Row],[Volatilidade]])</f>
        <v>0</v>
      </c>
      <c r="H817" s="5">
        <f>Tabela3[[#This Row],[Position_Size]]*Tabela3[[#This Row],[Retorno_Diário]]</f>
        <v>0</v>
      </c>
    </row>
    <row r="818" spans="1:8" x14ac:dyDescent="0.2">
      <c r="A818" s="11" t="s">
        <v>5437</v>
      </c>
      <c r="B818" s="4" t="s">
        <v>5439</v>
      </c>
      <c r="C818" s="5">
        <f t="shared" si="16"/>
        <v>3.4723653615811534E-2</v>
      </c>
      <c r="D818" s="5"/>
      <c r="E818" s="5"/>
      <c r="F818" s="5">
        <f>IF(Tabela3[[#This Row],[Retorno_Diário]]&gt;0,1,-1)</f>
        <v>1</v>
      </c>
      <c r="G818" s="5">
        <f>Tabela3[[#This Row],[Sinal_TSMOM]]*(0.4*Tabela3[[#This Row],[Volatilidade]])</f>
        <v>0</v>
      </c>
      <c r="H818" s="5">
        <f>Tabela3[[#This Row],[Position_Size]]*Tabela3[[#This Row],[Retorno_Diário]]</f>
        <v>0</v>
      </c>
    </row>
    <row r="819" spans="1:8" x14ac:dyDescent="0.2">
      <c r="A819" s="11" t="s">
        <v>5444</v>
      </c>
      <c r="B819" s="4" t="s">
        <v>5446</v>
      </c>
      <c r="C819" s="5">
        <f t="shared" si="16"/>
        <v>1.2724656434202952E-2</v>
      </c>
      <c r="D819" s="5"/>
      <c r="E819" s="5"/>
      <c r="F819" s="5">
        <f>IF(Tabela3[[#This Row],[Retorno_Diário]]&gt;0,1,-1)</f>
        <v>1</v>
      </c>
      <c r="G819" s="5">
        <f>Tabela3[[#This Row],[Sinal_TSMOM]]*(0.4*Tabela3[[#This Row],[Volatilidade]])</f>
        <v>0</v>
      </c>
      <c r="H819" s="5">
        <f>Tabela3[[#This Row],[Position_Size]]*Tabela3[[#This Row],[Retorno_Diário]]</f>
        <v>0</v>
      </c>
    </row>
    <row r="820" spans="1:8" x14ac:dyDescent="0.2">
      <c r="A820" s="11" t="s">
        <v>5450</v>
      </c>
      <c r="B820" s="4" t="s">
        <v>5452</v>
      </c>
      <c r="C820" s="5">
        <f t="shared" si="16"/>
        <v>-9.0080716811257178E-3</v>
      </c>
      <c r="D820" s="5"/>
      <c r="E820" s="5"/>
      <c r="F820" s="5">
        <f>IF(Tabela3[[#This Row],[Retorno_Diário]]&gt;0,1,-1)</f>
        <v>-1</v>
      </c>
      <c r="G820" s="5">
        <f>Tabela3[[#This Row],[Sinal_TSMOM]]*(0.4*Tabela3[[#This Row],[Volatilidade]])</f>
        <v>0</v>
      </c>
      <c r="H820" s="5">
        <f>Tabela3[[#This Row],[Position_Size]]*Tabela3[[#This Row],[Retorno_Diário]]</f>
        <v>0</v>
      </c>
    </row>
    <row r="821" spans="1:8" x14ac:dyDescent="0.2">
      <c r="A821" s="11" t="s">
        <v>5456</v>
      </c>
      <c r="B821" s="4" t="s">
        <v>5458</v>
      </c>
      <c r="C821" s="5">
        <f t="shared" si="16"/>
        <v>2.0344157993938738E-2</v>
      </c>
      <c r="D821" s="5"/>
      <c r="E821" s="5"/>
      <c r="F821" s="5">
        <f>IF(Tabela3[[#This Row],[Retorno_Diário]]&gt;0,1,-1)</f>
        <v>1</v>
      </c>
      <c r="G821" s="5">
        <f>Tabela3[[#This Row],[Sinal_TSMOM]]*(0.4*Tabela3[[#This Row],[Volatilidade]])</f>
        <v>0</v>
      </c>
      <c r="H821" s="5">
        <f>Tabela3[[#This Row],[Position_Size]]*Tabela3[[#This Row],[Retorno_Diário]]</f>
        <v>0</v>
      </c>
    </row>
    <row r="822" spans="1:8" x14ac:dyDescent="0.2">
      <c r="A822" s="11" t="s">
        <v>5463</v>
      </c>
      <c r="B822" s="4" t="s">
        <v>5465</v>
      </c>
      <c r="C822" s="5">
        <f t="shared" si="16"/>
        <v>1.226712320223422E-2</v>
      </c>
      <c r="D822" s="5"/>
      <c r="E822" s="5"/>
      <c r="F822" s="5">
        <f>IF(Tabela3[[#This Row],[Retorno_Diário]]&gt;0,1,-1)</f>
        <v>1</v>
      </c>
      <c r="G822" s="5">
        <f>Tabela3[[#This Row],[Sinal_TSMOM]]*(0.4*Tabela3[[#This Row],[Volatilidade]])</f>
        <v>0</v>
      </c>
      <c r="H822" s="5">
        <f>Tabela3[[#This Row],[Position_Size]]*Tabela3[[#This Row],[Retorno_Diário]]</f>
        <v>0</v>
      </c>
    </row>
    <row r="823" spans="1:8" x14ac:dyDescent="0.2">
      <c r="A823" s="11" t="s">
        <v>5470</v>
      </c>
      <c r="B823" s="4" t="s">
        <v>5472</v>
      </c>
      <c r="C823" s="5">
        <f t="shared" si="16"/>
        <v>5.7972499249421272E-3</v>
      </c>
      <c r="D823" s="5"/>
      <c r="E823" s="5"/>
      <c r="F823" s="5">
        <f>IF(Tabela3[[#This Row],[Retorno_Diário]]&gt;0,1,-1)</f>
        <v>1</v>
      </c>
      <c r="G823" s="5">
        <f>Tabela3[[#This Row],[Sinal_TSMOM]]*(0.4*Tabela3[[#This Row],[Volatilidade]])</f>
        <v>0</v>
      </c>
      <c r="H823" s="5">
        <f>Tabela3[[#This Row],[Position_Size]]*Tabela3[[#This Row],[Retorno_Diário]]</f>
        <v>0</v>
      </c>
    </row>
    <row r="824" spans="1:8" x14ac:dyDescent="0.2">
      <c r="A824" s="11" t="s">
        <v>5477</v>
      </c>
      <c r="B824" s="4" t="s">
        <v>5479</v>
      </c>
      <c r="C824" s="5">
        <f t="shared" si="16"/>
        <v>5.6180558103471334E-2</v>
      </c>
      <c r="D824" s="5"/>
      <c r="E824" s="5"/>
      <c r="F824" s="5">
        <f>IF(Tabela3[[#This Row],[Retorno_Diário]]&gt;0,1,-1)</f>
        <v>1</v>
      </c>
      <c r="G824" s="5">
        <f>Tabela3[[#This Row],[Sinal_TSMOM]]*(0.4*Tabela3[[#This Row],[Volatilidade]])</f>
        <v>0</v>
      </c>
      <c r="H824" s="5">
        <f>Tabela3[[#This Row],[Position_Size]]*Tabela3[[#This Row],[Retorno_Diário]]</f>
        <v>0</v>
      </c>
    </row>
    <row r="825" spans="1:8" x14ac:dyDescent="0.2">
      <c r="A825" s="11" t="s">
        <v>5484</v>
      </c>
      <c r="B825" s="4" t="s">
        <v>5486</v>
      </c>
      <c r="C825" s="5">
        <f t="shared" si="16"/>
        <v>3.0935630462197938E-2</v>
      </c>
      <c r="D825" s="5"/>
      <c r="E825" s="5"/>
      <c r="F825" s="5">
        <f>IF(Tabela3[[#This Row],[Retorno_Diário]]&gt;0,1,-1)</f>
        <v>1</v>
      </c>
      <c r="G825" s="5">
        <f>Tabela3[[#This Row],[Sinal_TSMOM]]*(0.4*Tabela3[[#This Row],[Volatilidade]])</f>
        <v>0</v>
      </c>
      <c r="H825" s="5">
        <f>Tabela3[[#This Row],[Position_Size]]*Tabela3[[#This Row],[Retorno_Diário]]</f>
        <v>0</v>
      </c>
    </row>
    <row r="826" spans="1:8" x14ac:dyDescent="0.2">
      <c r="A826" s="11" t="s">
        <v>5491</v>
      </c>
      <c r="B826" s="4" t="s">
        <v>5493</v>
      </c>
      <c r="C826" s="5">
        <f t="shared" si="16"/>
        <v>-2.5670410951257217E-2</v>
      </c>
      <c r="D826" s="5"/>
      <c r="E826" s="5"/>
      <c r="F826" s="5">
        <f>IF(Tabela3[[#This Row],[Retorno_Diário]]&gt;0,1,-1)</f>
        <v>-1</v>
      </c>
      <c r="G826" s="5">
        <f>Tabela3[[#This Row],[Sinal_TSMOM]]*(0.4*Tabela3[[#This Row],[Volatilidade]])</f>
        <v>0</v>
      </c>
      <c r="H826" s="5">
        <f>Tabela3[[#This Row],[Position_Size]]*Tabela3[[#This Row],[Retorno_Diário]]</f>
        <v>0</v>
      </c>
    </row>
    <row r="827" spans="1:8" x14ac:dyDescent="0.2">
      <c r="A827" s="11" t="s">
        <v>5498</v>
      </c>
      <c r="B827" s="4" t="s">
        <v>5500</v>
      </c>
      <c r="C827" s="5">
        <f t="shared" si="16"/>
        <v>5.6310168813524131E-2</v>
      </c>
      <c r="D827" s="5"/>
      <c r="E827" s="5"/>
      <c r="F827" s="5">
        <f>IF(Tabela3[[#This Row],[Retorno_Diário]]&gt;0,1,-1)</f>
        <v>1</v>
      </c>
      <c r="G827" s="5">
        <f>Tabela3[[#This Row],[Sinal_TSMOM]]*(0.4*Tabela3[[#This Row],[Volatilidade]])</f>
        <v>0</v>
      </c>
      <c r="H827" s="5">
        <f>Tabela3[[#This Row],[Position_Size]]*Tabela3[[#This Row],[Retorno_Diário]]</f>
        <v>0</v>
      </c>
    </row>
    <row r="828" spans="1:8" x14ac:dyDescent="0.2">
      <c r="A828" s="11" t="s">
        <v>5505</v>
      </c>
      <c r="B828" s="4" t="s">
        <v>5507</v>
      </c>
      <c r="C828" s="5">
        <f t="shared" si="16"/>
        <v>-1.3927435359827101E-2</v>
      </c>
      <c r="D828" s="5"/>
      <c r="E828" s="5"/>
      <c r="F828" s="5">
        <f>IF(Tabela3[[#This Row],[Retorno_Diário]]&gt;0,1,-1)</f>
        <v>-1</v>
      </c>
      <c r="G828" s="5">
        <f>Tabela3[[#This Row],[Sinal_TSMOM]]*(0.4*Tabela3[[#This Row],[Volatilidade]])</f>
        <v>0</v>
      </c>
      <c r="H828" s="5">
        <f>Tabela3[[#This Row],[Position_Size]]*Tabela3[[#This Row],[Retorno_Diário]]</f>
        <v>0</v>
      </c>
    </row>
    <row r="829" spans="1:8" x14ac:dyDescent="0.2">
      <c r="A829" s="11" t="s">
        <v>5512</v>
      </c>
      <c r="B829" s="4" t="s">
        <v>5514</v>
      </c>
      <c r="C829" s="5">
        <f t="shared" si="16"/>
        <v>-3.4611199950905003E-2</v>
      </c>
      <c r="D829" s="5"/>
      <c r="E829" s="5"/>
      <c r="F829" s="5">
        <f>IF(Tabela3[[#This Row],[Retorno_Diário]]&gt;0,1,-1)</f>
        <v>-1</v>
      </c>
      <c r="G829" s="5">
        <f>Tabela3[[#This Row],[Sinal_TSMOM]]*(0.4*Tabela3[[#This Row],[Volatilidade]])</f>
        <v>0</v>
      </c>
      <c r="H829" s="5">
        <f>Tabela3[[#This Row],[Position_Size]]*Tabela3[[#This Row],[Retorno_Diário]]</f>
        <v>0</v>
      </c>
    </row>
    <row r="830" spans="1:8" x14ac:dyDescent="0.2">
      <c r="A830" s="11" t="s">
        <v>5519</v>
      </c>
      <c r="B830" s="4" t="s">
        <v>5521</v>
      </c>
      <c r="C830" s="5">
        <f t="shared" si="16"/>
        <v>-1.2400885971794673E-2</v>
      </c>
      <c r="D830" s="5"/>
      <c r="E830" s="5"/>
      <c r="F830" s="5">
        <f>IF(Tabela3[[#This Row],[Retorno_Diário]]&gt;0,1,-1)</f>
        <v>-1</v>
      </c>
      <c r="G830" s="5">
        <f>Tabela3[[#This Row],[Sinal_TSMOM]]*(0.4*Tabela3[[#This Row],[Volatilidade]])</f>
        <v>0</v>
      </c>
      <c r="H830" s="5">
        <f>Tabela3[[#This Row],[Position_Size]]*Tabela3[[#This Row],[Retorno_Diário]]</f>
        <v>0</v>
      </c>
    </row>
    <row r="831" spans="1:8" x14ac:dyDescent="0.2">
      <c r="A831" s="11" t="s">
        <v>5526</v>
      </c>
      <c r="B831" s="4" t="s">
        <v>5528</v>
      </c>
      <c r="C831" s="5">
        <f t="shared" si="16"/>
        <v>1.2474251501221501E-2</v>
      </c>
      <c r="D831" s="5"/>
      <c r="E831" s="5"/>
      <c r="F831" s="5">
        <f>IF(Tabela3[[#This Row],[Retorno_Diário]]&gt;0,1,-1)</f>
        <v>1</v>
      </c>
      <c r="G831" s="5">
        <f>Tabela3[[#This Row],[Sinal_TSMOM]]*(0.4*Tabela3[[#This Row],[Volatilidade]])</f>
        <v>0</v>
      </c>
      <c r="H831" s="5">
        <f>Tabela3[[#This Row],[Position_Size]]*Tabela3[[#This Row],[Retorno_Diário]]</f>
        <v>0</v>
      </c>
    </row>
    <row r="832" spans="1:8" x14ac:dyDescent="0.2">
      <c r="A832" s="11" t="s">
        <v>5533</v>
      </c>
      <c r="B832" s="4" t="s">
        <v>5535</v>
      </c>
      <c r="C832" s="5">
        <f t="shared" si="16"/>
        <v>-3.3218324950459399E-2</v>
      </c>
      <c r="D832" s="5"/>
      <c r="E832" s="5"/>
      <c r="F832" s="5">
        <f>IF(Tabela3[[#This Row],[Retorno_Diário]]&gt;0,1,-1)</f>
        <v>-1</v>
      </c>
      <c r="G832" s="5">
        <f>Tabela3[[#This Row],[Sinal_TSMOM]]*(0.4*Tabela3[[#This Row],[Volatilidade]])</f>
        <v>0</v>
      </c>
      <c r="H832" s="5">
        <f>Tabela3[[#This Row],[Position_Size]]*Tabela3[[#This Row],[Retorno_Diário]]</f>
        <v>0</v>
      </c>
    </row>
    <row r="833" spans="1:8" x14ac:dyDescent="0.2">
      <c r="A833" s="11" t="s">
        <v>5540</v>
      </c>
      <c r="B833" s="4" t="s">
        <v>5542</v>
      </c>
      <c r="C833" s="5">
        <f t="shared" si="16"/>
        <v>2.7945654452304236E-2</v>
      </c>
      <c r="D833" s="5"/>
      <c r="E833" s="5"/>
      <c r="F833" s="5">
        <f>IF(Tabela3[[#This Row],[Retorno_Diário]]&gt;0,1,-1)</f>
        <v>1</v>
      </c>
      <c r="G833" s="5">
        <f>Tabela3[[#This Row],[Sinal_TSMOM]]*(0.4*Tabela3[[#This Row],[Volatilidade]])</f>
        <v>0</v>
      </c>
      <c r="H833" s="5">
        <f>Tabela3[[#This Row],[Position_Size]]*Tabela3[[#This Row],[Retorno_Diário]]</f>
        <v>0</v>
      </c>
    </row>
    <row r="834" spans="1:8" x14ac:dyDescent="0.2">
      <c r="A834" s="11" t="s">
        <v>5547</v>
      </c>
      <c r="B834" s="4" t="s">
        <v>5549</v>
      </c>
      <c r="C834" s="5">
        <f t="shared" si="16"/>
        <v>1.3936848615666131E-2</v>
      </c>
      <c r="D834" s="5"/>
      <c r="E834" s="5"/>
      <c r="F834" s="5">
        <f>IF(Tabela3[[#This Row],[Retorno_Diário]]&gt;0,1,-1)</f>
        <v>1</v>
      </c>
      <c r="G834" s="5">
        <f>Tabela3[[#This Row],[Sinal_TSMOM]]*(0.4*Tabela3[[#This Row],[Volatilidade]])</f>
        <v>0</v>
      </c>
      <c r="H834" s="5">
        <f>Tabela3[[#This Row],[Position_Size]]*Tabela3[[#This Row],[Retorno_Diário]]</f>
        <v>0</v>
      </c>
    </row>
    <row r="835" spans="1:8" x14ac:dyDescent="0.2">
      <c r="A835" s="11" t="s">
        <v>5554</v>
      </c>
      <c r="B835" s="4" t="s">
        <v>5556</v>
      </c>
      <c r="C835" s="5">
        <f t="shared" ref="C835:C898" si="17">B835/B834-1</f>
        <v>-6.2184766977949613E-3</v>
      </c>
      <c r="D835" s="5"/>
      <c r="E835" s="5"/>
      <c r="F835" s="5">
        <f>IF(Tabela3[[#This Row],[Retorno_Diário]]&gt;0,1,-1)</f>
        <v>-1</v>
      </c>
      <c r="G835" s="5">
        <f>Tabela3[[#This Row],[Sinal_TSMOM]]*(0.4*Tabela3[[#This Row],[Volatilidade]])</f>
        <v>0</v>
      </c>
      <c r="H835" s="5">
        <f>Tabela3[[#This Row],[Position_Size]]*Tabela3[[#This Row],[Retorno_Diário]]</f>
        <v>0</v>
      </c>
    </row>
    <row r="836" spans="1:8" x14ac:dyDescent="0.2">
      <c r="A836" s="11" t="s">
        <v>5561</v>
      </c>
      <c r="B836" s="4" t="s">
        <v>5563</v>
      </c>
      <c r="C836" s="5">
        <f t="shared" si="17"/>
        <v>-6.8263035858450172E-3</v>
      </c>
      <c r="D836" s="5"/>
      <c r="E836" s="5"/>
      <c r="F836" s="5">
        <f>IF(Tabela3[[#This Row],[Retorno_Diário]]&gt;0,1,-1)</f>
        <v>-1</v>
      </c>
      <c r="G836" s="5">
        <f>Tabela3[[#This Row],[Sinal_TSMOM]]*(0.4*Tabela3[[#This Row],[Volatilidade]])</f>
        <v>0</v>
      </c>
      <c r="H836" s="5">
        <f>Tabela3[[#This Row],[Position_Size]]*Tabela3[[#This Row],[Retorno_Diário]]</f>
        <v>0</v>
      </c>
    </row>
    <row r="837" spans="1:8" x14ac:dyDescent="0.2">
      <c r="A837" s="11" t="s">
        <v>5568</v>
      </c>
      <c r="B837" s="4" t="s">
        <v>5570</v>
      </c>
      <c r="C837" s="5">
        <f t="shared" si="17"/>
        <v>3.1420516088807027E-3</v>
      </c>
      <c r="D837" s="5"/>
      <c r="E837" s="5"/>
      <c r="F837" s="5">
        <f>IF(Tabela3[[#This Row],[Retorno_Diário]]&gt;0,1,-1)</f>
        <v>1</v>
      </c>
      <c r="G837" s="5">
        <f>Tabela3[[#This Row],[Sinal_TSMOM]]*(0.4*Tabela3[[#This Row],[Volatilidade]])</f>
        <v>0</v>
      </c>
      <c r="H837" s="5">
        <f>Tabela3[[#This Row],[Position_Size]]*Tabela3[[#This Row],[Retorno_Diário]]</f>
        <v>0</v>
      </c>
    </row>
    <row r="838" spans="1:8" x14ac:dyDescent="0.2">
      <c r="A838" s="11" t="s">
        <v>5575</v>
      </c>
      <c r="B838" s="4" t="s">
        <v>5577</v>
      </c>
      <c r="C838" s="5">
        <f t="shared" si="17"/>
        <v>-2.0571324023369253E-2</v>
      </c>
      <c r="D838" s="5"/>
      <c r="E838" s="5"/>
      <c r="F838" s="5">
        <f>IF(Tabela3[[#This Row],[Retorno_Diário]]&gt;0,1,-1)</f>
        <v>-1</v>
      </c>
      <c r="G838" s="5">
        <f>Tabela3[[#This Row],[Sinal_TSMOM]]*(0.4*Tabela3[[#This Row],[Volatilidade]])</f>
        <v>0</v>
      </c>
      <c r="H838" s="5">
        <f>Tabela3[[#This Row],[Position_Size]]*Tabela3[[#This Row],[Retorno_Diário]]</f>
        <v>0</v>
      </c>
    </row>
    <row r="839" spans="1:8" x14ac:dyDescent="0.2">
      <c r="A839" s="11" t="s">
        <v>5582</v>
      </c>
      <c r="B839" s="4" t="s">
        <v>5584</v>
      </c>
      <c r="C839" s="5">
        <f t="shared" si="17"/>
        <v>-1.1509345716309682E-2</v>
      </c>
      <c r="D839" s="5"/>
      <c r="E839" s="5"/>
      <c r="F839" s="5">
        <f>IF(Tabela3[[#This Row],[Retorno_Diário]]&gt;0,1,-1)</f>
        <v>-1</v>
      </c>
      <c r="G839" s="5">
        <f>Tabela3[[#This Row],[Sinal_TSMOM]]*(0.4*Tabela3[[#This Row],[Volatilidade]])</f>
        <v>0</v>
      </c>
      <c r="H839" s="5">
        <f>Tabela3[[#This Row],[Position_Size]]*Tabela3[[#This Row],[Retorno_Diário]]</f>
        <v>0</v>
      </c>
    </row>
    <row r="840" spans="1:8" x14ac:dyDescent="0.2">
      <c r="A840" s="11" t="s">
        <v>5588</v>
      </c>
      <c r="B840" s="4" t="s">
        <v>5590</v>
      </c>
      <c r="C840" s="5">
        <f t="shared" si="17"/>
        <v>-3.2722822363029813E-2</v>
      </c>
      <c r="D840" s="5"/>
      <c r="E840" s="5"/>
      <c r="F840" s="5">
        <f>IF(Tabela3[[#This Row],[Retorno_Diário]]&gt;0,1,-1)</f>
        <v>-1</v>
      </c>
      <c r="G840" s="5">
        <f>Tabela3[[#This Row],[Sinal_TSMOM]]*(0.4*Tabela3[[#This Row],[Volatilidade]])</f>
        <v>0</v>
      </c>
      <c r="H840" s="5">
        <f>Tabela3[[#This Row],[Position_Size]]*Tabela3[[#This Row],[Retorno_Diário]]</f>
        <v>0</v>
      </c>
    </row>
    <row r="841" spans="1:8" x14ac:dyDescent="0.2">
      <c r="A841" s="11" t="s">
        <v>5595</v>
      </c>
      <c r="B841" s="4" t="s">
        <v>5597</v>
      </c>
      <c r="C841" s="5">
        <f t="shared" si="17"/>
        <v>7.4732316630015116E-3</v>
      </c>
      <c r="D841" s="5"/>
      <c r="E841" s="5"/>
      <c r="F841" s="5">
        <f>IF(Tabela3[[#This Row],[Retorno_Diário]]&gt;0,1,-1)</f>
        <v>1</v>
      </c>
      <c r="G841" s="5">
        <f>Tabela3[[#This Row],[Sinal_TSMOM]]*(0.4*Tabela3[[#This Row],[Volatilidade]])</f>
        <v>0</v>
      </c>
      <c r="H841" s="5">
        <f>Tabela3[[#This Row],[Position_Size]]*Tabela3[[#This Row],[Retorno_Diário]]</f>
        <v>0</v>
      </c>
    </row>
    <row r="842" spans="1:8" x14ac:dyDescent="0.2">
      <c r="A842" s="11" t="s">
        <v>5602</v>
      </c>
      <c r="B842" s="4" t="s">
        <v>5604</v>
      </c>
      <c r="C842" s="5">
        <f t="shared" si="17"/>
        <v>4.4610336791450766E-3</v>
      </c>
      <c r="D842" s="5"/>
      <c r="E842" s="5"/>
      <c r="F842" s="5">
        <f>IF(Tabela3[[#This Row],[Retorno_Diário]]&gt;0,1,-1)</f>
        <v>1</v>
      </c>
      <c r="G842" s="5">
        <f>Tabela3[[#This Row],[Sinal_TSMOM]]*(0.4*Tabela3[[#This Row],[Volatilidade]])</f>
        <v>0</v>
      </c>
      <c r="H842" s="5">
        <f>Tabela3[[#This Row],[Position_Size]]*Tabela3[[#This Row],[Retorno_Diário]]</f>
        <v>0</v>
      </c>
    </row>
    <row r="843" spans="1:8" x14ac:dyDescent="0.2">
      <c r="A843" s="11" t="s">
        <v>5609</v>
      </c>
      <c r="B843" s="4" t="s">
        <v>5611</v>
      </c>
      <c r="C843" s="5">
        <f t="shared" si="17"/>
        <v>1.991670994635597E-2</v>
      </c>
      <c r="D843" s="5"/>
      <c r="E843" s="5"/>
      <c r="F843" s="5">
        <f>IF(Tabela3[[#This Row],[Retorno_Diário]]&gt;0,1,-1)</f>
        <v>1</v>
      </c>
      <c r="G843" s="5">
        <f>Tabela3[[#This Row],[Sinal_TSMOM]]*(0.4*Tabela3[[#This Row],[Volatilidade]])</f>
        <v>0</v>
      </c>
      <c r="H843" s="5">
        <f>Tabela3[[#This Row],[Position_Size]]*Tabela3[[#This Row],[Retorno_Diário]]</f>
        <v>0</v>
      </c>
    </row>
    <row r="844" spans="1:8" x14ac:dyDescent="0.2">
      <c r="A844" s="11" t="s">
        <v>5616</v>
      </c>
      <c r="B844" s="4" t="s">
        <v>5618</v>
      </c>
      <c r="C844" s="5">
        <f t="shared" si="17"/>
        <v>-3.6895151035590268E-2</v>
      </c>
      <c r="D844" s="5"/>
      <c r="E844" s="5"/>
      <c r="F844" s="5">
        <f>IF(Tabela3[[#This Row],[Retorno_Diário]]&gt;0,1,-1)</f>
        <v>-1</v>
      </c>
      <c r="G844" s="5">
        <f>Tabela3[[#This Row],[Sinal_TSMOM]]*(0.4*Tabela3[[#This Row],[Volatilidade]])</f>
        <v>0</v>
      </c>
      <c r="H844" s="5">
        <f>Tabela3[[#This Row],[Position_Size]]*Tabela3[[#This Row],[Retorno_Diário]]</f>
        <v>0</v>
      </c>
    </row>
    <row r="845" spans="1:8" x14ac:dyDescent="0.2">
      <c r="A845" s="11" t="s">
        <v>5623</v>
      </c>
      <c r="B845" s="4" t="s">
        <v>5625</v>
      </c>
      <c r="C845" s="5">
        <f t="shared" si="17"/>
        <v>2.8389455436788058E-3</v>
      </c>
      <c r="D845" s="5"/>
      <c r="E845" s="5"/>
      <c r="F845" s="5">
        <f>IF(Tabela3[[#This Row],[Retorno_Diário]]&gt;0,1,-1)</f>
        <v>1</v>
      </c>
      <c r="G845" s="5">
        <f>Tabela3[[#This Row],[Sinal_TSMOM]]*(0.4*Tabela3[[#This Row],[Volatilidade]])</f>
        <v>0</v>
      </c>
      <c r="H845" s="5">
        <f>Tabela3[[#This Row],[Position_Size]]*Tabela3[[#This Row],[Retorno_Diário]]</f>
        <v>0</v>
      </c>
    </row>
    <row r="846" spans="1:8" x14ac:dyDescent="0.2">
      <c r="A846" s="11" t="s">
        <v>5630</v>
      </c>
      <c r="B846" s="4" t="s">
        <v>5632</v>
      </c>
      <c r="C846" s="5">
        <f t="shared" si="17"/>
        <v>-3.8287429197280787E-2</v>
      </c>
      <c r="D846" s="5"/>
      <c r="E846" s="5"/>
      <c r="F846" s="5">
        <f>IF(Tabela3[[#This Row],[Retorno_Diário]]&gt;0,1,-1)</f>
        <v>-1</v>
      </c>
      <c r="G846" s="5">
        <f>Tabela3[[#This Row],[Sinal_TSMOM]]*(0.4*Tabela3[[#This Row],[Volatilidade]])</f>
        <v>0</v>
      </c>
      <c r="H846" s="5">
        <f>Tabela3[[#This Row],[Position_Size]]*Tabela3[[#This Row],[Retorno_Diário]]</f>
        <v>0</v>
      </c>
    </row>
    <row r="847" spans="1:8" x14ac:dyDescent="0.2">
      <c r="A847" s="11" t="s">
        <v>5637</v>
      </c>
      <c r="B847" s="4" t="s">
        <v>5639</v>
      </c>
      <c r="C847" s="5">
        <f t="shared" si="17"/>
        <v>-6.777648289128857E-3</v>
      </c>
      <c r="D847" s="5"/>
      <c r="E847" s="5"/>
      <c r="F847" s="5">
        <f>IF(Tabela3[[#This Row],[Retorno_Diário]]&gt;0,1,-1)</f>
        <v>-1</v>
      </c>
      <c r="G847" s="5">
        <f>Tabela3[[#This Row],[Sinal_TSMOM]]*(0.4*Tabela3[[#This Row],[Volatilidade]])</f>
        <v>0</v>
      </c>
      <c r="H847" s="5">
        <f>Tabela3[[#This Row],[Position_Size]]*Tabela3[[#This Row],[Retorno_Diário]]</f>
        <v>0</v>
      </c>
    </row>
    <row r="848" spans="1:8" x14ac:dyDescent="0.2">
      <c r="A848" s="11" t="s">
        <v>5644</v>
      </c>
      <c r="B848" s="4" t="s">
        <v>5646</v>
      </c>
      <c r="C848" s="5">
        <f t="shared" si="17"/>
        <v>4.2278788416788338E-2</v>
      </c>
      <c r="D848" s="5"/>
      <c r="E848" s="5"/>
      <c r="F848" s="5">
        <f>IF(Tabela3[[#This Row],[Retorno_Diário]]&gt;0,1,-1)</f>
        <v>1</v>
      </c>
      <c r="G848" s="5">
        <f>Tabela3[[#This Row],[Sinal_TSMOM]]*(0.4*Tabela3[[#This Row],[Volatilidade]])</f>
        <v>0</v>
      </c>
      <c r="H848" s="5">
        <f>Tabela3[[#This Row],[Position_Size]]*Tabela3[[#This Row],[Retorno_Diário]]</f>
        <v>0</v>
      </c>
    </row>
    <row r="849" spans="1:8" x14ac:dyDescent="0.2">
      <c r="A849" s="11" t="s">
        <v>5651</v>
      </c>
      <c r="B849" s="4" t="s">
        <v>5653</v>
      </c>
      <c r="C849" s="5">
        <f t="shared" si="17"/>
        <v>-5.4412934884958686E-3</v>
      </c>
      <c r="D849" s="5"/>
      <c r="E849" s="5"/>
      <c r="F849" s="5">
        <f>IF(Tabela3[[#This Row],[Retorno_Diário]]&gt;0,1,-1)</f>
        <v>-1</v>
      </c>
      <c r="G849" s="5">
        <f>Tabela3[[#This Row],[Sinal_TSMOM]]*(0.4*Tabela3[[#This Row],[Volatilidade]])</f>
        <v>0</v>
      </c>
      <c r="H849" s="5">
        <f>Tabela3[[#This Row],[Position_Size]]*Tabela3[[#This Row],[Retorno_Diário]]</f>
        <v>0</v>
      </c>
    </row>
    <row r="850" spans="1:8" x14ac:dyDescent="0.2">
      <c r="A850" s="11" t="s">
        <v>5658</v>
      </c>
      <c r="B850" s="4" t="s">
        <v>5660</v>
      </c>
      <c r="C850" s="5">
        <f t="shared" si="17"/>
        <v>-1.0571441824588024E-2</v>
      </c>
      <c r="D850" s="5"/>
      <c r="E850" s="5"/>
      <c r="F850" s="5">
        <f>IF(Tabela3[[#This Row],[Retorno_Diário]]&gt;0,1,-1)</f>
        <v>-1</v>
      </c>
      <c r="G850" s="5">
        <f>Tabela3[[#This Row],[Sinal_TSMOM]]*(0.4*Tabela3[[#This Row],[Volatilidade]])</f>
        <v>0</v>
      </c>
      <c r="H850" s="5">
        <f>Tabela3[[#This Row],[Position_Size]]*Tabela3[[#This Row],[Retorno_Diário]]</f>
        <v>0</v>
      </c>
    </row>
    <row r="851" spans="1:8" x14ac:dyDescent="0.2">
      <c r="A851" s="11" t="s">
        <v>5665</v>
      </c>
      <c r="B851" s="4" t="s">
        <v>5667</v>
      </c>
      <c r="C851" s="5">
        <f t="shared" si="17"/>
        <v>3.5674288553846356E-3</v>
      </c>
      <c r="D851" s="5"/>
      <c r="E851" s="5"/>
      <c r="F851" s="5">
        <f>IF(Tabela3[[#This Row],[Retorno_Diário]]&gt;0,1,-1)</f>
        <v>1</v>
      </c>
      <c r="G851" s="5">
        <f>Tabela3[[#This Row],[Sinal_TSMOM]]*(0.4*Tabela3[[#This Row],[Volatilidade]])</f>
        <v>0</v>
      </c>
      <c r="H851" s="5">
        <f>Tabela3[[#This Row],[Position_Size]]*Tabela3[[#This Row],[Retorno_Diário]]</f>
        <v>0</v>
      </c>
    </row>
    <row r="852" spans="1:8" x14ac:dyDescent="0.2">
      <c r="A852" s="11" t="s">
        <v>5672</v>
      </c>
      <c r="B852" s="4" t="s">
        <v>5674</v>
      </c>
      <c r="C852" s="5">
        <f t="shared" si="17"/>
        <v>3.8871021020528751E-2</v>
      </c>
      <c r="D852" s="5"/>
      <c r="E852" s="5"/>
      <c r="F852" s="5">
        <f>IF(Tabela3[[#This Row],[Retorno_Diário]]&gt;0,1,-1)</f>
        <v>1</v>
      </c>
      <c r="G852" s="5">
        <f>Tabela3[[#This Row],[Sinal_TSMOM]]*(0.4*Tabela3[[#This Row],[Volatilidade]])</f>
        <v>0</v>
      </c>
      <c r="H852" s="5">
        <f>Tabela3[[#This Row],[Position_Size]]*Tabela3[[#This Row],[Retorno_Diário]]</f>
        <v>0</v>
      </c>
    </row>
    <row r="853" spans="1:8" x14ac:dyDescent="0.2">
      <c r="A853" s="11" t="s">
        <v>5679</v>
      </c>
      <c r="B853" s="4" t="s">
        <v>5681</v>
      </c>
      <c r="C853" s="5">
        <f t="shared" si="17"/>
        <v>2.5953777095200081E-2</v>
      </c>
      <c r="D853" s="5"/>
      <c r="E853" s="5"/>
      <c r="F853" s="5">
        <f>IF(Tabela3[[#This Row],[Retorno_Diário]]&gt;0,1,-1)</f>
        <v>1</v>
      </c>
      <c r="G853" s="5">
        <f>Tabela3[[#This Row],[Sinal_TSMOM]]*(0.4*Tabela3[[#This Row],[Volatilidade]])</f>
        <v>0</v>
      </c>
      <c r="H853" s="5">
        <f>Tabela3[[#This Row],[Position_Size]]*Tabela3[[#This Row],[Retorno_Diário]]</f>
        <v>0</v>
      </c>
    </row>
    <row r="854" spans="1:8" x14ac:dyDescent="0.2">
      <c r="A854" s="11" t="s">
        <v>5686</v>
      </c>
      <c r="B854" s="4" t="s">
        <v>5688</v>
      </c>
      <c r="C854" s="5">
        <f t="shared" si="17"/>
        <v>4.1372802487330329E-2</v>
      </c>
      <c r="D854" s="5"/>
      <c r="E854" s="5"/>
      <c r="F854" s="5">
        <f>IF(Tabela3[[#This Row],[Retorno_Diário]]&gt;0,1,-1)</f>
        <v>1</v>
      </c>
      <c r="G854" s="5">
        <f>Tabela3[[#This Row],[Sinal_TSMOM]]*(0.4*Tabela3[[#This Row],[Volatilidade]])</f>
        <v>0</v>
      </c>
      <c r="H854" s="5">
        <f>Tabela3[[#This Row],[Position_Size]]*Tabela3[[#This Row],[Retorno_Diário]]</f>
        <v>0</v>
      </c>
    </row>
    <row r="855" spans="1:8" x14ac:dyDescent="0.2">
      <c r="A855" s="11" t="s">
        <v>5693</v>
      </c>
      <c r="B855" s="4" t="s">
        <v>5695</v>
      </c>
      <c r="C855" s="5">
        <f t="shared" si="17"/>
        <v>2.2898689699659691E-3</v>
      </c>
      <c r="D855" s="5"/>
      <c r="E855" s="5"/>
      <c r="F855" s="5">
        <f>IF(Tabela3[[#This Row],[Retorno_Diário]]&gt;0,1,-1)</f>
        <v>1</v>
      </c>
      <c r="G855" s="5">
        <f>Tabela3[[#This Row],[Sinal_TSMOM]]*(0.4*Tabela3[[#This Row],[Volatilidade]])</f>
        <v>0</v>
      </c>
      <c r="H855" s="5">
        <f>Tabela3[[#This Row],[Position_Size]]*Tabela3[[#This Row],[Retorno_Diário]]</f>
        <v>0</v>
      </c>
    </row>
    <row r="856" spans="1:8" x14ac:dyDescent="0.2">
      <c r="A856" s="11" t="s">
        <v>5700</v>
      </c>
      <c r="B856" s="4" t="s">
        <v>5487</v>
      </c>
      <c r="C856" s="5">
        <f t="shared" si="17"/>
        <v>3.3391323850702204E-3</v>
      </c>
      <c r="D856" s="5"/>
      <c r="E856" s="5"/>
      <c r="F856" s="5">
        <f>IF(Tabela3[[#This Row],[Retorno_Diário]]&gt;0,1,-1)</f>
        <v>1</v>
      </c>
      <c r="G856" s="5">
        <f>Tabela3[[#This Row],[Sinal_TSMOM]]*(0.4*Tabela3[[#This Row],[Volatilidade]])</f>
        <v>0</v>
      </c>
      <c r="H856" s="5">
        <f>Tabela3[[#This Row],[Position_Size]]*Tabela3[[#This Row],[Retorno_Diário]]</f>
        <v>0</v>
      </c>
    </row>
    <row r="857" spans="1:8" x14ac:dyDescent="0.2">
      <c r="A857" s="11" t="s">
        <v>5706</v>
      </c>
      <c r="B857" s="4" t="s">
        <v>5708</v>
      </c>
      <c r="C857" s="5">
        <f t="shared" si="17"/>
        <v>-1.3503178074141808E-2</v>
      </c>
      <c r="D857" s="5"/>
      <c r="E857" s="5"/>
      <c r="F857" s="5">
        <f>IF(Tabela3[[#This Row],[Retorno_Diário]]&gt;0,1,-1)</f>
        <v>-1</v>
      </c>
      <c r="G857" s="5">
        <f>Tabela3[[#This Row],[Sinal_TSMOM]]*(0.4*Tabela3[[#This Row],[Volatilidade]])</f>
        <v>0</v>
      </c>
      <c r="H857" s="5">
        <f>Tabela3[[#This Row],[Position_Size]]*Tabela3[[#This Row],[Retorno_Diário]]</f>
        <v>0</v>
      </c>
    </row>
    <row r="858" spans="1:8" x14ac:dyDescent="0.2">
      <c r="A858" s="11" t="s">
        <v>5713</v>
      </c>
      <c r="B858" s="4" t="s">
        <v>5715</v>
      </c>
      <c r="C858" s="5">
        <f t="shared" si="17"/>
        <v>4.8844220981758335E-2</v>
      </c>
      <c r="D858" s="5"/>
      <c r="E858" s="5"/>
      <c r="F858" s="5">
        <f>IF(Tabela3[[#This Row],[Retorno_Diário]]&gt;0,1,-1)</f>
        <v>1</v>
      </c>
      <c r="G858" s="5">
        <f>Tabela3[[#This Row],[Sinal_TSMOM]]*(0.4*Tabela3[[#This Row],[Volatilidade]])</f>
        <v>0</v>
      </c>
      <c r="H858" s="5">
        <f>Tabela3[[#This Row],[Position_Size]]*Tabela3[[#This Row],[Retorno_Diário]]</f>
        <v>0</v>
      </c>
    </row>
    <row r="859" spans="1:8" x14ac:dyDescent="0.2">
      <c r="A859" s="11" t="s">
        <v>5719</v>
      </c>
      <c r="B859" s="4" t="s">
        <v>5721</v>
      </c>
      <c r="C859" s="5">
        <f t="shared" si="17"/>
        <v>1.2312141796064768E-3</v>
      </c>
      <c r="D859" s="5"/>
      <c r="E859" s="5"/>
      <c r="F859" s="5">
        <f>IF(Tabela3[[#This Row],[Retorno_Diário]]&gt;0,1,-1)</f>
        <v>1</v>
      </c>
      <c r="G859" s="5">
        <f>Tabela3[[#This Row],[Sinal_TSMOM]]*(0.4*Tabela3[[#This Row],[Volatilidade]])</f>
        <v>0</v>
      </c>
      <c r="H859" s="5">
        <f>Tabela3[[#This Row],[Position_Size]]*Tabela3[[#This Row],[Retorno_Diário]]</f>
        <v>0</v>
      </c>
    </row>
    <row r="860" spans="1:8" x14ac:dyDescent="0.2">
      <c r="A860" s="11" t="s">
        <v>5726</v>
      </c>
      <c r="B860" s="4" t="s">
        <v>5728</v>
      </c>
      <c r="C860" s="5">
        <f t="shared" si="17"/>
        <v>3.1587204457408147E-2</v>
      </c>
      <c r="D860" s="5"/>
      <c r="E860" s="5"/>
      <c r="F860" s="5">
        <f>IF(Tabela3[[#This Row],[Retorno_Diário]]&gt;0,1,-1)</f>
        <v>1</v>
      </c>
      <c r="G860" s="5">
        <f>Tabela3[[#This Row],[Sinal_TSMOM]]*(0.4*Tabela3[[#This Row],[Volatilidade]])</f>
        <v>0</v>
      </c>
      <c r="H860" s="5">
        <f>Tabela3[[#This Row],[Position_Size]]*Tabela3[[#This Row],[Retorno_Diário]]</f>
        <v>0</v>
      </c>
    </row>
    <row r="861" spans="1:8" x14ac:dyDescent="0.2">
      <c r="A861" s="11" t="s">
        <v>5733</v>
      </c>
      <c r="B861" s="4" t="s">
        <v>5735</v>
      </c>
      <c r="C861" s="5">
        <f t="shared" si="17"/>
        <v>1.1413568938576812E-2</v>
      </c>
      <c r="D861" s="5"/>
      <c r="E861" s="5"/>
      <c r="F861" s="5">
        <f>IF(Tabela3[[#This Row],[Retorno_Diário]]&gt;0,1,-1)</f>
        <v>1</v>
      </c>
      <c r="G861" s="5">
        <f>Tabela3[[#This Row],[Sinal_TSMOM]]*(0.4*Tabela3[[#This Row],[Volatilidade]])</f>
        <v>0</v>
      </c>
      <c r="H861" s="5">
        <f>Tabela3[[#This Row],[Position_Size]]*Tabela3[[#This Row],[Retorno_Diário]]</f>
        <v>0</v>
      </c>
    </row>
    <row r="862" spans="1:8" x14ac:dyDescent="0.2">
      <c r="A862" s="11" t="s">
        <v>5740</v>
      </c>
      <c r="B862" s="4" t="s">
        <v>5742</v>
      </c>
      <c r="C862" s="5">
        <f t="shared" si="17"/>
        <v>3.5858009341539931E-2</v>
      </c>
      <c r="D862" s="5"/>
      <c r="E862" s="5"/>
      <c r="F862" s="5">
        <f>IF(Tabela3[[#This Row],[Retorno_Diário]]&gt;0,1,-1)</f>
        <v>1</v>
      </c>
      <c r="G862" s="5">
        <f>Tabela3[[#This Row],[Sinal_TSMOM]]*(0.4*Tabela3[[#This Row],[Volatilidade]])</f>
        <v>0</v>
      </c>
      <c r="H862" s="5">
        <f>Tabela3[[#This Row],[Position_Size]]*Tabela3[[#This Row],[Retorno_Diário]]</f>
        <v>0</v>
      </c>
    </row>
    <row r="863" spans="1:8" x14ac:dyDescent="0.2">
      <c r="A863" s="11" t="s">
        <v>5747</v>
      </c>
      <c r="B863" s="4" t="s">
        <v>5749</v>
      </c>
      <c r="C863" s="5">
        <f t="shared" si="17"/>
        <v>2.3181257599496075E-3</v>
      </c>
      <c r="D863" s="5"/>
      <c r="E863" s="5"/>
      <c r="F863" s="5">
        <f>IF(Tabela3[[#This Row],[Retorno_Diário]]&gt;0,1,-1)</f>
        <v>1</v>
      </c>
      <c r="G863" s="5">
        <f>Tabela3[[#This Row],[Sinal_TSMOM]]*(0.4*Tabela3[[#This Row],[Volatilidade]])</f>
        <v>0</v>
      </c>
      <c r="H863" s="5">
        <f>Tabela3[[#This Row],[Position_Size]]*Tabela3[[#This Row],[Retorno_Diário]]</f>
        <v>0</v>
      </c>
    </row>
    <row r="864" spans="1:8" x14ac:dyDescent="0.2">
      <c r="A864" s="11" t="s">
        <v>5754</v>
      </c>
      <c r="B864" s="4" t="s">
        <v>5756</v>
      </c>
      <c r="C864" s="5">
        <f t="shared" si="17"/>
        <v>-9.194548700233951E-3</v>
      </c>
      <c r="D864" s="5"/>
      <c r="E864" s="5"/>
      <c r="F864" s="5">
        <f>IF(Tabela3[[#This Row],[Retorno_Diário]]&gt;0,1,-1)</f>
        <v>-1</v>
      </c>
      <c r="G864" s="5">
        <f>Tabela3[[#This Row],[Sinal_TSMOM]]*(0.4*Tabela3[[#This Row],[Volatilidade]])</f>
        <v>0</v>
      </c>
      <c r="H864" s="5">
        <f>Tabela3[[#This Row],[Position_Size]]*Tabela3[[#This Row],[Retorno_Diário]]</f>
        <v>0</v>
      </c>
    </row>
    <row r="865" spans="1:8" x14ac:dyDescent="0.2">
      <c r="A865" s="11" t="s">
        <v>5761</v>
      </c>
      <c r="B865" s="4" t="s">
        <v>5763</v>
      </c>
      <c r="C865" s="5">
        <f t="shared" si="17"/>
        <v>-5.6568175500958384E-3</v>
      </c>
      <c r="D865" s="5"/>
      <c r="E865" s="5"/>
      <c r="F865" s="5">
        <f>IF(Tabela3[[#This Row],[Retorno_Diário]]&gt;0,1,-1)</f>
        <v>-1</v>
      </c>
      <c r="G865" s="5">
        <f>Tabela3[[#This Row],[Sinal_TSMOM]]*(0.4*Tabela3[[#This Row],[Volatilidade]])</f>
        <v>0</v>
      </c>
      <c r="H865" s="5">
        <f>Tabela3[[#This Row],[Position_Size]]*Tabela3[[#This Row],[Retorno_Diário]]</f>
        <v>0</v>
      </c>
    </row>
    <row r="866" spans="1:8" x14ac:dyDescent="0.2">
      <c r="A866" s="11" t="s">
        <v>5768</v>
      </c>
      <c r="B866" s="4" t="s">
        <v>5770</v>
      </c>
      <c r="C866" s="5">
        <f t="shared" si="17"/>
        <v>3.8454091884134733E-3</v>
      </c>
      <c r="D866" s="5"/>
      <c r="E866" s="5"/>
      <c r="F866" s="5">
        <f>IF(Tabela3[[#This Row],[Retorno_Diário]]&gt;0,1,-1)</f>
        <v>1</v>
      </c>
      <c r="G866" s="5">
        <f>Tabela3[[#This Row],[Sinal_TSMOM]]*(0.4*Tabela3[[#This Row],[Volatilidade]])</f>
        <v>0</v>
      </c>
      <c r="H866" s="5">
        <f>Tabela3[[#This Row],[Position_Size]]*Tabela3[[#This Row],[Retorno_Diário]]</f>
        <v>0</v>
      </c>
    </row>
    <row r="867" spans="1:8" x14ac:dyDescent="0.2">
      <c r="A867" s="11" t="s">
        <v>5775</v>
      </c>
      <c r="B867" s="4" t="s">
        <v>5777</v>
      </c>
      <c r="C867" s="5">
        <f t="shared" si="17"/>
        <v>2.2969951568119429E-2</v>
      </c>
      <c r="D867" s="5"/>
      <c r="E867" s="5"/>
      <c r="F867" s="5">
        <f>IF(Tabela3[[#This Row],[Retorno_Diário]]&gt;0,1,-1)</f>
        <v>1</v>
      </c>
      <c r="G867" s="5">
        <f>Tabela3[[#This Row],[Sinal_TSMOM]]*(0.4*Tabela3[[#This Row],[Volatilidade]])</f>
        <v>0</v>
      </c>
      <c r="H867" s="5">
        <f>Tabela3[[#This Row],[Position_Size]]*Tabela3[[#This Row],[Retorno_Diário]]</f>
        <v>0</v>
      </c>
    </row>
    <row r="868" spans="1:8" x14ac:dyDescent="0.2">
      <c r="A868" s="11" t="s">
        <v>5782</v>
      </c>
      <c r="B868" s="4" t="s">
        <v>5784</v>
      </c>
      <c r="C868" s="5">
        <f t="shared" si="17"/>
        <v>1.0855309443570826E-2</v>
      </c>
      <c r="D868" s="5"/>
      <c r="E868" s="5"/>
      <c r="F868" s="5">
        <f>IF(Tabela3[[#This Row],[Retorno_Diário]]&gt;0,1,-1)</f>
        <v>1</v>
      </c>
      <c r="G868" s="5">
        <f>Tabela3[[#This Row],[Sinal_TSMOM]]*(0.4*Tabela3[[#This Row],[Volatilidade]])</f>
        <v>0</v>
      </c>
      <c r="H868" s="5">
        <f>Tabela3[[#This Row],[Position_Size]]*Tabela3[[#This Row],[Retorno_Diário]]</f>
        <v>0</v>
      </c>
    </row>
    <row r="869" spans="1:8" x14ac:dyDescent="0.2">
      <c r="A869" s="11" t="s">
        <v>5789</v>
      </c>
      <c r="B869" s="4" t="s">
        <v>5791</v>
      </c>
      <c r="C869" s="5">
        <f t="shared" si="17"/>
        <v>-1.2778323394036173E-2</v>
      </c>
      <c r="D869" s="5"/>
      <c r="E869" s="5"/>
      <c r="F869" s="5">
        <f>IF(Tabela3[[#This Row],[Retorno_Diário]]&gt;0,1,-1)</f>
        <v>-1</v>
      </c>
      <c r="G869" s="5">
        <f>Tabela3[[#This Row],[Sinal_TSMOM]]*(0.4*Tabela3[[#This Row],[Volatilidade]])</f>
        <v>0</v>
      </c>
      <c r="H869" s="5">
        <f>Tabela3[[#This Row],[Position_Size]]*Tabela3[[#This Row],[Retorno_Diário]]</f>
        <v>0</v>
      </c>
    </row>
    <row r="870" spans="1:8" x14ac:dyDescent="0.2">
      <c r="A870" s="11" t="s">
        <v>5796</v>
      </c>
      <c r="B870" s="4" t="s">
        <v>5798</v>
      </c>
      <c r="C870" s="5">
        <f t="shared" si="17"/>
        <v>1.2226717635057671E-3</v>
      </c>
      <c r="D870" s="5"/>
      <c r="E870" s="5"/>
      <c r="F870" s="5">
        <f>IF(Tabela3[[#This Row],[Retorno_Diário]]&gt;0,1,-1)</f>
        <v>1</v>
      </c>
      <c r="G870" s="5">
        <f>Tabela3[[#This Row],[Sinal_TSMOM]]*(0.4*Tabela3[[#This Row],[Volatilidade]])</f>
        <v>0</v>
      </c>
      <c r="H870" s="5">
        <f>Tabela3[[#This Row],[Position_Size]]*Tabela3[[#This Row],[Retorno_Diário]]</f>
        <v>0</v>
      </c>
    </row>
    <row r="871" spans="1:8" x14ac:dyDescent="0.2">
      <c r="A871" s="11" t="s">
        <v>5803</v>
      </c>
      <c r="B871" s="4" t="s">
        <v>5805</v>
      </c>
      <c r="C871" s="5">
        <f t="shared" si="17"/>
        <v>4.7556893025048508E-2</v>
      </c>
      <c r="D871" s="5"/>
      <c r="E871" s="5"/>
      <c r="F871" s="5">
        <f>IF(Tabela3[[#This Row],[Retorno_Diário]]&gt;0,1,-1)</f>
        <v>1</v>
      </c>
      <c r="G871" s="5">
        <f>Tabela3[[#This Row],[Sinal_TSMOM]]*(0.4*Tabela3[[#This Row],[Volatilidade]])</f>
        <v>0</v>
      </c>
      <c r="H871" s="5">
        <f>Tabela3[[#This Row],[Position_Size]]*Tabela3[[#This Row],[Retorno_Diário]]</f>
        <v>0</v>
      </c>
    </row>
    <row r="872" spans="1:8" x14ac:dyDescent="0.2">
      <c r="A872" s="11" t="s">
        <v>5810</v>
      </c>
      <c r="B872" s="4" t="s">
        <v>5812</v>
      </c>
      <c r="C872" s="5">
        <f t="shared" si="17"/>
        <v>-9.91538138486181E-4</v>
      </c>
      <c r="D872" s="5"/>
      <c r="E872" s="5"/>
      <c r="F872" s="5">
        <f>IF(Tabela3[[#This Row],[Retorno_Diário]]&gt;0,1,-1)</f>
        <v>-1</v>
      </c>
      <c r="G872" s="5">
        <f>Tabela3[[#This Row],[Sinal_TSMOM]]*(0.4*Tabela3[[#This Row],[Volatilidade]])</f>
        <v>0</v>
      </c>
      <c r="H872" s="5">
        <f>Tabela3[[#This Row],[Position_Size]]*Tabela3[[#This Row],[Retorno_Diário]]</f>
        <v>0</v>
      </c>
    </row>
    <row r="873" spans="1:8" x14ac:dyDescent="0.2">
      <c r="A873" s="11" t="s">
        <v>5817</v>
      </c>
      <c r="B873" s="4" t="s">
        <v>5819</v>
      </c>
      <c r="C873" s="5">
        <f t="shared" si="17"/>
        <v>-1.1347336435166833E-2</v>
      </c>
      <c r="D873" s="5"/>
      <c r="E873" s="5"/>
      <c r="F873" s="5">
        <f>IF(Tabela3[[#This Row],[Retorno_Diário]]&gt;0,1,-1)</f>
        <v>-1</v>
      </c>
      <c r="G873" s="5">
        <f>Tabela3[[#This Row],[Sinal_TSMOM]]*(0.4*Tabela3[[#This Row],[Volatilidade]])</f>
        <v>0</v>
      </c>
      <c r="H873" s="5">
        <f>Tabela3[[#This Row],[Position_Size]]*Tabela3[[#This Row],[Retorno_Diário]]</f>
        <v>0</v>
      </c>
    </row>
    <row r="874" spans="1:8" x14ac:dyDescent="0.2">
      <c r="A874" s="11" t="s">
        <v>5824</v>
      </c>
      <c r="B874" s="4" t="s">
        <v>5826</v>
      </c>
      <c r="C874" s="5">
        <f t="shared" si="17"/>
        <v>2.4935861911779877E-2</v>
      </c>
      <c r="D874" s="5"/>
      <c r="E874" s="5"/>
      <c r="F874" s="5">
        <f>IF(Tabela3[[#This Row],[Retorno_Diário]]&gt;0,1,-1)</f>
        <v>1</v>
      </c>
      <c r="G874" s="5">
        <f>Tabela3[[#This Row],[Sinal_TSMOM]]*(0.4*Tabela3[[#This Row],[Volatilidade]])</f>
        <v>0</v>
      </c>
      <c r="H874" s="5">
        <f>Tabela3[[#This Row],[Position_Size]]*Tabela3[[#This Row],[Retorno_Diário]]</f>
        <v>0</v>
      </c>
    </row>
    <row r="875" spans="1:8" x14ac:dyDescent="0.2">
      <c r="A875" s="11" t="s">
        <v>5831</v>
      </c>
      <c r="B875" s="4" t="s">
        <v>5833</v>
      </c>
      <c r="C875" s="5">
        <f t="shared" si="17"/>
        <v>9.02748266629394E-3</v>
      </c>
      <c r="D875" s="5"/>
      <c r="E875" s="5"/>
      <c r="F875" s="5">
        <f>IF(Tabela3[[#This Row],[Retorno_Diário]]&gt;0,1,-1)</f>
        <v>1</v>
      </c>
      <c r="G875" s="5">
        <f>Tabela3[[#This Row],[Sinal_TSMOM]]*(0.4*Tabela3[[#This Row],[Volatilidade]])</f>
        <v>0</v>
      </c>
      <c r="H875" s="5">
        <f>Tabela3[[#This Row],[Position_Size]]*Tabela3[[#This Row],[Retorno_Diário]]</f>
        <v>0</v>
      </c>
    </row>
    <row r="876" spans="1:8" x14ac:dyDescent="0.2">
      <c r="A876" s="11" t="s">
        <v>5838</v>
      </c>
      <c r="B876" s="4" t="s">
        <v>5840</v>
      </c>
      <c r="C876" s="5">
        <f t="shared" si="17"/>
        <v>7.779222452074297E-3</v>
      </c>
      <c r="D876" s="5"/>
      <c r="E876" s="5"/>
      <c r="F876" s="5">
        <f>IF(Tabela3[[#This Row],[Retorno_Diário]]&gt;0,1,-1)</f>
        <v>1</v>
      </c>
      <c r="G876" s="5">
        <f>Tabela3[[#This Row],[Sinal_TSMOM]]*(0.4*Tabela3[[#This Row],[Volatilidade]])</f>
        <v>0</v>
      </c>
      <c r="H876" s="5">
        <f>Tabela3[[#This Row],[Position_Size]]*Tabela3[[#This Row],[Retorno_Diário]]</f>
        <v>0</v>
      </c>
    </row>
    <row r="877" spans="1:8" x14ac:dyDescent="0.2">
      <c r="A877" s="11" t="s">
        <v>5845</v>
      </c>
      <c r="B877" s="4" t="s">
        <v>5847</v>
      </c>
      <c r="C877" s="5">
        <f t="shared" si="17"/>
        <v>-9.0859136657425177E-3</v>
      </c>
      <c r="D877" s="5"/>
      <c r="E877" s="5"/>
      <c r="F877" s="5">
        <f>IF(Tabela3[[#This Row],[Retorno_Diário]]&gt;0,1,-1)</f>
        <v>-1</v>
      </c>
      <c r="G877" s="5">
        <f>Tabela3[[#This Row],[Sinal_TSMOM]]*(0.4*Tabela3[[#This Row],[Volatilidade]])</f>
        <v>0</v>
      </c>
      <c r="H877" s="5">
        <f>Tabela3[[#This Row],[Position_Size]]*Tabela3[[#This Row],[Retorno_Diário]]</f>
        <v>0</v>
      </c>
    </row>
    <row r="878" spans="1:8" x14ac:dyDescent="0.2">
      <c r="A878" s="11" t="s">
        <v>5852</v>
      </c>
      <c r="B878" s="4" t="s">
        <v>5854</v>
      </c>
      <c r="C878" s="5">
        <f t="shared" si="17"/>
        <v>5.0128761816943923E-2</v>
      </c>
      <c r="D878" s="5"/>
      <c r="E878" s="5"/>
      <c r="F878" s="5">
        <f>IF(Tabela3[[#This Row],[Retorno_Diário]]&gt;0,1,-1)</f>
        <v>1</v>
      </c>
      <c r="G878" s="5">
        <f>Tabela3[[#This Row],[Sinal_TSMOM]]*(0.4*Tabela3[[#This Row],[Volatilidade]])</f>
        <v>0</v>
      </c>
      <c r="H878" s="5">
        <f>Tabela3[[#This Row],[Position_Size]]*Tabela3[[#This Row],[Retorno_Diário]]</f>
        <v>0</v>
      </c>
    </row>
    <row r="879" spans="1:8" x14ac:dyDescent="0.2">
      <c r="A879" s="11" t="s">
        <v>5859</v>
      </c>
      <c r="B879" s="4" t="s">
        <v>5861</v>
      </c>
      <c r="C879" s="5">
        <f t="shared" si="17"/>
        <v>2.0890644457611796E-3</v>
      </c>
      <c r="D879" s="5"/>
      <c r="E879" s="5"/>
      <c r="F879" s="5">
        <f>IF(Tabela3[[#This Row],[Retorno_Diário]]&gt;0,1,-1)</f>
        <v>1</v>
      </c>
      <c r="G879" s="5">
        <f>Tabela3[[#This Row],[Sinal_TSMOM]]*(0.4*Tabela3[[#This Row],[Volatilidade]])</f>
        <v>0</v>
      </c>
      <c r="H879" s="5">
        <f>Tabela3[[#This Row],[Position_Size]]*Tabela3[[#This Row],[Retorno_Diário]]</f>
        <v>0</v>
      </c>
    </row>
    <row r="880" spans="1:8" x14ac:dyDescent="0.2">
      <c r="A880" s="11" t="s">
        <v>5866</v>
      </c>
      <c r="B880" s="4" t="s">
        <v>5868</v>
      </c>
      <c r="C880" s="5">
        <f t="shared" si="17"/>
        <v>-1.2108819371023927E-3</v>
      </c>
      <c r="D880" s="5"/>
      <c r="E880" s="5"/>
      <c r="F880" s="5">
        <f>IF(Tabela3[[#This Row],[Retorno_Diário]]&gt;0,1,-1)</f>
        <v>-1</v>
      </c>
      <c r="G880" s="5">
        <f>Tabela3[[#This Row],[Sinal_TSMOM]]*(0.4*Tabela3[[#This Row],[Volatilidade]])</f>
        <v>0</v>
      </c>
      <c r="H880" s="5">
        <f>Tabela3[[#This Row],[Position_Size]]*Tabela3[[#This Row],[Retorno_Diário]]</f>
        <v>0</v>
      </c>
    </row>
    <row r="881" spans="1:8" x14ac:dyDescent="0.2">
      <c r="A881" s="11" t="s">
        <v>5873</v>
      </c>
      <c r="B881" s="4" t="s">
        <v>5875</v>
      </c>
      <c r="C881" s="5">
        <f t="shared" si="17"/>
        <v>1.0473658469554392E-2</v>
      </c>
      <c r="D881" s="5"/>
      <c r="E881" s="5"/>
      <c r="F881" s="5">
        <f>IF(Tabela3[[#This Row],[Retorno_Diário]]&gt;0,1,-1)</f>
        <v>1</v>
      </c>
      <c r="G881" s="5">
        <f>Tabela3[[#This Row],[Sinal_TSMOM]]*(0.4*Tabela3[[#This Row],[Volatilidade]])</f>
        <v>0</v>
      </c>
      <c r="H881" s="5">
        <f>Tabela3[[#This Row],[Position_Size]]*Tabela3[[#This Row],[Retorno_Diário]]</f>
        <v>0</v>
      </c>
    </row>
    <row r="882" spans="1:8" x14ac:dyDescent="0.2">
      <c r="A882" s="11" t="s">
        <v>5880</v>
      </c>
      <c r="B882" s="4" t="s">
        <v>5882</v>
      </c>
      <c r="C882" s="5">
        <f t="shared" si="17"/>
        <v>1.3605759943773776E-2</v>
      </c>
      <c r="D882" s="5"/>
      <c r="E882" s="5"/>
      <c r="F882" s="5">
        <f>IF(Tabela3[[#This Row],[Retorno_Diário]]&gt;0,1,-1)</f>
        <v>1</v>
      </c>
      <c r="G882" s="5">
        <f>Tabela3[[#This Row],[Sinal_TSMOM]]*(0.4*Tabela3[[#This Row],[Volatilidade]])</f>
        <v>0</v>
      </c>
      <c r="H882" s="5">
        <f>Tabela3[[#This Row],[Position_Size]]*Tabela3[[#This Row],[Retorno_Diário]]</f>
        <v>0</v>
      </c>
    </row>
    <row r="883" spans="1:8" x14ac:dyDescent="0.2">
      <c r="A883" s="11" t="s">
        <v>5887</v>
      </c>
      <c r="B883" s="4" t="s">
        <v>5889</v>
      </c>
      <c r="C883" s="5">
        <f t="shared" si="17"/>
        <v>1.0323628295384246E-2</v>
      </c>
      <c r="D883" s="5"/>
      <c r="E883" s="5"/>
      <c r="F883" s="5">
        <f>IF(Tabela3[[#This Row],[Retorno_Diário]]&gt;0,1,-1)</f>
        <v>1</v>
      </c>
      <c r="G883" s="5">
        <f>Tabela3[[#This Row],[Sinal_TSMOM]]*(0.4*Tabela3[[#This Row],[Volatilidade]])</f>
        <v>0</v>
      </c>
      <c r="H883" s="5">
        <f>Tabela3[[#This Row],[Position_Size]]*Tabela3[[#This Row],[Retorno_Diário]]</f>
        <v>0</v>
      </c>
    </row>
    <row r="884" spans="1:8" x14ac:dyDescent="0.2">
      <c r="A884" s="11" t="s">
        <v>5894</v>
      </c>
      <c r="B884" s="4" t="s">
        <v>5896</v>
      </c>
      <c r="C884" s="5">
        <f t="shared" si="17"/>
        <v>-1.5786158740693002E-2</v>
      </c>
      <c r="D884" s="5"/>
      <c r="E884" s="5"/>
      <c r="F884" s="5">
        <f>IF(Tabela3[[#This Row],[Retorno_Diário]]&gt;0,1,-1)</f>
        <v>-1</v>
      </c>
      <c r="G884" s="5">
        <f>Tabela3[[#This Row],[Sinal_TSMOM]]*(0.4*Tabela3[[#This Row],[Volatilidade]])</f>
        <v>0</v>
      </c>
      <c r="H884" s="5">
        <f>Tabela3[[#This Row],[Position_Size]]*Tabela3[[#This Row],[Retorno_Diário]]</f>
        <v>0</v>
      </c>
    </row>
    <row r="885" spans="1:8" x14ac:dyDescent="0.2">
      <c r="A885" s="11" t="s">
        <v>5901</v>
      </c>
      <c r="B885" s="4" t="s">
        <v>5903</v>
      </c>
      <c r="C885" s="5">
        <f t="shared" si="17"/>
        <v>-2.3022070537936701E-2</v>
      </c>
      <c r="D885" s="5"/>
      <c r="E885" s="5"/>
      <c r="F885" s="5">
        <f>IF(Tabela3[[#This Row],[Retorno_Diário]]&gt;0,1,-1)</f>
        <v>-1</v>
      </c>
      <c r="G885" s="5">
        <f>Tabela3[[#This Row],[Sinal_TSMOM]]*(0.4*Tabela3[[#This Row],[Volatilidade]])</f>
        <v>0</v>
      </c>
      <c r="H885" s="5">
        <f>Tabela3[[#This Row],[Position_Size]]*Tabela3[[#This Row],[Retorno_Diário]]</f>
        <v>0</v>
      </c>
    </row>
    <row r="886" spans="1:8" x14ac:dyDescent="0.2">
      <c r="A886" s="11" t="s">
        <v>5908</v>
      </c>
      <c r="B886" s="4" t="s">
        <v>5910</v>
      </c>
      <c r="C886" s="5">
        <f t="shared" si="17"/>
        <v>7.4109901576222548E-3</v>
      </c>
      <c r="D886" s="5"/>
      <c r="E886" s="5"/>
      <c r="F886" s="5">
        <f>IF(Tabela3[[#This Row],[Retorno_Diário]]&gt;0,1,-1)</f>
        <v>1</v>
      </c>
      <c r="G886" s="5">
        <f>Tabela3[[#This Row],[Sinal_TSMOM]]*(0.4*Tabela3[[#This Row],[Volatilidade]])</f>
        <v>0</v>
      </c>
      <c r="H886" s="5">
        <f>Tabela3[[#This Row],[Position_Size]]*Tabela3[[#This Row],[Retorno_Diário]]</f>
        <v>0</v>
      </c>
    </row>
    <row r="887" spans="1:8" x14ac:dyDescent="0.2">
      <c r="A887" s="11" t="s">
        <v>5915</v>
      </c>
      <c r="B887" s="4" t="s">
        <v>5917</v>
      </c>
      <c r="C887" s="5">
        <f t="shared" si="17"/>
        <v>2.3054659366511077E-2</v>
      </c>
      <c r="D887" s="5"/>
      <c r="E887" s="5"/>
      <c r="F887" s="5">
        <f>IF(Tabela3[[#This Row],[Retorno_Diário]]&gt;0,1,-1)</f>
        <v>1</v>
      </c>
      <c r="G887" s="5">
        <f>Tabela3[[#This Row],[Sinal_TSMOM]]*(0.4*Tabela3[[#This Row],[Volatilidade]])</f>
        <v>0</v>
      </c>
      <c r="H887" s="5">
        <f>Tabela3[[#This Row],[Position_Size]]*Tabela3[[#This Row],[Retorno_Diário]]</f>
        <v>0</v>
      </c>
    </row>
    <row r="888" spans="1:8" x14ac:dyDescent="0.2">
      <c r="A888" s="11" t="s">
        <v>5922</v>
      </c>
      <c r="B888" s="4" t="s">
        <v>5924</v>
      </c>
      <c r="C888" s="5">
        <f t="shared" si="17"/>
        <v>-1.279711167219888E-2</v>
      </c>
      <c r="D888" s="5"/>
      <c r="E888" s="5"/>
      <c r="F888" s="5">
        <f>IF(Tabela3[[#This Row],[Retorno_Diário]]&gt;0,1,-1)</f>
        <v>-1</v>
      </c>
      <c r="G888" s="5">
        <f>Tabela3[[#This Row],[Sinal_TSMOM]]*(0.4*Tabela3[[#This Row],[Volatilidade]])</f>
        <v>0</v>
      </c>
      <c r="H888" s="5">
        <f>Tabela3[[#This Row],[Position_Size]]*Tabela3[[#This Row],[Retorno_Diário]]</f>
        <v>0</v>
      </c>
    </row>
    <row r="889" spans="1:8" x14ac:dyDescent="0.2">
      <c r="A889" s="11" t="s">
        <v>5929</v>
      </c>
      <c r="B889" s="4" t="s">
        <v>5931</v>
      </c>
      <c r="C889" s="5">
        <f t="shared" si="17"/>
        <v>-2.0172872661076591E-2</v>
      </c>
      <c r="D889" s="5"/>
      <c r="E889" s="5"/>
      <c r="F889" s="5">
        <f>IF(Tabela3[[#This Row],[Retorno_Diário]]&gt;0,1,-1)</f>
        <v>-1</v>
      </c>
      <c r="G889" s="5">
        <f>Tabela3[[#This Row],[Sinal_TSMOM]]*(0.4*Tabela3[[#This Row],[Volatilidade]])</f>
        <v>0</v>
      </c>
      <c r="H889" s="5">
        <f>Tabela3[[#This Row],[Position_Size]]*Tabela3[[#This Row],[Retorno_Diário]]</f>
        <v>0</v>
      </c>
    </row>
    <row r="890" spans="1:8" x14ac:dyDescent="0.2">
      <c r="A890" s="11" t="s">
        <v>5936</v>
      </c>
      <c r="B890" s="4" t="s">
        <v>5938</v>
      </c>
      <c r="C890" s="5">
        <f t="shared" si="17"/>
        <v>-4.4112082871112013E-2</v>
      </c>
      <c r="D890" s="5"/>
      <c r="E890" s="5"/>
      <c r="F890" s="5">
        <f>IF(Tabela3[[#This Row],[Retorno_Diário]]&gt;0,1,-1)</f>
        <v>-1</v>
      </c>
      <c r="G890" s="5">
        <f>Tabela3[[#This Row],[Sinal_TSMOM]]*(0.4*Tabela3[[#This Row],[Volatilidade]])</f>
        <v>0</v>
      </c>
      <c r="H890" s="5">
        <f>Tabela3[[#This Row],[Position_Size]]*Tabela3[[#This Row],[Retorno_Diário]]</f>
        <v>0</v>
      </c>
    </row>
    <row r="891" spans="1:8" x14ac:dyDescent="0.2">
      <c r="A891" s="11" t="s">
        <v>5943</v>
      </c>
      <c r="B891" s="4" t="s">
        <v>5945</v>
      </c>
      <c r="C891" s="5">
        <f t="shared" si="17"/>
        <v>-4.2457006024970267E-2</v>
      </c>
      <c r="D891" s="5"/>
      <c r="E891" s="5"/>
      <c r="F891" s="5">
        <f>IF(Tabela3[[#This Row],[Retorno_Diário]]&gt;0,1,-1)</f>
        <v>-1</v>
      </c>
      <c r="G891" s="5">
        <f>Tabela3[[#This Row],[Sinal_TSMOM]]*(0.4*Tabela3[[#This Row],[Volatilidade]])</f>
        <v>0</v>
      </c>
      <c r="H891" s="5">
        <f>Tabela3[[#This Row],[Position_Size]]*Tabela3[[#This Row],[Retorno_Diário]]</f>
        <v>0</v>
      </c>
    </row>
    <row r="892" spans="1:8" x14ac:dyDescent="0.2">
      <c r="A892" s="11" t="s">
        <v>5950</v>
      </c>
      <c r="B892" s="4" t="s">
        <v>5952</v>
      </c>
      <c r="C892" s="5">
        <f t="shared" si="17"/>
        <v>3.4070345784539491E-2</v>
      </c>
      <c r="D892" s="5"/>
      <c r="E892" s="5"/>
      <c r="F892" s="5">
        <f>IF(Tabela3[[#This Row],[Retorno_Diário]]&gt;0,1,-1)</f>
        <v>1</v>
      </c>
      <c r="G892" s="5">
        <f>Tabela3[[#This Row],[Sinal_TSMOM]]*(0.4*Tabela3[[#This Row],[Volatilidade]])</f>
        <v>0</v>
      </c>
      <c r="H892" s="5">
        <f>Tabela3[[#This Row],[Position_Size]]*Tabela3[[#This Row],[Retorno_Diário]]</f>
        <v>0</v>
      </c>
    </row>
    <row r="893" spans="1:8" x14ac:dyDescent="0.2">
      <c r="A893" s="11" t="s">
        <v>5957</v>
      </c>
      <c r="B893" s="4" t="s">
        <v>5959</v>
      </c>
      <c r="C893" s="5">
        <f t="shared" si="17"/>
        <v>-8.9325632607299976E-3</v>
      </c>
      <c r="D893" s="5"/>
      <c r="E893" s="5"/>
      <c r="F893" s="5">
        <f>IF(Tabela3[[#This Row],[Retorno_Diário]]&gt;0,1,-1)</f>
        <v>-1</v>
      </c>
      <c r="G893" s="5">
        <f>Tabela3[[#This Row],[Sinal_TSMOM]]*(0.4*Tabela3[[#This Row],[Volatilidade]])</f>
        <v>0</v>
      </c>
      <c r="H893" s="5">
        <f>Tabela3[[#This Row],[Position_Size]]*Tabela3[[#This Row],[Retorno_Diário]]</f>
        <v>0</v>
      </c>
    </row>
    <row r="894" spans="1:8" x14ac:dyDescent="0.2">
      <c r="A894" s="11" t="s">
        <v>5964</v>
      </c>
      <c r="B894" s="4" t="s">
        <v>5966</v>
      </c>
      <c r="C894" s="5">
        <f t="shared" si="17"/>
        <v>4.2875583313386256E-2</v>
      </c>
      <c r="D894" s="5"/>
      <c r="E894" s="5"/>
      <c r="F894" s="5">
        <f>IF(Tabela3[[#This Row],[Retorno_Diário]]&gt;0,1,-1)</f>
        <v>1</v>
      </c>
      <c r="G894" s="5">
        <f>Tabela3[[#This Row],[Sinal_TSMOM]]*(0.4*Tabela3[[#This Row],[Volatilidade]])</f>
        <v>0</v>
      </c>
      <c r="H894" s="5">
        <f>Tabela3[[#This Row],[Position_Size]]*Tabela3[[#This Row],[Retorno_Diário]]</f>
        <v>0</v>
      </c>
    </row>
    <row r="895" spans="1:8" x14ac:dyDescent="0.2">
      <c r="A895" s="11" t="s">
        <v>5971</v>
      </c>
      <c r="B895" s="4" t="s">
        <v>5973</v>
      </c>
      <c r="C895" s="5">
        <f t="shared" si="17"/>
        <v>9.4796505257743746E-3</v>
      </c>
      <c r="D895" s="5"/>
      <c r="E895" s="5"/>
      <c r="F895" s="5">
        <f>IF(Tabela3[[#This Row],[Retorno_Diário]]&gt;0,1,-1)</f>
        <v>1</v>
      </c>
      <c r="G895" s="5">
        <f>Tabela3[[#This Row],[Sinal_TSMOM]]*(0.4*Tabela3[[#This Row],[Volatilidade]])</f>
        <v>0</v>
      </c>
      <c r="H895" s="5">
        <f>Tabela3[[#This Row],[Position_Size]]*Tabela3[[#This Row],[Retorno_Diário]]</f>
        <v>0</v>
      </c>
    </row>
    <row r="896" spans="1:8" x14ac:dyDescent="0.2">
      <c r="A896" s="11" t="s">
        <v>5978</v>
      </c>
      <c r="B896" s="4" t="s">
        <v>5980</v>
      </c>
      <c r="C896" s="5">
        <f t="shared" si="17"/>
        <v>-1.8372613222470413E-3</v>
      </c>
      <c r="D896" s="5"/>
      <c r="E896" s="5"/>
      <c r="F896" s="5">
        <f>IF(Tabela3[[#This Row],[Retorno_Diário]]&gt;0,1,-1)</f>
        <v>-1</v>
      </c>
      <c r="G896" s="5">
        <f>Tabela3[[#This Row],[Sinal_TSMOM]]*(0.4*Tabela3[[#This Row],[Volatilidade]])</f>
        <v>0</v>
      </c>
      <c r="H896" s="5">
        <f>Tabela3[[#This Row],[Position_Size]]*Tabela3[[#This Row],[Retorno_Diário]]</f>
        <v>0</v>
      </c>
    </row>
    <row r="897" spans="1:8" x14ac:dyDescent="0.2">
      <c r="A897" s="11" t="s">
        <v>5985</v>
      </c>
      <c r="B897" s="4" t="s">
        <v>5987</v>
      </c>
      <c r="C897" s="5">
        <f t="shared" si="17"/>
        <v>-1.34983092005313E-2</v>
      </c>
      <c r="D897" s="5"/>
      <c r="E897" s="5"/>
      <c r="F897" s="5">
        <f>IF(Tabela3[[#This Row],[Retorno_Diário]]&gt;0,1,-1)</f>
        <v>-1</v>
      </c>
      <c r="G897" s="5">
        <f>Tabela3[[#This Row],[Sinal_TSMOM]]*(0.4*Tabela3[[#This Row],[Volatilidade]])</f>
        <v>0</v>
      </c>
      <c r="H897" s="5">
        <f>Tabela3[[#This Row],[Position_Size]]*Tabela3[[#This Row],[Retorno_Diário]]</f>
        <v>0</v>
      </c>
    </row>
    <row r="898" spans="1:8" x14ac:dyDescent="0.2">
      <c r="A898" s="11" t="s">
        <v>5992</v>
      </c>
      <c r="B898" s="4" t="s">
        <v>5994</v>
      </c>
      <c r="C898" s="5">
        <f t="shared" si="17"/>
        <v>-4.457367042413285E-3</v>
      </c>
      <c r="D898" s="5"/>
      <c r="E898" s="5"/>
      <c r="F898" s="5">
        <f>IF(Tabela3[[#This Row],[Retorno_Diário]]&gt;0,1,-1)</f>
        <v>-1</v>
      </c>
      <c r="G898" s="5">
        <f>Tabela3[[#This Row],[Sinal_TSMOM]]*(0.4*Tabela3[[#This Row],[Volatilidade]])</f>
        <v>0</v>
      </c>
      <c r="H898" s="5">
        <f>Tabela3[[#This Row],[Position_Size]]*Tabela3[[#This Row],[Retorno_Diário]]</f>
        <v>0</v>
      </c>
    </row>
    <row r="899" spans="1:8" x14ac:dyDescent="0.2">
      <c r="A899" s="11" t="s">
        <v>5999</v>
      </c>
      <c r="B899" s="4" t="s">
        <v>6001</v>
      </c>
      <c r="C899" s="5">
        <f t="shared" ref="C899:C962" si="18">B899/B898-1</f>
        <v>1.5358187915547328E-2</v>
      </c>
      <c r="D899" s="5"/>
      <c r="E899" s="5"/>
      <c r="F899" s="5">
        <f>IF(Tabela3[[#This Row],[Retorno_Diário]]&gt;0,1,-1)</f>
        <v>1</v>
      </c>
      <c r="G899" s="5">
        <f>Tabela3[[#This Row],[Sinal_TSMOM]]*(0.4*Tabela3[[#This Row],[Volatilidade]])</f>
        <v>0</v>
      </c>
      <c r="H899" s="5">
        <f>Tabela3[[#This Row],[Position_Size]]*Tabela3[[#This Row],[Retorno_Diário]]</f>
        <v>0</v>
      </c>
    </row>
    <row r="900" spans="1:8" x14ac:dyDescent="0.2">
      <c r="A900" s="11" t="s">
        <v>6005</v>
      </c>
      <c r="B900" s="4" t="s">
        <v>6007</v>
      </c>
      <c r="C900" s="5">
        <f t="shared" si="18"/>
        <v>8.1526121424251308E-3</v>
      </c>
      <c r="D900" s="5"/>
      <c r="E900" s="5"/>
      <c r="F900" s="5">
        <f>IF(Tabela3[[#This Row],[Retorno_Diário]]&gt;0,1,-1)</f>
        <v>1</v>
      </c>
      <c r="G900" s="5">
        <f>Tabela3[[#This Row],[Sinal_TSMOM]]*(0.4*Tabela3[[#This Row],[Volatilidade]])</f>
        <v>0</v>
      </c>
      <c r="H900" s="5">
        <f>Tabela3[[#This Row],[Position_Size]]*Tabela3[[#This Row],[Retorno_Diário]]</f>
        <v>0</v>
      </c>
    </row>
    <row r="901" spans="1:8" x14ac:dyDescent="0.2">
      <c r="A901" s="11" t="s">
        <v>6012</v>
      </c>
      <c r="B901" s="4" t="s">
        <v>6014</v>
      </c>
      <c r="C901" s="5">
        <f t="shared" si="18"/>
        <v>-8.2901078919810356E-3</v>
      </c>
      <c r="D901" s="5"/>
      <c r="E901" s="5"/>
      <c r="F901" s="5">
        <f>IF(Tabela3[[#This Row],[Retorno_Diário]]&gt;0,1,-1)</f>
        <v>-1</v>
      </c>
      <c r="G901" s="5">
        <f>Tabela3[[#This Row],[Sinal_TSMOM]]*(0.4*Tabela3[[#This Row],[Volatilidade]])</f>
        <v>0</v>
      </c>
      <c r="H901" s="5">
        <f>Tabela3[[#This Row],[Position_Size]]*Tabela3[[#This Row],[Retorno_Diário]]</f>
        <v>0</v>
      </c>
    </row>
    <row r="902" spans="1:8" x14ac:dyDescent="0.2">
      <c r="A902" s="11" t="s">
        <v>6019</v>
      </c>
      <c r="B902" s="4" t="s">
        <v>6021</v>
      </c>
      <c r="C902" s="5">
        <f t="shared" si="18"/>
        <v>1.2872426463540032E-2</v>
      </c>
      <c r="D902" s="5"/>
      <c r="E902" s="5"/>
      <c r="F902" s="5">
        <f>IF(Tabela3[[#This Row],[Retorno_Diário]]&gt;0,1,-1)</f>
        <v>1</v>
      </c>
      <c r="G902" s="5">
        <f>Tabela3[[#This Row],[Sinal_TSMOM]]*(0.4*Tabela3[[#This Row],[Volatilidade]])</f>
        <v>0</v>
      </c>
      <c r="H902" s="5">
        <f>Tabela3[[#This Row],[Position_Size]]*Tabela3[[#This Row],[Retorno_Diário]]</f>
        <v>0</v>
      </c>
    </row>
    <row r="903" spans="1:8" x14ac:dyDescent="0.2">
      <c r="A903" s="11" t="s">
        <v>6025</v>
      </c>
      <c r="B903" s="4" t="s">
        <v>6027</v>
      </c>
      <c r="C903" s="5">
        <f t="shared" si="18"/>
        <v>3.2911662813974729E-3</v>
      </c>
      <c r="D903" s="5"/>
      <c r="E903" s="5"/>
      <c r="F903" s="5">
        <f>IF(Tabela3[[#This Row],[Retorno_Diário]]&gt;0,1,-1)</f>
        <v>1</v>
      </c>
      <c r="G903" s="5">
        <f>Tabela3[[#This Row],[Sinal_TSMOM]]*(0.4*Tabela3[[#This Row],[Volatilidade]])</f>
        <v>0</v>
      </c>
      <c r="H903" s="5">
        <f>Tabela3[[#This Row],[Position_Size]]*Tabela3[[#This Row],[Retorno_Diário]]</f>
        <v>0</v>
      </c>
    </row>
    <row r="904" spans="1:8" x14ac:dyDescent="0.2">
      <c r="A904" s="11" t="s">
        <v>6032</v>
      </c>
      <c r="B904" s="4" t="s">
        <v>6034</v>
      </c>
      <c r="C904" s="5">
        <f t="shared" si="18"/>
        <v>2.3164250386977558E-2</v>
      </c>
      <c r="D904" s="5"/>
      <c r="E904" s="5"/>
      <c r="F904" s="5">
        <f>IF(Tabela3[[#This Row],[Retorno_Diário]]&gt;0,1,-1)</f>
        <v>1</v>
      </c>
      <c r="G904" s="5">
        <f>Tabela3[[#This Row],[Sinal_TSMOM]]*(0.4*Tabela3[[#This Row],[Volatilidade]])</f>
        <v>0</v>
      </c>
      <c r="H904" s="5">
        <f>Tabela3[[#This Row],[Position_Size]]*Tabela3[[#This Row],[Retorno_Diário]]</f>
        <v>0</v>
      </c>
    </row>
    <row r="905" spans="1:8" x14ac:dyDescent="0.2">
      <c r="A905" s="11" t="s">
        <v>6039</v>
      </c>
      <c r="B905" s="4" t="s">
        <v>6041</v>
      </c>
      <c r="C905" s="5">
        <f t="shared" si="18"/>
        <v>1.7904654207219206E-2</v>
      </c>
      <c r="D905" s="5"/>
      <c r="E905" s="5"/>
      <c r="F905" s="5">
        <f>IF(Tabela3[[#This Row],[Retorno_Diário]]&gt;0,1,-1)</f>
        <v>1</v>
      </c>
      <c r="G905" s="5">
        <f>Tabela3[[#This Row],[Sinal_TSMOM]]*(0.4*Tabela3[[#This Row],[Volatilidade]])</f>
        <v>0</v>
      </c>
      <c r="H905" s="5">
        <f>Tabela3[[#This Row],[Position_Size]]*Tabela3[[#This Row],[Retorno_Diário]]</f>
        <v>0</v>
      </c>
    </row>
    <row r="906" spans="1:8" x14ac:dyDescent="0.2">
      <c r="A906" s="11" t="s">
        <v>6046</v>
      </c>
      <c r="B906" s="4" t="s">
        <v>6048</v>
      </c>
      <c r="C906" s="5">
        <f t="shared" si="18"/>
        <v>-1.3131749763466094E-2</v>
      </c>
      <c r="D906" s="5"/>
      <c r="E906" s="5"/>
      <c r="F906" s="5">
        <f>IF(Tabela3[[#This Row],[Retorno_Diário]]&gt;0,1,-1)</f>
        <v>-1</v>
      </c>
      <c r="G906" s="5">
        <f>Tabela3[[#This Row],[Sinal_TSMOM]]*(0.4*Tabela3[[#This Row],[Volatilidade]])</f>
        <v>0</v>
      </c>
      <c r="H906" s="5">
        <f>Tabela3[[#This Row],[Position_Size]]*Tabela3[[#This Row],[Retorno_Diário]]</f>
        <v>0</v>
      </c>
    </row>
    <row r="907" spans="1:8" x14ac:dyDescent="0.2">
      <c r="A907" s="11" t="s">
        <v>6053</v>
      </c>
      <c r="B907" s="4" t="s">
        <v>6055</v>
      </c>
      <c r="C907" s="5">
        <f t="shared" si="18"/>
        <v>-3.4861606707613513E-3</v>
      </c>
      <c r="D907" s="5"/>
      <c r="E907" s="5"/>
      <c r="F907" s="5">
        <f>IF(Tabela3[[#This Row],[Retorno_Diário]]&gt;0,1,-1)</f>
        <v>-1</v>
      </c>
      <c r="G907" s="5">
        <f>Tabela3[[#This Row],[Sinal_TSMOM]]*(0.4*Tabela3[[#This Row],[Volatilidade]])</f>
        <v>0</v>
      </c>
      <c r="H907" s="5">
        <f>Tabela3[[#This Row],[Position_Size]]*Tabela3[[#This Row],[Retorno_Diário]]</f>
        <v>0</v>
      </c>
    </row>
    <row r="908" spans="1:8" x14ac:dyDescent="0.2">
      <c r="A908" s="11" t="s">
        <v>6060</v>
      </c>
      <c r="B908" s="4" t="s">
        <v>6062</v>
      </c>
      <c r="C908" s="5">
        <f t="shared" si="18"/>
        <v>-1.7689049074635865E-2</v>
      </c>
      <c r="D908" s="5"/>
      <c r="E908" s="5"/>
      <c r="F908" s="5">
        <f>IF(Tabela3[[#This Row],[Retorno_Diário]]&gt;0,1,-1)</f>
        <v>-1</v>
      </c>
      <c r="G908" s="5">
        <f>Tabela3[[#This Row],[Sinal_TSMOM]]*(0.4*Tabela3[[#This Row],[Volatilidade]])</f>
        <v>0</v>
      </c>
      <c r="H908" s="5">
        <f>Tabela3[[#This Row],[Position_Size]]*Tabela3[[#This Row],[Retorno_Diário]]</f>
        <v>0</v>
      </c>
    </row>
    <row r="909" spans="1:8" x14ac:dyDescent="0.2">
      <c r="A909" s="11" t="s">
        <v>6067</v>
      </c>
      <c r="B909" s="4" t="s">
        <v>6069</v>
      </c>
      <c r="C909" s="5">
        <f t="shared" si="18"/>
        <v>-1.1888112423349417E-2</v>
      </c>
      <c r="D909" s="5"/>
      <c r="E909" s="5"/>
      <c r="F909" s="5">
        <f>IF(Tabela3[[#This Row],[Retorno_Diário]]&gt;0,1,-1)</f>
        <v>-1</v>
      </c>
      <c r="G909" s="5">
        <f>Tabela3[[#This Row],[Sinal_TSMOM]]*(0.4*Tabela3[[#This Row],[Volatilidade]])</f>
        <v>0</v>
      </c>
      <c r="H909" s="5">
        <f>Tabela3[[#This Row],[Position_Size]]*Tabela3[[#This Row],[Retorno_Diário]]</f>
        <v>0</v>
      </c>
    </row>
    <row r="910" spans="1:8" x14ac:dyDescent="0.2">
      <c r="A910" s="11" t="s">
        <v>6074</v>
      </c>
      <c r="B910" s="4" t="s">
        <v>6076</v>
      </c>
      <c r="C910" s="5">
        <f t="shared" si="18"/>
        <v>1.0457449005606856E-2</v>
      </c>
      <c r="D910" s="5"/>
      <c r="E910" s="5"/>
      <c r="F910" s="5">
        <f>IF(Tabela3[[#This Row],[Retorno_Diário]]&gt;0,1,-1)</f>
        <v>1</v>
      </c>
      <c r="G910" s="5">
        <f>Tabela3[[#This Row],[Sinal_TSMOM]]*(0.4*Tabela3[[#This Row],[Volatilidade]])</f>
        <v>0</v>
      </c>
      <c r="H910" s="5">
        <f>Tabela3[[#This Row],[Position_Size]]*Tabela3[[#This Row],[Retorno_Diário]]</f>
        <v>0</v>
      </c>
    </row>
    <row r="911" spans="1:8" x14ac:dyDescent="0.2">
      <c r="A911" s="11" t="s">
        <v>6081</v>
      </c>
      <c r="B911" s="4" t="s">
        <v>6083</v>
      </c>
      <c r="C911" s="5">
        <f t="shared" si="18"/>
        <v>1.4217484498057154E-2</v>
      </c>
      <c r="D911" s="5"/>
      <c r="E911" s="5"/>
      <c r="F911" s="5">
        <f>IF(Tabela3[[#This Row],[Retorno_Diário]]&gt;0,1,-1)</f>
        <v>1</v>
      </c>
      <c r="G911" s="5">
        <f>Tabela3[[#This Row],[Sinal_TSMOM]]*(0.4*Tabela3[[#This Row],[Volatilidade]])</f>
        <v>0</v>
      </c>
      <c r="H911" s="5">
        <f>Tabela3[[#This Row],[Position_Size]]*Tabela3[[#This Row],[Retorno_Diário]]</f>
        <v>0</v>
      </c>
    </row>
    <row r="912" spans="1:8" x14ac:dyDescent="0.2">
      <c r="A912" s="11" t="s">
        <v>6087</v>
      </c>
      <c r="B912" s="4" t="s">
        <v>6089</v>
      </c>
      <c r="C912" s="5">
        <f t="shared" si="18"/>
        <v>-1.1789130455730268E-2</v>
      </c>
      <c r="D912" s="5"/>
      <c r="E912" s="5"/>
      <c r="F912" s="5">
        <f>IF(Tabela3[[#This Row],[Retorno_Diário]]&gt;0,1,-1)</f>
        <v>-1</v>
      </c>
      <c r="G912" s="5">
        <f>Tabela3[[#This Row],[Sinal_TSMOM]]*(0.4*Tabela3[[#This Row],[Volatilidade]])</f>
        <v>0</v>
      </c>
      <c r="H912" s="5">
        <f>Tabela3[[#This Row],[Position_Size]]*Tabela3[[#This Row],[Retorno_Diário]]</f>
        <v>0</v>
      </c>
    </row>
    <row r="913" spans="1:8" x14ac:dyDescent="0.2">
      <c r="A913" s="11" t="s">
        <v>6094</v>
      </c>
      <c r="B913" s="4" t="s">
        <v>6096</v>
      </c>
      <c r="C913" s="5">
        <f t="shared" si="18"/>
        <v>-2.4661682256572948E-2</v>
      </c>
      <c r="D913" s="5"/>
      <c r="E913" s="5"/>
      <c r="F913" s="5">
        <f>IF(Tabela3[[#This Row],[Retorno_Diário]]&gt;0,1,-1)</f>
        <v>-1</v>
      </c>
      <c r="G913" s="5">
        <f>Tabela3[[#This Row],[Sinal_TSMOM]]*(0.4*Tabela3[[#This Row],[Volatilidade]])</f>
        <v>0</v>
      </c>
      <c r="H913" s="5">
        <f>Tabela3[[#This Row],[Position_Size]]*Tabela3[[#This Row],[Retorno_Diário]]</f>
        <v>0</v>
      </c>
    </row>
    <row r="914" spans="1:8" x14ac:dyDescent="0.2">
      <c r="A914" s="11" t="s">
        <v>6101</v>
      </c>
      <c r="B914" s="4" t="s">
        <v>6103</v>
      </c>
      <c r="C914" s="5">
        <f t="shared" si="18"/>
        <v>-2.1482128874735662E-2</v>
      </c>
      <c r="D914" s="5"/>
      <c r="E914" s="5"/>
      <c r="F914" s="5">
        <f>IF(Tabela3[[#This Row],[Retorno_Diário]]&gt;0,1,-1)</f>
        <v>-1</v>
      </c>
      <c r="G914" s="5">
        <f>Tabela3[[#This Row],[Sinal_TSMOM]]*(0.4*Tabela3[[#This Row],[Volatilidade]])</f>
        <v>0</v>
      </c>
      <c r="H914" s="5">
        <f>Tabela3[[#This Row],[Position_Size]]*Tabela3[[#This Row],[Retorno_Diário]]</f>
        <v>0</v>
      </c>
    </row>
    <row r="915" spans="1:8" x14ac:dyDescent="0.2">
      <c r="A915" s="11" t="s">
        <v>6108</v>
      </c>
      <c r="B915" s="4" t="s">
        <v>6110</v>
      </c>
      <c r="C915" s="5">
        <f t="shared" si="18"/>
        <v>3.9810892001997944E-2</v>
      </c>
      <c r="D915" s="5"/>
      <c r="E915" s="5"/>
      <c r="F915" s="5">
        <f>IF(Tabela3[[#This Row],[Retorno_Diário]]&gt;0,1,-1)</f>
        <v>1</v>
      </c>
      <c r="G915" s="5">
        <f>Tabela3[[#This Row],[Sinal_TSMOM]]*(0.4*Tabela3[[#This Row],[Volatilidade]])</f>
        <v>0</v>
      </c>
      <c r="H915" s="5">
        <f>Tabela3[[#This Row],[Position_Size]]*Tabela3[[#This Row],[Retorno_Diário]]</f>
        <v>0</v>
      </c>
    </row>
    <row r="916" spans="1:8" x14ac:dyDescent="0.2">
      <c r="A916" s="11" t="s">
        <v>6115</v>
      </c>
      <c r="B916" s="4" t="s">
        <v>6117</v>
      </c>
      <c r="C916" s="5">
        <f t="shared" si="18"/>
        <v>5.1419316687886685E-2</v>
      </c>
      <c r="D916" s="5"/>
      <c r="E916" s="5"/>
      <c r="F916" s="5">
        <f>IF(Tabela3[[#This Row],[Retorno_Diário]]&gt;0,1,-1)</f>
        <v>1</v>
      </c>
      <c r="G916" s="5">
        <f>Tabela3[[#This Row],[Sinal_TSMOM]]*(0.4*Tabela3[[#This Row],[Volatilidade]])</f>
        <v>0</v>
      </c>
      <c r="H916" s="5">
        <f>Tabela3[[#This Row],[Position_Size]]*Tabela3[[#This Row],[Retorno_Diário]]</f>
        <v>0</v>
      </c>
    </row>
    <row r="917" spans="1:8" x14ac:dyDescent="0.2">
      <c r="A917" s="11" t="s">
        <v>6122</v>
      </c>
      <c r="B917" s="4" t="s">
        <v>6124</v>
      </c>
      <c r="C917" s="5">
        <f t="shared" si="18"/>
        <v>5.4861654458172815E-2</v>
      </c>
      <c r="D917" s="5"/>
      <c r="E917" s="5"/>
      <c r="F917" s="5">
        <f>IF(Tabela3[[#This Row],[Retorno_Diário]]&gt;0,1,-1)</f>
        <v>1</v>
      </c>
      <c r="G917" s="5">
        <f>Tabela3[[#This Row],[Sinal_TSMOM]]*(0.4*Tabela3[[#This Row],[Volatilidade]])</f>
        <v>0</v>
      </c>
      <c r="H917" s="5">
        <f>Tabela3[[#This Row],[Position_Size]]*Tabela3[[#This Row],[Retorno_Diário]]</f>
        <v>0</v>
      </c>
    </row>
    <row r="918" spans="1:8" x14ac:dyDescent="0.2">
      <c r="A918" s="11" t="s">
        <v>6129</v>
      </c>
      <c r="B918" s="4" t="s">
        <v>6131</v>
      </c>
      <c r="C918" s="5">
        <f t="shared" si="18"/>
        <v>-7.5143872006273593E-3</v>
      </c>
      <c r="D918" s="5"/>
      <c r="E918" s="5"/>
      <c r="F918" s="5">
        <f>IF(Tabela3[[#This Row],[Retorno_Diário]]&gt;0,1,-1)</f>
        <v>-1</v>
      </c>
      <c r="G918" s="5">
        <f>Tabela3[[#This Row],[Sinal_TSMOM]]*(0.4*Tabela3[[#This Row],[Volatilidade]])</f>
        <v>0</v>
      </c>
      <c r="H918" s="5">
        <f>Tabela3[[#This Row],[Position_Size]]*Tabela3[[#This Row],[Retorno_Diário]]</f>
        <v>0</v>
      </c>
    </row>
    <row r="919" spans="1:8" x14ac:dyDescent="0.2">
      <c r="A919" s="11" t="s">
        <v>6136</v>
      </c>
      <c r="B919" s="4" t="s">
        <v>6138</v>
      </c>
      <c r="C919" s="5">
        <f t="shared" si="18"/>
        <v>1.9272247529450448E-2</v>
      </c>
      <c r="D919" s="5"/>
      <c r="E919" s="5"/>
      <c r="F919" s="5">
        <f>IF(Tabela3[[#This Row],[Retorno_Diário]]&gt;0,1,-1)</f>
        <v>1</v>
      </c>
      <c r="G919" s="5">
        <f>Tabela3[[#This Row],[Sinal_TSMOM]]*(0.4*Tabela3[[#This Row],[Volatilidade]])</f>
        <v>0</v>
      </c>
      <c r="H919" s="5">
        <f>Tabela3[[#This Row],[Position_Size]]*Tabela3[[#This Row],[Retorno_Diário]]</f>
        <v>0</v>
      </c>
    </row>
    <row r="920" spans="1:8" x14ac:dyDescent="0.2">
      <c r="A920" s="11" t="s">
        <v>6143</v>
      </c>
      <c r="B920" s="4" t="s">
        <v>6145</v>
      </c>
      <c r="C920" s="5">
        <f t="shared" si="18"/>
        <v>-6.5276439336411363E-3</v>
      </c>
      <c r="D920" s="5"/>
      <c r="E920" s="5"/>
      <c r="F920" s="5">
        <f>IF(Tabela3[[#This Row],[Retorno_Diário]]&gt;0,1,-1)</f>
        <v>-1</v>
      </c>
      <c r="G920" s="5">
        <f>Tabela3[[#This Row],[Sinal_TSMOM]]*(0.4*Tabela3[[#This Row],[Volatilidade]])</f>
        <v>0</v>
      </c>
      <c r="H920" s="5">
        <f>Tabela3[[#This Row],[Position_Size]]*Tabela3[[#This Row],[Retorno_Diário]]</f>
        <v>0</v>
      </c>
    </row>
    <row r="921" spans="1:8" x14ac:dyDescent="0.2">
      <c r="A921" s="11" t="s">
        <v>6150</v>
      </c>
      <c r="B921" s="4" t="s">
        <v>6152</v>
      </c>
      <c r="C921" s="5">
        <f t="shared" si="18"/>
        <v>2.5738574664036173E-2</v>
      </c>
      <c r="D921" s="5"/>
      <c r="E921" s="5"/>
      <c r="F921" s="5">
        <f>IF(Tabela3[[#This Row],[Retorno_Diário]]&gt;0,1,-1)</f>
        <v>1</v>
      </c>
      <c r="G921" s="5">
        <f>Tabela3[[#This Row],[Sinal_TSMOM]]*(0.4*Tabela3[[#This Row],[Volatilidade]])</f>
        <v>0</v>
      </c>
      <c r="H921" s="5">
        <f>Tabela3[[#This Row],[Position_Size]]*Tabela3[[#This Row],[Retorno_Diário]]</f>
        <v>0</v>
      </c>
    </row>
    <row r="922" spans="1:8" x14ac:dyDescent="0.2">
      <c r="A922" s="11" t="s">
        <v>6157</v>
      </c>
      <c r="B922" s="4" t="s">
        <v>6159</v>
      </c>
      <c r="C922" s="5">
        <f t="shared" si="18"/>
        <v>2.2972277130417496E-3</v>
      </c>
      <c r="D922" s="5"/>
      <c r="E922" s="5"/>
      <c r="F922" s="5">
        <f>IF(Tabela3[[#This Row],[Retorno_Diário]]&gt;0,1,-1)</f>
        <v>1</v>
      </c>
      <c r="G922" s="5">
        <f>Tabela3[[#This Row],[Sinal_TSMOM]]*(0.4*Tabela3[[#This Row],[Volatilidade]])</f>
        <v>0</v>
      </c>
      <c r="H922" s="5">
        <f>Tabela3[[#This Row],[Position_Size]]*Tabela3[[#This Row],[Retorno_Diário]]</f>
        <v>0</v>
      </c>
    </row>
    <row r="923" spans="1:8" x14ac:dyDescent="0.2">
      <c r="A923" s="11" t="s">
        <v>6164</v>
      </c>
      <c r="B923" s="4" t="s">
        <v>6166</v>
      </c>
      <c r="C923" s="5">
        <f t="shared" si="18"/>
        <v>-1.3355055541606875E-2</v>
      </c>
      <c r="D923" s="5"/>
      <c r="E923" s="5"/>
      <c r="F923" s="5">
        <f>IF(Tabela3[[#This Row],[Retorno_Diário]]&gt;0,1,-1)</f>
        <v>-1</v>
      </c>
      <c r="G923" s="5">
        <f>Tabela3[[#This Row],[Sinal_TSMOM]]*(0.4*Tabela3[[#This Row],[Volatilidade]])</f>
        <v>0</v>
      </c>
      <c r="H923" s="5">
        <f>Tabela3[[#This Row],[Position_Size]]*Tabela3[[#This Row],[Retorno_Diário]]</f>
        <v>0</v>
      </c>
    </row>
    <row r="924" spans="1:8" x14ac:dyDescent="0.2">
      <c r="A924" s="11" t="s">
        <v>6170</v>
      </c>
      <c r="B924" s="4" t="s">
        <v>6172</v>
      </c>
      <c r="C924" s="5">
        <f t="shared" si="18"/>
        <v>2.5016642969315495E-3</v>
      </c>
      <c r="D924" s="5"/>
      <c r="E924" s="5"/>
      <c r="F924" s="5">
        <f>IF(Tabela3[[#This Row],[Retorno_Diário]]&gt;0,1,-1)</f>
        <v>1</v>
      </c>
      <c r="G924" s="5">
        <f>Tabela3[[#This Row],[Sinal_TSMOM]]*(0.4*Tabela3[[#This Row],[Volatilidade]])</f>
        <v>0</v>
      </c>
      <c r="H924" s="5">
        <f>Tabela3[[#This Row],[Position_Size]]*Tabela3[[#This Row],[Retorno_Diário]]</f>
        <v>0</v>
      </c>
    </row>
    <row r="925" spans="1:8" x14ac:dyDescent="0.2">
      <c r="A925" s="11" t="s">
        <v>6177</v>
      </c>
      <c r="B925" s="4" t="s">
        <v>6179</v>
      </c>
      <c r="C925" s="5">
        <f t="shared" si="18"/>
        <v>-2.0052616338218643E-3</v>
      </c>
      <c r="D925" s="5"/>
      <c r="E925" s="5"/>
      <c r="F925" s="5">
        <f>IF(Tabela3[[#This Row],[Retorno_Diário]]&gt;0,1,-1)</f>
        <v>-1</v>
      </c>
      <c r="G925" s="5">
        <f>Tabela3[[#This Row],[Sinal_TSMOM]]*(0.4*Tabela3[[#This Row],[Volatilidade]])</f>
        <v>0</v>
      </c>
      <c r="H925" s="5">
        <f>Tabela3[[#This Row],[Position_Size]]*Tabela3[[#This Row],[Retorno_Diário]]</f>
        <v>0</v>
      </c>
    </row>
    <row r="926" spans="1:8" x14ac:dyDescent="0.2">
      <c r="A926" s="11" t="s">
        <v>6184</v>
      </c>
      <c r="B926" s="4" t="s">
        <v>6186</v>
      </c>
      <c r="C926" s="5">
        <f t="shared" si="18"/>
        <v>1.9958943801009044E-2</v>
      </c>
      <c r="D926" s="5"/>
      <c r="E926" s="5"/>
      <c r="F926" s="5">
        <f>IF(Tabela3[[#This Row],[Retorno_Diário]]&gt;0,1,-1)</f>
        <v>1</v>
      </c>
      <c r="G926" s="5">
        <f>Tabela3[[#This Row],[Sinal_TSMOM]]*(0.4*Tabela3[[#This Row],[Volatilidade]])</f>
        <v>0</v>
      </c>
      <c r="H926" s="5">
        <f>Tabela3[[#This Row],[Position_Size]]*Tabela3[[#This Row],[Retorno_Diário]]</f>
        <v>0</v>
      </c>
    </row>
    <row r="927" spans="1:8" x14ac:dyDescent="0.2">
      <c r="A927" s="11" t="s">
        <v>6190</v>
      </c>
      <c r="B927" s="4" t="s">
        <v>6192</v>
      </c>
      <c r="C927" s="5">
        <f t="shared" si="18"/>
        <v>-7.9236419294733684E-3</v>
      </c>
      <c r="D927" s="5"/>
      <c r="E927" s="5"/>
      <c r="F927" s="5">
        <f>IF(Tabela3[[#This Row],[Retorno_Diário]]&gt;0,1,-1)</f>
        <v>-1</v>
      </c>
      <c r="G927" s="5">
        <f>Tabela3[[#This Row],[Sinal_TSMOM]]*(0.4*Tabela3[[#This Row],[Volatilidade]])</f>
        <v>0</v>
      </c>
      <c r="H927" s="5">
        <f>Tabela3[[#This Row],[Position_Size]]*Tabela3[[#This Row],[Retorno_Diário]]</f>
        <v>0</v>
      </c>
    </row>
    <row r="928" spans="1:8" x14ac:dyDescent="0.2">
      <c r="A928" s="11" t="s">
        <v>6197</v>
      </c>
      <c r="B928" s="4" t="s">
        <v>6199</v>
      </c>
      <c r="C928" s="5">
        <f t="shared" si="18"/>
        <v>-1.4252931995055729E-2</v>
      </c>
      <c r="D928" s="5"/>
      <c r="E928" s="5"/>
      <c r="F928" s="5">
        <f>IF(Tabela3[[#This Row],[Retorno_Diário]]&gt;0,1,-1)</f>
        <v>-1</v>
      </c>
      <c r="G928" s="5">
        <f>Tabela3[[#This Row],[Sinal_TSMOM]]*(0.4*Tabela3[[#This Row],[Volatilidade]])</f>
        <v>0</v>
      </c>
      <c r="H928" s="5">
        <f>Tabela3[[#This Row],[Position_Size]]*Tabela3[[#This Row],[Retorno_Diário]]</f>
        <v>0</v>
      </c>
    </row>
    <row r="929" spans="1:8" x14ac:dyDescent="0.2">
      <c r="A929" s="11" t="s">
        <v>6204</v>
      </c>
      <c r="B929" s="4" t="s">
        <v>6206</v>
      </c>
      <c r="C929" s="5">
        <f t="shared" si="18"/>
        <v>-7.2519204547091265E-3</v>
      </c>
      <c r="D929" s="5"/>
      <c r="E929" s="5"/>
      <c r="F929" s="5">
        <f>IF(Tabela3[[#This Row],[Retorno_Diário]]&gt;0,1,-1)</f>
        <v>-1</v>
      </c>
      <c r="G929" s="5">
        <f>Tabela3[[#This Row],[Sinal_TSMOM]]*(0.4*Tabela3[[#This Row],[Volatilidade]])</f>
        <v>0</v>
      </c>
      <c r="H929" s="5">
        <f>Tabela3[[#This Row],[Position_Size]]*Tabela3[[#This Row],[Retorno_Diário]]</f>
        <v>0</v>
      </c>
    </row>
    <row r="930" spans="1:8" x14ac:dyDescent="0.2">
      <c r="A930" s="11" t="s">
        <v>6211</v>
      </c>
      <c r="B930" s="4" t="s">
        <v>6213</v>
      </c>
      <c r="C930" s="5">
        <f t="shared" si="18"/>
        <v>1.3572647088041512E-2</v>
      </c>
      <c r="D930" s="5"/>
      <c r="E930" s="5"/>
      <c r="F930" s="5">
        <f>IF(Tabela3[[#This Row],[Retorno_Diário]]&gt;0,1,-1)</f>
        <v>1</v>
      </c>
      <c r="G930" s="5">
        <f>Tabela3[[#This Row],[Sinal_TSMOM]]*(0.4*Tabela3[[#This Row],[Volatilidade]])</f>
        <v>0</v>
      </c>
      <c r="H930" s="5">
        <f>Tabela3[[#This Row],[Position_Size]]*Tabela3[[#This Row],[Retorno_Diário]]</f>
        <v>0</v>
      </c>
    </row>
    <row r="931" spans="1:8" x14ac:dyDescent="0.2">
      <c r="A931" s="11" t="s">
        <v>6218</v>
      </c>
      <c r="B931" s="4" t="s">
        <v>6220</v>
      </c>
      <c r="C931" s="5">
        <f t="shared" si="18"/>
        <v>-1.4503078758275834E-2</v>
      </c>
      <c r="D931" s="5"/>
      <c r="E931" s="5"/>
      <c r="F931" s="5">
        <f>IF(Tabela3[[#This Row],[Retorno_Diário]]&gt;0,1,-1)</f>
        <v>-1</v>
      </c>
      <c r="G931" s="5">
        <f>Tabela3[[#This Row],[Sinal_TSMOM]]*(0.4*Tabela3[[#This Row],[Volatilidade]])</f>
        <v>0</v>
      </c>
      <c r="H931" s="5">
        <f>Tabela3[[#This Row],[Position_Size]]*Tabela3[[#This Row],[Retorno_Diário]]</f>
        <v>0</v>
      </c>
    </row>
    <row r="932" spans="1:8" x14ac:dyDescent="0.2">
      <c r="A932" s="11" t="s">
        <v>6225</v>
      </c>
      <c r="B932" s="4" t="s">
        <v>6227</v>
      </c>
      <c r="C932" s="5">
        <f t="shared" si="18"/>
        <v>4.0628453797428854E-3</v>
      </c>
      <c r="D932" s="5"/>
      <c r="E932" s="5"/>
      <c r="F932" s="5">
        <f>IF(Tabela3[[#This Row],[Retorno_Diário]]&gt;0,1,-1)</f>
        <v>1</v>
      </c>
      <c r="G932" s="5">
        <f>Tabela3[[#This Row],[Sinal_TSMOM]]*(0.4*Tabela3[[#This Row],[Volatilidade]])</f>
        <v>0</v>
      </c>
      <c r="H932" s="5">
        <f>Tabela3[[#This Row],[Position_Size]]*Tabela3[[#This Row],[Retorno_Diário]]</f>
        <v>0</v>
      </c>
    </row>
    <row r="933" spans="1:8" x14ac:dyDescent="0.2">
      <c r="A933" s="11" t="s">
        <v>6232</v>
      </c>
      <c r="B933" s="4" t="s">
        <v>6234</v>
      </c>
      <c r="C933" s="5">
        <f t="shared" si="18"/>
        <v>4.4509945533972584E-3</v>
      </c>
      <c r="D933" s="5"/>
      <c r="E933" s="5"/>
      <c r="F933" s="5">
        <f>IF(Tabela3[[#This Row],[Retorno_Diário]]&gt;0,1,-1)</f>
        <v>1</v>
      </c>
      <c r="G933" s="5">
        <f>Tabela3[[#This Row],[Sinal_TSMOM]]*(0.4*Tabela3[[#This Row],[Volatilidade]])</f>
        <v>0</v>
      </c>
      <c r="H933" s="5">
        <f>Tabela3[[#This Row],[Position_Size]]*Tabela3[[#This Row],[Retorno_Diário]]</f>
        <v>0</v>
      </c>
    </row>
    <row r="934" spans="1:8" x14ac:dyDescent="0.2">
      <c r="A934" s="11" t="s">
        <v>6239</v>
      </c>
      <c r="B934" s="4" t="s">
        <v>6227</v>
      </c>
      <c r="C934" s="5">
        <f t="shared" si="18"/>
        <v>-4.4312709903545633E-3</v>
      </c>
      <c r="D934" s="5"/>
      <c r="E934" s="5"/>
      <c r="F934" s="5">
        <f>IF(Tabela3[[#This Row],[Retorno_Diário]]&gt;0,1,-1)</f>
        <v>-1</v>
      </c>
      <c r="G934" s="5">
        <f>Tabela3[[#This Row],[Sinal_TSMOM]]*(0.4*Tabela3[[#This Row],[Volatilidade]])</f>
        <v>0</v>
      </c>
      <c r="H934" s="5">
        <f>Tabela3[[#This Row],[Position_Size]]*Tabela3[[#This Row],[Retorno_Diário]]</f>
        <v>0</v>
      </c>
    </row>
    <row r="935" spans="1:8" x14ac:dyDescent="0.2">
      <c r="A935" s="11" t="s">
        <v>6244</v>
      </c>
      <c r="B935" s="4" t="s">
        <v>6246</v>
      </c>
      <c r="C935" s="5">
        <f t="shared" si="18"/>
        <v>-1.5376357898928439E-2</v>
      </c>
      <c r="D935" s="5"/>
      <c r="E935" s="5"/>
      <c r="F935" s="5">
        <f>IF(Tabela3[[#This Row],[Retorno_Diário]]&gt;0,1,-1)</f>
        <v>-1</v>
      </c>
      <c r="G935" s="5">
        <f>Tabela3[[#This Row],[Sinal_TSMOM]]*(0.4*Tabela3[[#This Row],[Volatilidade]])</f>
        <v>0</v>
      </c>
      <c r="H935" s="5">
        <f>Tabela3[[#This Row],[Position_Size]]*Tabela3[[#This Row],[Retorno_Diário]]</f>
        <v>0</v>
      </c>
    </row>
    <row r="936" spans="1:8" x14ac:dyDescent="0.2">
      <c r="A936" s="11" t="s">
        <v>6251</v>
      </c>
      <c r="B936" s="4" t="s">
        <v>6253</v>
      </c>
      <c r="C936" s="5">
        <f t="shared" si="18"/>
        <v>-3.5936016551954553E-2</v>
      </c>
      <c r="D936" s="5"/>
      <c r="E936" s="5"/>
      <c r="F936" s="5">
        <f>IF(Tabela3[[#This Row],[Retorno_Diário]]&gt;0,1,-1)</f>
        <v>-1</v>
      </c>
      <c r="G936" s="5">
        <f>Tabela3[[#This Row],[Sinal_TSMOM]]*(0.4*Tabela3[[#This Row],[Volatilidade]])</f>
        <v>0</v>
      </c>
      <c r="H936" s="5">
        <f>Tabela3[[#This Row],[Position_Size]]*Tabela3[[#This Row],[Retorno_Diário]]</f>
        <v>0</v>
      </c>
    </row>
    <row r="937" spans="1:8" x14ac:dyDescent="0.2">
      <c r="A937" s="11" t="s">
        <v>6258</v>
      </c>
      <c r="B937" s="4" t="s">
        <v>6260</v>
      </c>
      <c r="C937" s="5">
        <f t="shared" si="18"/>
        <v>6.2994086433516561E-3</v>
      </c>
      <c r="D937" s="5"/>
      <c r="E937" s="5"/>
      <c r="F937" s="5">
        <f>IF(Tabela3[[#This Row],[Retorno_Diário]]&gt;0,1,-1)</f>
        <v>1</v>
      </c>
      <c r="G937" s="5">
        <f>Tabela3[[#This Row],[Sinal_TSMOM]]*(0.4*Tabela3[[#This Row],[Volatilidade]])</f>
        <v>0</v>
      </c>
      <c r="H937" s="5">
        <f>Tabela3[[#This Row],[Position_Size]]*Tabela3[[#This Row],[Retorno_Diário]]</f>
        <v>0</v>
      </c>
    </row>
    <row r="938" spans="1:8" x14ac:dyDescent="0.2">
      <c r="A938" s="11" t="s">
        <v>6264</v>
      </c>
      <c r="B938" s="4" t="s">
        <v>6266</v>
      </c>
      <c r="C938" s="5">
        <f t="shared" si="18"/>
        <v>3.2712025103103226E-2</v>
      </c>
      <c r="D938" s="5"/>
      <c r="E938" s="5"/>
      <c r="F938" s="5">
        <f>IF(Tabela3[[#This Row],[Retorno_Diário]]&gt;0,1,-1)</f>
        <v>1</v>
      </c>
      <c r="G938" s="5">
        <f>Tabela3[[#This Row],[Sinal_TSMOM]]*(0.4*Tabela3[[#This Row],[Volatilidade]])</f>
        <v>0</v>
      </c>
      <c r="H938" s="5">
        <f>Tabela3[[#This Row],[Position_Size]]*Tabela3[[#This Row],[Retorno_Diário]]</f>
        <v>0</v>
      </c>
    </row>
    <row r="939" spans="1:8" x14ac:dyDescent="0.2">
      <c r="A939" s="11" t="s">
        <v>6271</v>
      </c>
      <c r="B939" s="4" t="s">
        <v>6273</v>
      </c>
      <c r="C939" s="5">
        <f t="shared" si="18"/>
        <v>2.465705148293762E-2</v>
      </c>
      <c r="D939" s="5"/>
      <c r="E939" s="5"/>
      <c r="F939" s="5">
        <f>IF(Tabela3[[#This Row],[Retorno_Diário]]&gt;0,1,-1)</f>
        <v>1</v>
      </c>
      <c r="G939" s="5">
        <f>Tabela3[[#This Row],[Sinal_TSMOM]]*(0.4*Tabela3[[#This Row],[Volatilidade]])</f>
        <v>0</v>
      </c>
      <c r="H939" s="5">
        <f>Tabela3[[#This Row],[Position_Size]]*Tabela3[[#This Row],[Retorno_Diário]]</f>
        <v>0</v>
      </c>
    </row>
    <row r="940" spans="1:8" x14ac:dyDescent="0.2">
      <c r="A940" s="11" t="s">
        <v>6278</v>
      </c>
      <c r="B940" s="4" t="s">
        <v>6280</v>
      </c>
      <c r="C940" s="5">
        <f t="shared" si="18"/>
        <v>-1.783653457444756E-2</v>
      </c>
      <c r="D940" s="5"/>
      <c r="E940" s="5"/>
      <c r="F940" s="5">
        <f>IF(Tabela3[[#This Row],[Retorno_Diário]]&gt;0,1,-1)</f>
        <v>-1</v>
      </c>
      <c r="G940" s="5">
        <f>Tabela3[[#This Row],[Sinal_TSMOM]]*(0.4*Tabela3[[#This Row],[Volatilidade]])</f>
        <v>0</v>
      </c>
      <c r="H940" s="5">
        <f>Tabela3[[#This Row],[Position_Size]]*Tabela3[[#This Row],[Retorno_Diário]]</f>
        <v>0</v>
      </c>
    </row>
    <row r="941" spans="1:8" x14ac:dyDescent="0.2">
      <c r="A941" s="11" t="s">
        <v>6285</v>
      </c>
      <c r="B941" s="4" t="s">
        <v>6287</v>
      </c>
      <c r="C941" s="5">
        <f t="shared" si="18"/>
        <v>-1.9066144599677481E-2</v>
      </c>
      <c r="D941" s="5"/>
      <c r="E941" s="5"/>
      <c r="F941" s="5">
        <f>IF(Tabela3[[#This Row],[Retorno_Diário]]&gt;0,1,-1)</f>
        <v>-1</v>
      </c>
      <c r="G941" s="5">
        <f>Tabela3[[#This Row],[Sinal_TSMOM]]*(0.4*Tabela3[[#This Row],[Volatilidade]])</f>
        <v>0</v>
      </c>
      <c r="H941" s="5">
        <f>Tabela3[[#This Row],[Position_Size]]*Tabela3[[#This Row],[Retorno_Diário]]</f>
        <v>0</v>
      </c>
    </row>
    <row r="942" spans="1:8" x14ac:dyDescent="0.2">
      <c r="A942" s="11" t="s">
        <v>6292</v>
      </c>
      <c r="B942" s="4" t="s">
        <v>6294</v>
      </c>
      <c r="C942" s="5">
        <f t="shared" si="18"/>
        <v>-4.4367518433741648E-2</v>
      </c>
      <c r="D942" s="5"/>
      <c r="E942" s="5"/>
      <c r="F942" s="5">
        <f>IF(Tabela3[[#This Row],[Retorno_Diário]]&gt;0,1,-1)</f>
        <v>-1</v>
      </c>
      <c r="G942" s="5">
        <f>Tabela3[[#This Row],[Sinal_TSMOM]]*(0.4*Tabela3[[#This Row],[Volatilidade]])</f>
        <v>0</v>
      </c>
      <c r="H942" s="5">
        <f>Tabela3[[#This Row],[Position_Size]]*Tabela3[[#This Row],[Retorno_Diário]]</f>
        <v>0</v>
      </c>
    </row>
    <row r="943" spans="1:8" x14ac:dyDescent="0.2">
      <c r="A943" s="11" t="s">
        <v>6299</v>
      </c>
      <c r="B943" s="4" t="s">
        <v>6301</v>
      </c>
      <c r="C943" s="5">
        <f t="shared" si="18"/>
        <v>-8.7926572189693797E-3</v>
      </c>
      <c r="D943" s="5"/>
      <c r="E943" s="5"/>
      <c r="F943" s="5">
        <f>IF(Tabela3[[#This Row],[Retorno_Diário]]&gt;0,1,-1)</f>
        <v>-1</v>
      </c>
      <c r="G943" s="5">
        <f>Tabela3[[#This Row],[Sinal_TSMOM]]*(0.4*Tabela3[[#This Row],[Volatilidade]])</f>
        <v>0</v>
      </c>
      <c r="H943" s="5">
        <f>Tabela3[[#This Row],[Position_Size]]*Tabela3[[#This Row],[Retorno_Diário]]</f>
        <v>0</v>
      </c>
    </row>
    <row r="944" spans="1:8" x14ac:dyDescent="0.2">
      <c r="A944" s="11" t="s">
        <v>6306</v>
      </c>
      <c r="B944" s="4" t="s">
        <v>6308</v>
      </c>
      <c r="C944" s="5">
        <f t="shared" si="18"/>
        <v>9.6992446743293659E-3</v>
      </c>
      <c r="D944" s="5"/>
      <c r="E944" s="5"/>
      <c r="F944" s="5">
        <f>IF(Tabela3[[#This Row],[Retorno_Diário]]&gt;0,1,-1)</f>
        <v>1</v>
      </c>
      <c r="G944" s="5">
        <f>Tabela3[[#This Row],[Sinal_TSMOM]]*(0.4*Tabela3[[#This Row],[Volatilidade]])</f>
        <v>0</v>
      </c>
      <c r="H944" s="5">
        <f>Tabela3[[#This Row],[Position_Size]]*Tabela3[[#This Row],[Retorno_Diário]]</f>
        <v>0</v>
      </c>
    </row>
    <row r="945" spans="1:8" x14ac:dyDescent="0.2">
      <c r="A945" s="11" t="s">
        <v>6313</v>
      </c>
      <c r="B945" s="4" t="s">
        <v>6315</v>
      </c>
      <c r="C945" s="5">
        <f t="shared" si="18"/>
        <v>1.2551157105831212E-3</v>
      </c>
      <c r="D945" s="5"/>
      <c r="E945" s="5"/>
      <c r="F945" s="5">
        <f>IF(Tabela3[[#This Row],[Retorno_Diário]]&gt;0,1,-1)</f>
        <v>1</v>
      </c>
      <c r="G945" s="5">
        <f>Tabela3[[#This Row],[Sinal_TSMOM]]*(0.4*Tabela3[[#This Row],[Volatilidade]])</f>
        <v>0</v>
      </c>
      <c r="H945" s="5">
        <f>Tabela3[[#This Row],[Position_Size]]*Tabela3[[#This Row],[Retorno_Diário]]</f>
        <v>0</v>
      </c>
    </row>
    <row r="946" spans="1:8" x14ac:dyDescent="0.2">
      <c r="A946" s="11" t="s">
        <v>6320</v>
      </c>
      <c r="B946" s="4" t="s">
        <v>6322</v>
      </c>
      <c r="C946" s="5">
        <f t="shared" si="18"/>
        <v>-4.8693481855542786E-2</v>
      </c>
      <c r="D946" s="5"/>
      <c r="E946" s="5"/>
      <c r="F946" s="5">
        <f>IF(Tabela3[[#This Row],[Retorno_Diário]]&gt;0,1,-1)</f>
        <v>-1</v>
      </c>
      <c r="G946" s="5">
        <f>Tabela3[[#This Row],[Sinal_TSMOM]]*(0.4*Tabela3[[#This Row],[Volatilidade]])</f>
        <v>0</v>
      </c>
      <c r="H946" s="5">
        <f>Tabela3[[#This Row],[Position_Size]]*Tabela3[[#This Row],[Retorno_Diário]]</f>
        <v>0</v>
      </c>
    </row>
    <row r="947" spans="1:8" x14ac:dyDescent="0.2">
      <c r="A947" s="11" t="s">
        <v>6327</v>
      </c>
      <c r="B947" s="4" t="s">
        <v>6329</v>
      </c>
      <c r="C947" s="5">
        <f t="shared" si="18"/>
        <v>3.643826524847027E-2</v>
      </c>
      <c r="D947" s="5"/>
      <c r="E947" s="5"/>
      <c r="F947" s="5">
        <f>IF(Tabela3[[#This Row],[Retorno_Diário]]&gt;0,1,-1)</f>
        <v>1</v>
      </c>
      <c r="G947" s="5">
        <f>Tabela3[[#This Row],[Sinal_TSMOM]]*(0.4*Tabela3[[#This Row],[Volatilidade]])</f>
        <v>0</v>
      </c>
      <c r="H947" s="5">
        <f>Tabela3[[#This Row],[Position_Size]]*Tabela3[[#This Row],[Retorno_Diário]]</f>
        <v>0</v>
      </c>
    </row>
    <row r="948" spans="1:8" x14ac:dyDescent="0.2">
      <c r="A948" s="11" t="s">
        <v>6333</v>
      </c>
      <c r="B948" s="4" t="s">
        <v>6335</v>
      </c>
      <c r="C948" s="5">
        <f t="shared" si="18"/>
        <v>1.2175470476526229E-2</v>
      </c>
      <c r="D948" s="5"/>
      <c r="E948" s="5"/>
      <c r="F948" s="5">
        <f>IF(Tabela3[[#This Row],[Retorno_Diário]]&gt;0,1,-1)</f>
        <v>1</v>
      </c>
      <c r="G948" s="5">
        <f>Tabela3[[#This Row],[Sinal_TSMOM]]*(0.4*Tabela3[[#This Row],[Volatilidade]])</f>
        <v>0</v>
      </c>
      <c r="H948" s="5">
        <f>Tabela3[[#This Row],[Position_Size]]*Tabela3[[#This Row],[Retorno_Diário]]</f>
        <v>0</v>
      </c>
    </row>
    <row r="949" spans="1:8" x14ac:dyDescent="0.2">
      <c r="A949" s="11" t="s">
        <v>6340</v>
      </c>
      <c r="B949" s="4" t="s">
        <v>6342</v>
      </c>
      <c r="C949" s="5">
        <f t="shared" si="18"/>
        <v>1.8115941361286803E-2</v>
      </c>
      <c r="D949" s="5"/>
      <c r="E949" s="5"/>
      <c r="F949" s="5">
        <f>IF(Tabela3[[#This Row],[Retorno_Diário]]&gt;0,1,-1)</f>
        <v>1</v>
      </c>
      <c r="G949" s="5">
        <f>Tabela3[[#This Row],[Sinal_TSMOM]]*(0.4*Tabela3[[#This Row],[Volatilidade]])</f>
        <v>0</v>
      </c>
      <c r="H949" s="5">
        <f>Tabela3[[#This Row],[Position_Size]]*Tabela3[[#This Row],[Retorno_Diário]]</f>
        <v>0</v>
      </c>
    </row>
    <row r="950" spans="1:8" x14ac:dyDescent="0.2">
      <c r="A950" s="11" t="s">
        <v>6347</v>
      </c>
      <c r="B950" s="4" t="s">
        <v>6349</v>
      </c>
      <c r="C950" s="5">
        <f t="shared" si="18"/>
        <v>-1.157776416211953E-2</v>
      </c>
      <c r="D950" s="5"/>
      <c r="E950" s="5"/>
      <c r="F950" s="5">
        <f>IF(Tabela3[[#This Row],[Retorno_Diário]]&gt;0,1,-1)</f>
        <v>-1</v>
      </c>
      <c r="G950" s="5">
        <f>Tabela3[[#This Row],[Sinal_TSMOM]]*(0.4*Tabela3[[#This Row],[Volatilidade]])</f>
        <v>0</v>
      </c>
      <c r="H950" s="5">
        <f>Tabela3[[#This Row],[Position_Size]]*Tabela3[[#This Row],[Retorno_Diário]]</f>
        <v>0</v>
      </c>
    </row>
    <row r="951" spans="1:8" x14ac:dyDescent="0.2">
      <c r="A951" s="11" t="s">
        <v>6354</v>
      </c>
      <c r="B951" s="4" t="s">
        <v>6356</v>
      </c>
      <c r="C951" s="5">
        <f t="shared" si="18"/>
        <v>-6.5287160313873827E-3</v>
      </c>
      <c r="D951" s="5"/>
      <c r="E951" s="5"/>
      <c r="F951" s="5">
        <f>IF(Tabela3[[#This Row],[Retorno_Diário]]&gt;0,1,-1)</f>
        <v>-1</v>
      </c>
      <c r="G951" s="5">
        <f>Tabela3[[#This Row],[Sinal_TSMOM]]*(0.4*Tabela3[[#This Row],[Volatilidade]])</f>
        <v>0</v>
      </c>
      <c r="H951" s="5">
        <f>Tabela3[[#This Row],[Position_Size]]*Tabela3[[#This Row],[Retorno_Diário]]</f>
        <v>0</v>
      </c>
    </row>
    <row r="952" spans="1:8" x14ac:dyDescent="0.2">
      <c r="A952" s="11" t="s">
        <v>6361</v>
      </c>
      <c r="B952" s="4" t="s">
        <v>6363</v>
      </c>
      <c r="C952" s="5">
        <f t="shared" si="18"/>
        <v>-1.1597085383240335E-3</v>
      </c>
      <c r="D952" s="5"/>
      <c r="E952" s="5"/>
      <c r="F952" s="5">
        <f>IF(Tabela3[[#This Row],[Retorno_Diário]]&gt;0,1,-1)</f>
        <v>-1</v>
      </c>
      <c r="G952" s="5">
        <f>Tabela3[[#This Row],[Sinal_TSMOM]]*(0.4*Tabela3[[#This Row],[Volatilidade]])</f>
        <v>0</v>
      </c>
      <c r="H952" s="5">
        <f>Tabela3[[#This Row],[Position_Size]]*Tabela3[[#This Row],[Retorno_Diário]]</f>
        <v>0</v>
      </c>
    </row>
    <row r="953" spans="1:8" x14ac:dyDescent="0.2">
      <c r="A953" s="11" t="s">
        <v>6368</v>
      </c>
      <c r="B953" s="4" t="s">
        <v>6370</v>
      </c>
      <c r="C953" s="5">
        <f t="shared" si="18"/>
        <v>1.2965006781507249E-2</v>
      </c>
      <c r="D953" s="5"/>
      <c r="E953" s="5"/>
      <c r="F953" s="5">
        <f>IF(Tabela3[[#This Row],[Retorno_Diário]]&gt;0,1,-1)</f>
        <v>1</v>
      </c>
      <c r="G953" s="5">
        <f>Tabela3[[#This Row],[Sinal_TSMOM]]*(0.4*Tabela3[[#This Row],[Volatilidade]])</f>
        <v>0</v>
      </c>
      <c r="H953" s="5">
        <f>Tabela3[[#This Row],[Position_Size]]*Tabela3[[#This Row],[Retorno_Diário]]</f>
        <v>0</v>
      </c>
    </row>
    <row r="954" spans="1:8" x14ac:dyDescent="0.2">
      <c r="A954" s="11" t="s">
        <v>6375</v>
      </c>
      <c r="B954" s="4" t="s">
        <v>6377</v>
      </c>
      <c r="C954" s="5">
        <f t="shared" si="18"/>
        <v>3.8540577183631575E-2</v>
      </c>
      <c r="D954" s="5"/>
      <c r="E954" s="5"/>
      <c r="F954" s="5">
        <f>IF(Tabela3[[#This Row],[Retorno_Diário]]&gt;0,1,-1)</f>
        <v>1</v>
      </c>
      <c r="G954" s="5">
        <f>Tabela3[[#This Row],[Sinal_TSMOM]]*(0.4*Tabela3[[#This Row],[Volatilidade]])</f>
        <v>0</v>
      </c>
      <c r="H954" s="5">
        <f>Tabela3[[#This Row],[Position_Size]]*Tabela3[[#This Row],[Retorno_Diário]]</f>
        <v>0</v>
      </c>
    </row>
    <row r="955" spans="1:8" x14ac:dyDescent="0.2">
      <c r="A955" s="11" t="s">
        <v>6382</v>
      </c>
      <c r="B955" s="4" t="s">
        <v>6384</v>
      </c>
      <c r="C955" s="5">
        <f t="shared" si="18"/>
        <v>5.3342784997381099E-3</v>
      </c>
      <c r="D955" s="5"/>
      <c r="E955" s="5"/>
      <c r="F955" s="5">
        <f>IF(Tabela3[[#This Row],[Retorno_Diário]]&gt;0,1,-1)</f>
        <v>1</v>
      </c>
      <c r="G955" s="5">
        <f>Tabela3[[#This Row],[Sinal_TSMOM]]*(0.4*Tabela3[[#This Row],[Volatilidade]])</f>
        <v>0</v>
      </c>
      <c r="H955" s="5">
        <f>Tabela3[[#This Row],[Position_Size]]*Tabela3[[#This Row],[Retorno_Diário]]</f>
        <v>0</v>
      </c>
    </row>
    <row r="956" spans="1:8" x14ac:dyDescent="0.2">
      <c r="A956" s="11" t="s">
        <v>6389</v>
      </c>
      <c r="B956" s="4" t="s">
        <v>6391</v>
      </c>
      <c r="C956" s="5">
        <f t="shared" si="18"/>
        <v>1.6466957203920218E-2</v>
      </c>
      <c r="D956" s="5"/>
      <c r="E956" s="5"/>
      <c r="F956" s="5">
        <f>IF(Tabela3[[#This Row],[Retorno_Diário]]&gt;0,1,-1)</f>
        <v>1</v>
      </c>
      <c r="G956" s="5">
        <f>Tabela3[[#This Row],[Sinal_TSMOM]]*(0.4*Tabela3[[#This Row],[Volatilidade]])</f>
        <v>0</v>
      </c>
      <c r="H956" s="5">
        <f>Tabela3[[#This Row],[Position_Size]]*Tabela3[[#This Row],[Retorno_Diário]]</f>
        <v>0</v>
      </c>
    </row>
    <row r="957" spans="1:8" x14ac:dyDescent="0.2">
      <c r="A957" s="11" t="s">
        <v>6396</v>
      </c>
      <c r="B957" s="4" t="s">
        <v>6398</v>
      </c>
      <c r="C957" s="5">
        <f t="shared" si="18"/>
        <v>3.0600662894186836E-3</v>
      </c>
      <c r="D957" s="5"/>
      <c r="E957" s="5"/>
      <c r="F957" s="5">
        <f>IF(Tabela3[[#This Row],[Retorno_Diário]]&gt;0,1,-1)</f>
        <v>1</v>
      </c>
      <c r="G957" s="5">
        <f>Tabela3[[#This Row],[Sinal_TSMOM]]*(0.4*Tabela3[[#This Row],[Volatilidade]])</f>
        <v>0</v>
      </c>
      <c r="H957" s="5">
        <f>Tabela3[[#This Row],[Position_Size]]*Tabela3[[#This Row],[Retorno_Diário]]</f>
        <v>0</v>
      </c>
    </row>
    <row r="958" spans="1:8" x14ac:dyDescent="0.2">
      <c r="A958" s="11" t="s">
        <v>6403</v>
      </c>
      <c r="B958" s="4" t="s">
        <v>6405</v>
      </c>
      <c r="C958" s="5">
        <f t="shared" si="18"/>
        <v>-8.3894242699620314E-3</v>
      </c>
      <c r="D958" s="5"/>
      <c r="E958" s="5"/>
      <c r="F958" s="5">
        <f>IF(Tabela3[[#This Row],[Retorno_Diário]]&gt;0,1,-1)</f>
        <v>-1</v>
      </c>
      <c r="G958" s="5">
        <f>Tabela3[[#This Row],[Sinal_TSMOM]]*(0.4*Tabela3[[#This Row],[Volatilidade]])</f>
        <v>0</v>
      </c>
      <c r="H958" s="5">
        <f>Tabela3[[#This Row],[Position_Size]]*Tabela3[[#This Row],[Retorno_Diário]]</f>
        <v>0</v>
      </c>
    </row>
    <row r="959" spans="1:8" x14ac:dyDescent="0.2">
      <c r="A959" s="11" t="s">
        <v>6410</v>
      </c>
      <c r="B959" s="4" t="s">
        <v>6412</v>
      </c>
      <c r="C959" s="5">
        <f t="shared" si="18"/>
        <v>2.6647911029175964E-2</v>
      </c>
      <c r="D959" s="5"/>
      <c r="E959" s="5"/>
      <c r="F959" s="5">
        <f>IF(Tabela3[[#This Row],[Retorno_Diário]]&gt;0,1,-1)</f>
        <v>1</v>
      </c>
      <c r="G959" s="5">
        <f>Tabela3[[#This Row],[Sinal_TSMOM]]*(0.4*Tabela3[[#This Row],[Volatilidade]])</f>
        <v>0</v>
      </c>
      <c r="H959" s="5">
        <f>Tabela3[[#This Row],[Position_Size]]*Tabela3[[#This Row],[Retorno_Diário]]</f>
        <v>0</v>
      </c>
    </row>
    <row r="960" spans="1:8" x14ac:dyDescent="0.2">
      <c r="A960" s="11" t="s">
        <v>6417</v>
      </c>
      <c r="B960" s="4" t="s">
        <v>6419</v>
      </c>
      <c r="C960" s="5">
        <f t="shared" si="18"/>
        <v>1.49834292148876E-3</v>
      </c>
      <c r="D960" s="5"/>
      <c r="E960" s="5"/>
      <c r="F960" s="5">
        <f>IF(Tabela3[[#This Row],[Retorno_Diário]]&gt;0,1,-1)</f>
        <v>1</v>
      </c>
      <c r="G960" s="5">
        <f>Tabela3[[#This Row],[Sinal_TSMOM]]*(0.4*Tabela3[[#This Row],[Volatilidade]])</f>
        <v>0</v>
      </c>
      <c r="H960" s="5">
        <f>Tabela3[[#This Row],[Position_Size]]*Tabela3[[#This Row],[Retorno_Diário]]</f>
        <v>0</v>
      </c>
    </row>
    <row r="961" spans="1:8" x14ac:dyDescent="0.2">
      <c r="A961" s="11" t="s">
        <v>6424</v>
      </c>
      <c r="B961" s="4" t="s">
        <v>6426</v>
      </c>
      <c r="C961" s="5">
        <f t="shared" si="18"/>
        <v>1.9361107863561378E-2</v>
      </c>
      <c r="D961" s="5"/>
      <c r="E961" s="5"/>
      <c r="F961" s="5">
        <f>IF(Tabela3[[#This Row],[Retorno_Diário]]&gt;0,1,-1)</f>
        <v>1</v>
      </c>
      <c r="G961" s="5">
        <f>Tabela3[[#This Row],[Sinal_TSMOM]]*(0.4*Tabela3[[#This Row],[Volatilidade]])</f>
        <v>0</v>
      </c>
      <c r="H961" s="5">
        <f>Tabela3[[#This Row],[Position_Size]]*Tabela3[[#This Row],[Retorno_Diário]]</f>
        <v>0</v>
      </c>
    </row>
    <row r="962" spans="1:8" x14ac:dyDescent="0.2">
      <c r="A962" s="11" t="s">
        <v>6431</v>
      </c>
      <c r="B962" s="4" t="s">
        <v>6433</v>
      </c>
      <c r="C962" s="5">
        <f t="shared" si="18"/>
        <v>6.6951509247419994E-2</v>
      </c>
      <c r="D962" s="5"/>
      <c r="E962" s="5"/>
      <c r="F962" s="5">
        <f>IF(Tabela3[[#This Row],[Retorno_Diário]]&gt;0,1,-1)</f>
        <v>1</v>
      </c>
      <c r="G962" s="5">
        <f>Tabela3[[#This Row],[Sinal_TSMOM]]*(0.4*Tabela3[[#This Row],[Volatilidade]])</f>
        <v>0</v>
      </c>
      <c r="H962" s="5">
        <f>Tabela3[[#This Row],[Position_Size]]*Tabela3[[#This Row],[Retorno_Diário]]</f>
        <v>0</v>
      </c>
    </row>
    <row r="963" spans="1:8" x14ac:dyDescent="0.2">
      <c r="A963" s="11" t="s">
        <v>6438</v>
      </c>
      <c r="B963" s="4" t="s">
        <v>6440</v>
      </c>
      <c r="C963" s="5">
        <f t="shared" ref="C963:C1026" si="19">B963/B962-1</f>
        <v>-1.0761777340013934E-2</v>
      </c>
      <c r="D963" s="5"/>
      <c r="E963" s="5"/>
      <c r="F963" s="5">
        <f>IF(Tabela3[[#This Row],[Retorno_Diário]]&gt;0,1,-1)</f>
        <v>-1</v>
      </c>
      <c r="G963" s="5">
        <f>Tabela3[[#This Row],[Sinal_TSMOM]]*(0.4*Tabela3[[#This Row],[Volatilidade]])</f>
        <v>0</v>
      </c>
      <c r="H963" s="5">
        <f>Tabela3[[#This Row],[Position_Size]]*Tabela3[[#This Row],[Retorno_Diário]]</f>
        <v>0</v>
      </c>
    </row>
    <row r="964" spans="1:8" x14ac:dyDescent="0.2">
      <c r="A964" s="11" t="s">
        <v>6445</v>
      </c>
      <c r="B964" s="4" t="s">
        <v>6447</v>
      </c>
      <c r="C964" s="5">
        <f t="shared" si="19"/>
        <v>2.0040070624399053E-2</v>
      </c>
      <c r="D964" s="5"/>
      <c r="E964" s="5"/>
      <c r="F964" s="5">
        <f>IF(Tabela3[[#This Row],[Retorno_Diário]]&gt;0,1,-1)</f>
        <v>1</v>
      </c>
      <c r="G964" s="5">
        <f>Tabela3[[#This Row],[Sinal_TSMOM]]*(0.4*Tabela3[[#This Row],[Volatilidade]])</f>
        <v>0</v>
      </c>
      <c r="H964" s="5">
        <f>Tabela3[[#This Row],[Position_Size]]*Tabela3[[#This Row],[Retorno_Diário]]</f>
        <v>0</v>
      </c>
    </row>
    <row r="965" spans="1:8" x14ac:dyDescent="0.2">
      <c r="A965" s="11" t="s">
        <v>6452</v>
      </c>
      <c r="B965" s="4" t="s">
        <v>6454</v>
      </c>
      <c r="C965" s="5">
        <f t="shared" si="19"/>
        <v>2.5099212183416153E-2</v>
      </c>
      <c r="D965" s="5"/>
      <c r="E965" s="5"/>
      <c r="F965" s="5">
        <f>IF(Tabela3[[#This Row],[Retorno_Diário]]&gt;0,1,-1)</f>
        <v>1</v>
      </c>
      <c r="G965" s="5">
        <f>Tabela3[[#This Row],[Sinal_TSMOM]]*(0.4*Tabela3[[#This Row],[Volatilidade]])</f>
        <v>0</v>
      </c>
      <c r="H965" s="5">
        <f>Tabela3[[#This Row],[Position_Size]]*Tabela3[[#This Row],[Retorno_Diário]]</f>
        <v>0</v>
      </c>
    </row>
    <row r="966" spans="1:8" x14ac:dyDescent="0.2">
      <c r="A966" s="11" t="s">
        <v>6459</v>
      </c>
      <c r="B966" s="4" t="s">
        <v>6461</v>
      </c>
      <c r="C966" s="5">
        <f t="shared" si="19"/>
        <v>1.0169368116054844E-2</v>
      </c>
      <c r="D966" s="5"/>
      <c r="E966" s="5"/>
      <c r="F966" s="5">
        <f>IF(Tabela3[[#This Row],[Retorno_Diário]]&gt;0,1,-1)</f>
        <v>1</v>
      </c>
      <c r="G966" s="5">
        <f>Tabela3[[#This Row],[Sinal_TSMOM]]*(0.4*Tabela3[[#This Row],[Volatilidade]])</f>
        <v>0</v>
      </c>
      <c r="H966" s="5">
        <f>Tabela3[[#This Row],[Position_Size]]*Tabela3[[#This Row],[Retorno_Diário]]</f>
        <v>0</v>
      </c>
    </row>
    <row r="967" spans="1:8" x14ac:dyDescent="0.2">
      <c r="A967" s="11" t="s">
        <v>6466</v>
      </c>
      <c r="B967" s="4" t="s">
        <v>6468</v>
      </c>
      <c r="C967" s="5">
        <f t="shared" si="19"/>
        <v>2.2224780747586159E-2</v>
      </c>
      <c r="D967" s="5"/>
      <c r="E967" s="5"/>
      <c r="F967" s="5">
        <f>IF(Tabela3[[#This Row],[Retorno_Diário]]&gt;0,1,-1)</f>
        <v>1</v>
      </c>
      <c r="G967" s="5">
        <f>Tabela3[[#This Row],[Sinal_TSMOM]]*(0.4*Tabela3[[#This Row],[Volatilidade]])</f>
        <v>0</v>
      </c>
      <c r="H967" s="5">
        <f>Tabela3[[#This Row],[Position_Size]]*Tabela3[[#This Row],[Retorno_Diário]]</f>
        <v>0</v>
      </c>
    </row>
    <row r="968" spans="1:8" x14ac:dyDescent="0.2">
      <c r="A968" s="11" t="s">
        <v>6473</v>
      </c>
      <c r="B968" s="4" t="s">
        <v>6475</v>
      </c>
      <c r="C968" s="5">
        <f t="shared" si="19"/>
        <v>7.4618579025602649E-3</v>
      </c>
      <c r="D968" s="5"/>
      <c r="E968" s="5"/>
      <c r="F968" s="5">
        <f>IF(Tabela3[[#This Row],[Retorno_Diário]]&gt;0,1,-1)</f>
        <v>1</v>
      </c>
      <c r="G968" s="5">
        <f>Tabela3[[#This Row],[Sinal_TSMOM]]*(0.4*Tabela3[[#This Row],[Volatilidade]])</f>
        <v>0</v>
      </c>
      <c r="H968" s="5">
        <f>Tabela3[[#This Row],[Position_Size]]*Tabela3[[#This Row],[Retorno_Diário]]</f>
        <v>0</v>
      </c>
    </row>
    <row r="969" spans="1:8" x14ac:dyDescent="0.2">
      <c r="A969" s="11" t="s">
        <v>6480</v>
      </c>
      <c r="B969" s="4" t="s">
        <v>6482</v>
      </c>
      <c r="C969" s="5">
        <f t="shared" si="19"/>
        <v>0.12042262853556274</v>
      </c>
      <c r="D969" s="5"/>
      <c r="E969" s="5"/>
      <c r="F969" s="5">
        <f>IF(Tabela3[[#This Row],[Retorno_Diário]]&gt;0,1,-1)</f>
        <v>1</v>
      </c>
      <c r="G969" s="5">
        <f>Tabela3[[#This Row],[Sinal_TSMOM]]*(0.4*Tabela3[[#This Row],[Volatilidade]])</f>
        <v>0</v>
      </c>
      <c r="H969" s="5">
        <f>Tabela3[[#This Row],[Position_Size]]*Tabela3[[#This Row],[Retorno_Diário]]</f>
        <v>0</v>
      </c>
    </row>
    <row r="970" spans="1:8" x14ac:dyDescent="0.2">
      <c r="A970" s="11" t="s">
        <v>6487</v>
      </c>
      <c r="B970" s="4" t="s">
        <v>6489</v>
      </c>
      <c r="C970" s="5">
        <f t="shared" si="19"/>
        <v>-1.6442329250169196E-3</v>
      </c>
      <c r="D970" s="5"/>
      <c r="E970" s="5"/>
      <c r="F970" s="5">
        <f>IF(Tabela3[[#This Row],[Retorno_Diário]]&gt;0,1,-1)</f>
        <v>-1</v>
      </c>
      <c r="G970" s="5">
        <f>Tabela3[[#This Row],[Sinal_TSMOM]]*(0.4*Tabela3[[#This Row],[Volatilidade]])</f>
        <v>0</v>
      </c>
      <c r="H970" s="5">
        <f>Tabela3[[#This Row],[Position_Size]]*Tabela3[[#This Row],[Retorno_Diário]]</f>
        <v>0</v>
      </c>
    </row>
    <row r="971" spans="1:8" x14ac:dyDescent="0.2">
      <c r="A971" s="11" t="s">
        <v>6494</v>
      </c>
      <c r="B971" s="4" t="s">
        <v>6496</v>
      </c>
      <c r="C971" s="5">
        <f t="shared" si="19"/>
        <v>3.5358968041844019E-2</v>
      </c>
      <c r="D971" s="5"/>
      <c r="E971" s="5"/>
      <c r="F971" s="5">
        <f>IF(Tabela3[[#This Row],[Retorno_Diário]]&gt;0,1,-1)</f>
        <v>1</v>
      </c>
      <c r="G971" s="5">
        <f>Tabela3[[#This Row],[Sinal_TSMOM]]*(0.4*Tabela3[[#This Row],[Volatilidade]])</f>
        <v>0</v>
      </c>
      <c r="H971" s="5">
        <f>Tabela3[[#This Row],[Position_Size]]*Tabela3[[#This Row],[Retorno_Diário]]</f>
        <v>0</v>
      </c>
    </row>
    <row r="972" spans="1:8" x14ac:dyDescent="0.2">
      <c r="A972" s="11" t="s">
        <v>6501</v>
      </c>
      <c r="B972" s="4" t="s">
        <v>6503</v>
      </c>
      <c r="C972" s="5">
        <f t="shared" si="19"/>
        <v>-4.7721485002510944E-3</v>
      </c>
      <c r="D972" s="5"/>
      <c r="E972" s="5"/>
      <c r="F972" s="5">
        <f>IF(Tabela3[[#This Row],[Retorno_Diário]]&gt;0,1,-1)</f>
        <v>-1</v>
      </c>
      <c r="G972" s="5">
        <f>Tabela3[[#This Row],[Sinal_TSMOM]]*(0.4*Tabela3[[#This Row],[Volatilidade]])</f>
        <v>0</v>
      </c>
      <c r="H972" s="5">
        <f>Tabela3[[#This Row],[Position_Size]]*Tabela3[[#This Row],[Retorno_Diário]]</f>
        <v>0</v>
      </c>
    </row>
    <row r="973" spans="1:8" x14ac:dyDescent="0.2">
      <c r="A973" s="11" t="s">
        <v>6508</v>
      </c>
      <c r="B973" s="4" t="s">
        <v>6510</v>
      </c>
      <c r="C973" s="5">
        <f t="shared" si="19"/>
        <v>-3.9077534342011666E-2</v>
      </c>
      <c r="D973" s="5"/>
      <c r="E973" s="5"/>
      <c r="F973" s="5">
        <f>IF(Tabela3[[#This Row],[Retorno_Diário]]&gt;0,1,-1)</f>
        <v>-1</v>
      </c>
      <c r="G973" s="5">
        <f>Tabela3[[#This Row],[Sinal_TSMOM]]*(0.4*Tabela3[[#This Row],[Volatilidade]])</f>
        <v>0</v>
      </c>
      <c r="H973" s="5">
        <f>Tabela3[[#This Row],[Position_Size]]*Tabela3[[#This Row],[Retorno_Diário]]</f>
        <v>0</v>
      </c>
    </row>
    <row r="974" spans="1:8" x14ac:dyDescent="0.2">
      <c r="A974" s="11" t="s">
        <v>6515</v>
      </c>
      <c r="B974" s="4" t="s">
        <v>6517</v>
      </c>
      <c r="C974" s="5">
        <f t="shared" si="19"/>
        <v>3.1603237293623465E-2</v>
      </c>
      <c r="D974" s="5"/>
      <c r="E974" s="5"/>
      <c r="F974" s="5">
        <f>IF(Tabela3[[#This Row],[Retorno_Diário]]&gt;0,1,-1)</f>
        <v>1</v>
      </c>
      <c r="G974" s="5">
        <f>Tabela3[[#This Row],[Sinal_TSMOM]]*(0.4*Tabela3[[#This Row],[Volatilidade]])</f>
        <v>0</v>
      </c>
      <c r="H974" s="5">
        <f>Tabela3[[#This Row],[Position_Size]]*Tabela3[[#This Row],[Retorno_Diário]]</f>
        <v>0</v>
      </c>
    </row>
    <row r="975" spans="1:8" x14ac:dyDescent="0.2">
      <c r="A975" s="11" t="s">
        <v>6522</v>
      </c>
      <c r="B975" s="4" t="s">
        <v>6517</v>
      </c>
      <c r="C975" s="5">
        <f t="shared" si="19"/>
        <v>0</v>
      </c>
      <c r="D975" s="5"/>
      <c r="E975" s="5"/>
      <c r="F975" s="5">
        <f>IF(Tabela3[[#This Row],[Retorno_Diário]]&gt;0,1,-1)</f>
        <v>-1</v>
      </c>
      <c r="G975" s="5">
        <f>Tabela3[[#This Row],[Sinal_TSMOM]]*(0.4*Tabela3[[#This Row],[Volatilidade]])</f>
        <v>0</v>
      </c>
      <c r="H975" s="5">
        <f>Tabela3[[#This Row],[Position_Size]]*Tabela3[[#This Row],[Retorno_Diário]]</f>
        <v>0</v>
      </c>
    </row>
    <row r="976" spans="1:8" x14ac:dyDescent="0.2">
      <c r="A976" s="11" t="s">
        <v>6527</v>
      </c>
      <c r="B976" s="4" t="s">
        <v>6529</v>
      </c>
      <c r="C976" s="5">
        <f t="shared" si="19"/>
        <v>-1.2010522489267594E-2</v>
      </c>
      <c r="D976" s="5"/>
      <c r="E976" s="5"/>
      <c r="F976" s="5">
        <f>IF(Tabela3[[#This Row],[Retorno_Diário]]&gt;0,1,-1)</f>
        <v>-1</v>
      </c>
      <c r="G976" s="5">
        <f>Tabela3[[#This Row],[Sinal_TSMOM]]*(0.4*Tabela3[[#This Row],[Volatilidade]])</f>
        <v>0</v>
      </c>
      <c r="H976" s="5">
        <f>Tabela3[[#This Row],[Position_Size]]*Tabela3[[#This Row],[Retorno_Diário]]</f>
        <v>0</v>
      </c>
    </row>
    <row r="977" spans="1:8" x14ac:dyDescent="0.2">
      <c r="A977" s="11" t="s">
        <v>6534</v>
      </c>
      <c r="B977" s="4" t="s">
        <v>6536</v>
      </c>
      <c r="C977" s="5">
        <f t="shared" si="19"/>
        <v>5.9283763104578391E-3</v>
      </c>
      <c r="D977" s="5"/>
      <c r="E977" s="5"/>
      <c r="F977" s="5">
        <f>IF(Tabela3[[#This Row],[Retorno_Diário]]&gt;0,1,-1)</f>
        <v>1</v>
      </c>
      <c r="G977" s="5">
        <f>Tabela3[[#This Row],[Sinal_TSMOM]]*(0.4*Tabela3[[#This Row],[Volatilidade]])</f>
        <v>0</v>
      </c>
      <c r="H977" s="5">
        <f>Tabela3[[#This Row],[Position_Size]]*Tabela3[[#This Row],[Retorno_Diário]]</f>
        <v>0</v>
      </c>
    </row>
    <row r="978" spans="1:8" x14ac:dyDescent="0.2">
      <c r="A978" s="11" t="s">
        <v>6540</v>
      </c>
      <c r="B978" s="4" t="s">
        <v>6542</v>
      </c>
      <c r="C978" s="5">
        <f t="shared" si="19"/>
        <v>-3.1188936960808933E-2</v>
      </c>
      <c r="D978" s="5"/>
      <c r="E978" s="5"/>
      <c r="F978" s="5">
        <f>IF(Tabela3[[#This Row],[Retorno_Diário]]&gt;0,1,-1)</f>
        <v>-1</v>
      </c>
      <c r="G978" s="5">
        <f>Tabela3[[#This Row],[Sinal_TSMOM]]*(0.4*Tabela3[[#This Row],[Volatilidade]])</f>
        <v>0</v>
      </c>
      <c r="H978" s="5">
        <f>Tabela3[[#This Row],[Position_Size]]*Tabela3[[#This Row],[Retorno_Diário]]</f>
        <v>0</v>
      </c>
    </row>
    <row r="979" spans="1:8" x14ac:dyDescent="0.2">
      <c r="A979" s="11" t="s">
        <v>6547</v>
      </c>
      <c r="B979" s="4" t="s">
        <v>6549</v>
      </c>
      <c r="C979" s="5">
        <f t="shared" si="19"/>
        <v>8.2498875087337886E-2</v>
      </c>
      <c r="D979" s="5"/>
      <c r="E979" s="5"/>
      <c r="F979" s="5">
        <f>IF(Tabela3[[#This Row],[Retorno_Diário]]&gt;0,1,-1)</f>
        <v>1</v>
      </c>
      <c r="G979" s="5">
        <f>Tabela3[[#This Row],[Sinal_TSMOM]]*(0.4*Tabela3[[#This Row],[Volatilidade]])</f>
        <v>0</v>
      </c>
      <c r="H979" s="5">
        <f>Tabela3[[#This Row],[Position_Size]]*Tabela3[[#This Row],[Retorno_Diário]]</f>
        <v>0</v>
      </c>
    </row>
    <row r="980" spans="1:8" x14ac:dyDescent="0.2">
      <c r="A980" s="11" t="s">
        <v>6554</v>
      </c>
      <c r="B980" s="4" t="s">
        <v>6556</v>
      </c>
      <c r="C980" s="5">
        <f t="shared" si="19"/>
        <v>4.1357581841967805E-2</v>
      </c>
      <c r="D980" s="5"/>
      <c r="E980" s="5"/>
      <c r="F980" s="5">
        <f>IF(Tabela3[[#This Row],[Retorno_Diário]]&gt;0,1,-1)</f>
        <v>1</v>
      </c>
      <c r="G980" s="5">
        <f>Tabela3[[#This Row],[Sinal_TSMOM]]*(0.4*Tabela3[[#This Row],[Volatilidade]])</f>
        <v>0</v>
      </c>
      <c r="H980" s="5">
        <f>Tabela3[[#This Row],[Position_Size]]*Tabela3[[#This Row],[Retorno_Diário]]</f>
        <v>0</v>
      </c>
    </row>
    <row r="981" spans="1:8" x14ac:dyDescent="0.2">
      <c r="A981" s="11" t="s">
        <v>6561</v>
      </c>
      <c r="B981" s="4" t="s">
        <v>6563</v>
      </c>
      <c r="C981" s="5">
        <f t="shared" si="19"/>
        <v>-3.1196035074165573E-2</v>
      </c>
      <c r="D981" s="5"/>
      <c r="E981" s="5"/>
      <c r="F981" s="5">
        <f>IF(Tabela3[[#This Row],[Retorno_Diário]]&gt;0,1,-1)</f>
        <v>-1</v>
      </c>
      <c r="G981" s="5">
        <f>Tabela3[[#This Row],[Sinal_TSMOM]]*(0.4*Tabela3[[#This Row],[Volatilidade]])</f>
        <v>0</v>
      </c>
      <c r="H981" s="5">
        <f>Tabela3[[#This Row],[Position_Size]]*Tabela3[[#This Row],[Retorno_Diário]]</f>
        <v>0</v>
      </c>
    </row>
    <row r="982" spans="1:8" x14ac:dyDescent="0.2">
      <c r="A982" s="11" t="s">
        <v>6568</v>
      </c>
      <c r="B982" s="4" t="s">
        <v>6570</v>
      </c>
      <c r="C982" s="5">
        <f t="shared" si="19"/>
        <v>-6.5715073408405544E-3</v>
      </c>
      <c r="D982" s="5"/>
      <c r="E982" s="5"/>
      <c r="F982" s="5">
        <f>IF(Tabela3[[#This Row],[Retorno_Diário]]&gt;0,1,-1)</f>
        <v>-1</v>
      </c>
      <c r="G982" s="5">
        <f>Tabela3[[#This Row],[Sinal_TSMOM]]*(0.4*Tabela3[[#This Row],[Volatilidade]])</f>
        <v>0</v>
      </c>
      <c r="H982" s="5">
        <f>Tabela3[[#This Row],[Position_Size]]*Tabela3[[#This Row],[Retorno_Diário]]</f>
        <v>0</v>
      </c>
    </row>
    <row r="983" spans="1:8" x14ac:dyDescent="0.2">
      <c r="A983" s="11" t="s">
        <v>6575</v>
      </c>
      <c r="B983" s="4" t="s">
        <v>6577</v>
      </c>
      <c r="C983" s="5">
        <f t="shared" si="19"/>
        <v>2.9232013103545285E-2</v>
      </c>
      <c r="D983" s="5"/>
      <c r="E983" s="5"/>
      <c r="F983" s="5">
        <f>IF(Tabela3[[#This Row],[Retorno_Diário]]&gt;0,1,-1)</f>
        <v>1</v>
      </c>
      <c r="G983" s="5">
        <f>Tabela3[[#This Row],[Sinal_TSMOM]]*(0.4*Tabela3[[#This Row],[Volatilidade]])</f>
        <v>0</v>
      </c>
      <c r="H983" s="5">
        <f>Tabela3[[#This Row],[Position_Size]]*Tabela3[[#This Row],[Retorno_Diário]]</f>
        <v>0</v>
      </c>
    </row>
    <row r="984" spans="1:8" x14ac:dyDescent="0.2">
      <c r="A984" s="11" t="s">
        <v>6582</v>
      </c>
      <c r="B984" s="4" t="s">
        <v>6584</v>
      </c>
      <c r="C984" s="5">
        <f t="shared" si="19"/>
        <v>-3.5838879066949714E-2</v>
      </c>
      <c r="D984" s="5"/>
      <c r="E984" s="5"/>
      <c r="F984" s="5">
        <f>IF(Tabela3[[#This Row],[Retorno_Diário]]&gt;0,1,-1)</f>
        <v>-1</v>
      </c>
      <c r="G984" s="5">
        <f>Tabela3[[#This Row],[Sinal_TSMOM]]*(0.4*Tabela3[[#This Row],[Volatilidade]])</f>
        <v>0</v>
      </c>
      <c r="H984" s="5">
        <f>Tabela3[[#This Row],[Position_Size]]*Tabela3[[#This Row],[Retorno_Diário]]</f>
        <v>0</v>
      </c>
    </row>
    <row r="985" spans="1:8" x14ac:dyDescent="0.2">
      <c r="A985" s="11" t="s">
        <v>6589</v>
      </c>
      <c r="B985" s="4" t="s">
        <v>6591</v>
      </c>
      <c r="C985" s="5">
        <f t="shared" si="19"/>
        <v>5.945462895157938E-2</v>
      </c>
      <c r="D985" s="5"/>
      <c r="E985" s="5"/>
      <c r="F985" s="5">
        <f>IF(Tabela3[[#This Row],[Retorno_Diário]]&gt;0,1,-1)</f>
        <v>1</v>
      </c>
      <c r="G985" s="5">
        <f>Tabela3[[#This Row],[Sinal_TSMOM]]*(0.4*Tabela3[[#This Row],[Volatilidade]])</f>
        <v>0</v>
      </c>
      <c r="H985" s="5">
        <f>Tabela3[[#This Row],[Position_Size]]*Tabela3[[#This Row],[Retorno_Diário]]</f>
        <v>0</v>
      </c>
    </row>
    <row r="986" spans="1:8" x14ac:dyDescent="0.2">
      <c r="A986" s="11" t="s">
        <v>6596</v>
      </c>
      <c r="B986" s="4" t="s">
        <v>6598</v>
      </c>
      <c r="C986" s="5">
        <f t="shared" si="19"/>
        <v>-2.0973177566524281E-2</v>
      </c>
      <c r="D986" s="5"/>
      <c r="E986" s="5"/>
      <c r="F986" s="5">
        <f>IF(Tabela3[[#This Row],[Retorno_Diário]]&gt;0,1,-1)</f>
        <v>-1</v>
      </c>
      <c r="G986" s="5">
        <f>Tabela3[[#This Row],[Sinal_TSMOM]]*(0.4*Tabela3[[#This Row],[Volatilidade]])</f>
        <v>0</v>
      </c>
      <c r="H986" s="5">
        <f>Tabela3[[#This Row],[Position_Size]]*Tabela3[[#This Row],[Retorno_Diário]]</f>
        <v>0</v>
      </c>
    </row>
    <row r="987" spans="1:8" x14ac:dyDescent="0.2">
      <c r="A987" s="11" t="s">
        <v>6603</v>
      </c>
      <c r="B987" s="4" t="s">
        <v>6605</v>
      </c>
      <c r="C987" s="5">
        <f t="shared" si="19"/>
        <v>-3.7978922500913836E-2</v>
      </c>
      <c r="D987" s="5"/>
      <c r="E987" s="5"/>
      <c r="F987" s="5">
        <f>IF(Tabela3[[#This Row],[Retorno_Diário]]&gt;0,1,-1)</f>
        <v>-1</v>
      </c>
      <c r="G987" s="5">
        <f>Tabela3[[#This Row],[Sinal_TSMOM]]*(0.4*Tabela3[[#This Row],[Volatilidade]])</f>
        <v>0</v>
      </c>
      <c r="H987" s="5">
        <f>Tabela3[[#This Row],[Position_Size]]*Tabela3[[#This Row],[Retorno_Diário]]</f>
        <v>0</v>
      </c>
    </row>
    <row r="988" spans="1:8" x14ac:dyDescent="0.2">
      <c r="A988" s="11" t="s">
        <v>6610</v>
      </c>
      <c r="B988" s="4" t="s">
        <v>6612</v>
      </c>
      <c r="C988" s="5">
        <f t="shared" si="19"/>
        <v>2.1981867233363594E-2</v>
      </c>
      <c r="D988" s="5"/>
      <c r="E988" s="5"/>
      <c r="F988" s="5">
        <f>IF(Tabela3[[#This Row],[Retorno_Diário]]&gt;0,1,-1)</f>
        <v>1</v>
      </c>
      <c r="G988" s="5">
        <f>Tabela3[[#This Row],[Sinal_TSMOM]]*(0.4*Tabela3[[#This Row],[Volatilidade]])</f>
        <v>0</v>
      </c>
      <c r="H988" s="5">
        <f>Tabela3[[#This Row],[Position_Size]]*Tabela3[[#This Row],[Retorno_Diário]]</f>
        <v>0</v>
      </c>
    </row>
    <row r="989" spans="1:8" x14ac:dyDescent="0.2">
      <c r="A989" s="11" t="s">
        <v>6617</v>
      </c>
      <c r="B989" s="4" t="s">
        <v>6619</v>
      </c>
      <c r="C989" s="5">
        <f t="shared" si="19"/>
        <v>-4.4605574355010891E-2</v>
      </c>
      <c r="D989" s="5"/>
      <c r="E989" s="5"/>
      <c r="F989" s="5">
        <f>IF(Tabela3[[#This Row],[Retorno_Diário]]&gt;0,1,-1)</f>
        <v>-1</v>
      </c>
      <c r="G989" s="5">
        <f>Tabela3[[#This Row],[Sinal_TSMOM]]*(0.4*Tabela3[[#This Row],[Volatilidade]])</f>
        <v>0</v>
      </c>
      <c r="H989" s="5">
        <f>Tabela3[[#This Row],[Position_Size]]*Tabela3[[#This Row],[Retorno_Diário]]</f>
        <v>0</v>
      </c>
    </row>
    <row r="990" spans="1:8" x14ac:dyDescent="0.2">
      <c r="A990" s="11" t="s">
        <v>6624</v>
      </c>
      <c r="B990" s="4" t="s">
        <v>6626</v>
      </c>
      <c r="C990" s="5">
        <f t="shared" si="19"/>
        <v>-2.1372955409069694E-2</v>
      </c>
      <c r="D990" s="5"/>
      <c r="E990" s="5"/>
      <c r="F990" s="5">
        <f>IF(Tabela3[[#This Row],[Retorno_Diário]]&gt;0,1,-1)</f>
        <v>-1</v>
      </c>
      <c r="G990" s="5">
        <f>Tabela3[[#This Row],[Sinal_TSMOM]]*(0.4*Tabela3[[#This Row],[Volatilidade]])</f>
        <v>0</v>
      </c>
      <c r="H990" s="5">
        <f>Tabela3[[#This Row],[Position_Size]]*Tabela3[[#This Row],[Retorno_Diário]]</f>
        <v>0</v>
      </c>
    </row>
    <row r="991" spans="1:8" x14ac:dyDescent="0.2">
      <c r="A991" s="11" t="s">
        <v>6631</v>
      </c>
      <c r="B991" s="4" t="s">
        <v>6633</v>
      </c>
      <c r="C991" s="5">
        <f t="shared" si="19"/>
        <v>7.9568446585635E-2</v>
      </c>
      <c r="D991" s="5"/>
      <c r="E991" s="5"/>
      <c r="F991" s="5">
        <f>IF(Tabela3[[#This Row],[Retorno_Diário]]&gt;0,1,-1)</f>
        <v>1</v>
      </c>
      <c r="G991" s="5">
        <f>Tabela3[[#This Row],[Sinal_TSMOM]]*(0.4*Tabela3[[#This Row],[Volatilidade]])</f>
        <v>0</v>
      </c>
      <c r="H991" s="5">
        <f>Tabela3[[#This Row],[Position_Size]]*Tabela3[[#This Row],[Retorno_Diário]]</f>
        <v>0</v>
      </c>
    </row>
    <row r="992" spans="1:8" x14ac:dyDescent="0.2">
      <c r="A992" s="11" t="s">
        <v>6638</v>
      </c>
      <c r="B992" s="4" t="s">
        <v>6640</v>
      </c>
      <c r="C992" s="5">
        <f t="shared" si="19"/>
        <v>-1.8533874835996111E-2</v>
      </c>
      <c r="D992" s="5"/>
      <c r="E992" s="5"/>
      <c r="F992" s="5">
        <f>IF(Tabela3[[#This Row],[Retorno_Diário]]&gt;0,1,-1)</f>
        <v>-1</v>
      </c>
      <c r="G992" s="5">
        <f>Tabela3[[#This Row],[Sinal_TSMOM]]*(0.4*Tabela3[[#This Row],[Volatilidade]])</f>
        <v>0</v>
      </c>
      <c r="H992" s="5">
        <f>Tabela3[[#This Row],[Position_Size]]*Tabela3[[#This Row],[Retorno_Diário]]</f>
        <v>0</v>
      </c>
    </row>
    <row r="993" spans="1:8" x14ac:dyDescent="0.2">
      <c r="A993" s="11" t="s">
        <v>6645</v>
      </c>
      <c r="B993" s="4" t="s">
        <v>6647</v>
      </c>
      <c r="C993" s="5">
        <f t="shared" si="19"/>
        <v>-4.1978270393306594E-2</v>
      </c>
      <c r="D993" s="5"/>
      <c r="E993" s="5"/>
      <c r="F993" s="5">
        <f>IF(Tabela3[[#This Row],[Retorno_Diário]]&gt;0,1,-1)</f>
        <v>-1</v>
      </c>
      <c r="G993" s="5">
        <f>Tabela3[[#This Row],[Sinal_TSMOM]]*(0.4*Tabela3[[#This Row],[Volatilidade]])</f>
        <v>0</v>
      </c>
      <c r="H993" s="5">
        <f>Tabela3[[#This Row],[Position_Size]]*Tabela3[[#This Row],[Retorno_Diário]]</f>
        <v>0</v>
      </c>
    </row>
    <row r="994" spans="1:8" x14ac:dyDescent="0.2">
      <c r="A994" s="11" t="s">
        <v>6652</v>
      </c>
      <c r="B994" s="4" t="s">
        <v>6654</v>
      </c>
      <c r="C994" s="5">
        <f t="shared" si="19"/>
        <v>-9.5769045289104682E-3</v>
      </c>
      <c r="D994" s="5"/>
      <c r="E994" s="5"/>
      <c r="F994" s="5">
        <f>IF(Tabela3[[#This Row],[Retorno_Diário]]&gt;0,1,-1)</f>
        <v>-1</v>
      </c>
      <c r="G994" s="5">
        <f>Tabela3[[#This Row],[Sinal_TSMOM]]*(0.4*Tabela3[[#This Row],[Volatilidade]])</f>
        <v>0</v>
      </c>
      <c r="H994" s="5">
        <f>Tabela3[[#This Row],[Position_Size]]*Tabela3[[#This Row],[Retorno_Diário]]</f>
        <v>0</v>
      </c>
    </row>
    <row r="995" spans="1:8" x14ac:dyDescent="0.2">
      <c r="A995" s="11" t="s">
        <v>6659</v>
      </c>
      <c r="B995" s="4" t="s">
        <v>6661</v>
      </c>
      <c r="C995" s="5">
        <f t="shared" si="19"/>
        <v>-6.7454820160796736E-2</v>
      </c>
      <c r="D995" s="5"/>
      <c r="E995" s="5"/>
      <c r="F995" s="5">
        <f>IF(Tabela3[[#This Row],[Retorno_Diário]]&gt;0,1,-1)</f>
        <v>-1</v>
      </c>
      <c r="G995" s="5">
        <f>Tabela3[[#This Row],[Sinal_TSMOM]]*(0.4*Tabela3[[#This Row],[Volatilidade]])</f>
        <v>0</v>
      </c>
      <c r="H995" s="5">
        <f>Tabela3[[#This Row],[Position_Size]]*Tabela3[[#This Row],[Retorno_Diário]]</f>
        <v>0</v>
      </c>
    </row>
    <row r="996" spans="1:8" x14ac:dyDescent="0.2">
      <c r="A996" s="11" t="s">
        <v>6666</v>
      </c>
      <c r="B996" s="4" t="s">
        <v>6668</v>
      </c>
      <c r="C996" s="5">
        <f t="shared" si="19"/>
        <v>6.2497993494357029E-3</v>
      </c>
      <c r="D996" s="5"/>
      <c r="E996" s="5"/>
      <c r="F996" s="5">
        <f>IF(Tabela3[[#This Row],[Retorno_Diário]]&gt;0,1,-1)</f>
        <v>1</v>
      </c>
      <c r="G996" s="5">
        <f>Tabela3[[#This Row],[Sinal_TSMOM]]*(0.4*Tabela3[[#This Row],[Volatilidade]])</f>
        <v>0</v>
      </c>
      <c r="H996" s="5">
        <f>Tabela3[[#This Row],[Position_Size]]*Tabela3[[#This Row],[Retorno_Diário]]</f>
        <v>0</v>
      </c>
    </row>
    <row r="997" spans="1:8" x14ac:dyDescent="0.2">
      <c r="A997" s="11" t="s">
        <v>6673</v>
      </c>
      <c r="B997" s="4" t="s">
        <v>6675</v>
      </c>
      <c r="C997" s="5">
        <f t="shared" si="19"/>
        <v>7.4884417849423901E-2</v>
      </c>
      <c r="D997" s="5"/>
      <c r="E997" s="5"/>
      <c r="F997" s="5">
        <f>IF(Tabela3[[#This Row],[Retorno_Diário]]&gt;0,1,-1)</f>
        <v>1</v>
      </c>
      <c r="G997" s="5">
        <f>Tabela3[[#This Row],[Sinal_TSMOM]]*(0.4*Tabela3[[#This Row],[Volatilidade]])</f>
        <v>0</v>
      </c>
      <c r="H997" s="5">
        <f>Tabela3[[#This Row],[Position_Size]]*Tabela3[[#This Row],[Retorno_Diário]]</f>
        <v>0</v>
      </c>
    </row>
    <row r="998" spans="1:8" x14ac:dyDescent="0.2">
      <c r="A998" s="11" t="s">
        <v>6680</v>
      </c>
      <c r="B998" s="4" t="s">
        <v>6682</v>
      </c>
      <c r="C998" s="5">
        <f t="shared" si="19"/>
        <v>-6.8025888192384198E-2</v>
      </c>
      <c r="D998" s="5"/>
      <c r="E998" s="5"/>
      <c r="F998" s="5">
        <f>IF(Tabela3[[#This Row],[Retorno_Diário]]&gt;0,1,-1)</f>
        <v>-1</v>
      </c>
      <c r="G998" s="5">
        <f>Tabela3[[#This Row],[Sinal_TSMOM]]*(0.4*Tabela3[[#This Row],[Volatilidade]])</f>
        <v>0</v>
      </c>
      <c r="H998" s="5">
        <f>Tabela3[[#This Row],[Position_Size]]*Tabela3[[#This Row],[Retorno_Diário]]</f>
        <v>0</v>
      </c>
    </row>
    <row r="999" spans="1:8" x14ac:dyDescent="0.2">
      <c r="A999" s="11" t="s">
        <v>6687</v>
      </c>
      <c r="B999" s="4" t="s">
        <v>6689</v>
      </c>
      <c r="C999" s="5">
        <f t="shared" si="19"/>
        <v>-2.0643201222769081E-2</v>
      </c>
      <c r="D999" s="5"/>
      <c r="E999" s="5"/>
      <c r="F999" s="5">
        <f>IF(Tabela3[[#This Row],[Retorno_Diário]]&gt;0,1,-1)</f>
        <v>-1</v>
      </c>
      <c r="G999" s="5">
        <f>Tabela3[[#This Row],[Sinal_TSMOM]]*(0.4*Tabela3[[#This Row],[Volatilidade]])</f>
        <v>0</v>
      </c>
      <c r="H999" s="5">
        <f>Tabela3[[#This Row],[Position_Size]]*Tabela3[[#This Row],[Retorno_Diário]]</f>
        <v>0</v>
      </c>
    </row>
    <row r="1000" spans="1:8" x14ac:dyDescent="0.2">
      <c r="A1000" s="11" t="s">
        <v>6694</v>
      </c>
      <c r="B1000" s="4" t="s">
        <v>6696</v>
      </c>
      <c r="C1000" s="5">
        <f t="shared" si="19"/>
        <v>-2.9495604714412371E-3</v>
      </c>
      <c r="D1000" s="5"/>
      <c r="E1000" s="5"/>
      <c r="F1000" s="5">
        <f>IF(Tabela3[[#This Row],[Retorno_Diário]]&gt;0,1,-1)</f>
        <v>-1</v>
      </c>
      <c r="G1000" s="5">
        <f>Tabela3[[#This Row],[Sinal_TSMOM]]*(0.4*Tabela3[[#This Row],[Volatilidade]])</f>
        <v>0</v>
      </c>
      <c r="H1000" s="5">
        <f>Tabela3[[#This Row],[Position_Size]]*Tabela3[[#This Row],[Retorno_Diário]]</f>
        <v>0</v>
      </c>
    </row>
    <row r="1001" spans="1:8" x14ac:dyDescent="0.2">
      <c r="A1001" s="11" t="s">
        <v>6701</v>
      </c>
      <c r="B1001" s="4" t="s">
        <v>6703</v>
      </c>
      <c r="C1001" s="5">
        <f t="shared" si="19"/>
        <v>4.8919546411724024E-2</v>
      </c>
      <c r="D1001" s="5"/>
      <c r="E1001" s="5"/>
      <c r="F1001" s="5">
        <f>IF(Tabela3[[#This Row],[Retorno_Diário]]&gt;0,1,-1)</f>
        <v>1</v>
      </c>
      <c r="G1001" s="5">
        <f>Tabela3[[#This Row],[Sinal_TSMOM]]*(0.4*Tabela3[[#This Row],[Volatilidade]])</f>
        <v>0</v>
      </c>
      <c r="H1001" s="5">
        <f>Tabela3[[#This Row],[Position_Size]]*Tabela3[[#This Row],[Retorno_Diário]]</f>
        <v>0</v>
      </c>
    </row>
    <row r="1002" spans="1:8" x14ac:dyDescent="0.2">
      <c r="A1002" s="11" t="s">
        <v>6708</v>
      </c>
      <c r="B1002" s="4" t="s">
        <v>6710</v>
      </c>
      <c r="C1002" s="5">
        <f t="shared" si="19"/>
        <v>1.1177948308261465E-2</v>
      </c>
      <c r="D1002" s="5"/>
      <c r="E1002" s="5"/>
      <c r="F1002" s="5">
        <f>IF(Tabela3[[#This Row],[Retorno_Diário]]&gt;0,1,-1)</f>
        <v>1</v>
      </c>
      <c r="G1002" s="5">
        <f>Tabela3[[#This Row],[Sinal_TSMOM]]*(0.4*Tabela3[[#This Row],[Volatilidade]])</f>
        <v>0</v>
      </c>
      <c r="H1002" s="5">
        <f>Tabela3[[#This Row],[Position_Size]]*Tabela3[[#This Row],[Retorno_Diário]]</f>
        <v>0</v>
      </c>
    </row>
    <row r="1003" spans="1:8" x14ac:dyDescent="0.2">
      <c r="A1003" s="11" t="s">
        <v>6715</v>
      </c>
      <c r="B1003" s="4" t="s">
        <v>6717</v>
      </c>
      <c r="C1003" s="5">
        <f t="shared" si="19"/>
        <v>8.1632576269468071E-3</v>
      </c>
      <c r="D1003" s="5"/>
      <c r="E1003" s="5"/>
      <c r="F1003" s="5">
        <f>IF(Tabela3[[#This Row],[Retorno_Diário]]&gt;0,1,-1)</f>
        <v>1</v>
      </c>
      <c r="G1003" s="5">
        <f>Tabela3[[#This Row],[Sinal_TSMOM]]*(0.4*Tabela3[[#This Row],[Volatilidade]])</f>
        <v>0</v>
      </c>
      <c r="H1003" s="5">
        <f>Tabela3[[#This Row],[Position_Size]]*Tabela3[[#This Row],[Retorno_Diário]]</f>
        <v>0</v>
      </c>
    </row>
    <row r="1004" spans="1:8" x14ac:dyDescent="0.2">
      <c r="A1004" s="11" t="s">
        <v>6722</v>
      </c>
      <c r="B1004" s="4" t="s">
        <v>6724</v>
      </c>
      <c r="C1004" s="5">
        <f t="shared" si="19"/>
        <v>4.4028351283690093E-2</v>
      </c>
      <c r="D1004" s="5"/>
      <c r="E1004" s="5"/>
      <c r="F1004" s="5">
        <f>IF(Tabela3[[#This Row],[Retorno_Diário]]&gt;0,1,-1)</f>
        <v>1</v>
      </c>
      <c r="G1004" s="5">
        <f>Tabela3[[#This Row],[Sinal_TSMOM]]*(0.4*Tabela3[[#This Row],[Volatilidade]])</f>
        <v>0</v>
      </c>
      <c r="H1004" s="5">
        <f>Tabela3[[#This Row],[Position_Size]]*Tabela3[[#This Row],[Retorno_Diário]]</f>
        <v>0</v>
      </c>
    </row>
    <row r="1005" spans="1:8" x14ac:dyDescent="0.2">
      <c r="A1005" s="11" t="s">
        <v>6728</v>
      </c>
      <c r="B1005" s="4" t="s">
        <v>6730</v>
      </c>
      <c r="C1005" s="5">
        <f t="shared" si="19"/>
        <v>-2.0132467197548687E-2</v>
      </c>
      <c r="D1005" s="5"/>
      <c r="E1005" s="5"/>
      <c r="F1005" s="5">
        <f>IF(Tabela3[[#This Row],[Retorno_Diário]]&gt;0,1,-1)</f>
        <v>-1</v>
      </c>
      <c r="G1005" s="5">
        <f>Tabela3[[#This Row],[Sinal_TSMOM]]*(0.4*Tabela3[[#This Row],[Volatilidade]])</f>
        <v>0</v>
      </c>
      <c r="H1005" s="5">
        <f>Tabela3[[#This Row],[Position_Size]]*Tabela3[[#This Row],[Retorno_Diário]]</f>
        <v>0</v>
      </c>
    </row>
    <row r="1006" spans="1:8" x14ac:dyDescent="0.2">
      <c r="A1006" s="11" t="s">
        <v>6735</v>
      </c>
      <c r="B1006" s="4" t="s">
        <v>6737</v>
      </c>
      <c r="C1006" s="5">
        <f t="shared" si="19"/>
        <v>-1.0586407477271242E-2</v>
      </c>
      <c r="D1006" s="5"/>
      <c r="E1006" s="5"/>
      <c r="F1006" s="5">
        <f>IF(Tabela3[[#This Row],[Retorno_Diário]]&gt;0,1,-1)</f>
        <v>-1</v>
      </c>
      <c r="G1006" s="5">
        <f>Tabela3[[#This Row],[Sinal_TSMOM]]*(0.4*Tabela3[[#This Row],[Volatilidade]])</f>
        <v>0</v>
      </c>
      <c r="H1006" s="5">
        <f>Tabela3[[#This Row],[Position_Size]]*Tabela3[[#This Row],[Retorno_Diário]]</f>
        <v>0</v>
      </c>
    </row>
    <row r="1007" spans="1:8" x14ac:dyDescent="0.2">
      <c r="A1007" s="11" t="s">
        <v>6742</v>
      </c>
      <c r="B1007" s="4" t="s">
        <v>6744</v>
      </c>
      <c r="C1007" s="5">
        <f t="shared" si="19"/>
        <v>-1.3832839431262567E-2</v>
      </c>
      <c r="D1007" s="5"/>
      <c r="E1007" s="5"/>
      <c r="F1007" s="5">
        <f>IF(Tabela3[[#This Row],[Retorno_Diário]]&gt;0,1,-1)</f>
        <v>-1</v>
      </c>
      <c r="G1007" s="5">
        <f>Tabela3[[#This Row],[Sinal_TSMOM]]*(0.4*Tabela3[[#This Row],[Volatilidade]])</f>
        <v>0</v>
      </c>
      <c r="H1007" s="5">
        <f>Tabela3[[#This Row],[Position_Size]]*Tabela3[[#This Row],[Retorno_Diário]]</f>
        <v>0</v>
      </c>
    </row>
    <row r="1008" spans="1:8" x14ac:dyDescent="0.2">
      <c r="A1008" s="12" t="s">
        <v>6749</v>
      </c>
      <c r="B1008" s="13" t="s">
        <v>6751</v>
      </c>
      <c r="C1008" s="14">
        <f t="shared" si="19"/>
        <v>-5.9149983705700793E-3</v>
      </c>
      <c r="D1008" s="14">
        <f>Tabela3[[#This Row],[Preço_Fecho]]/B757-1</f>
        <v>1.2428032258606527</v>
      </c>
      <c r="E1008" s="14">
        <f>_xlfn.STDEV.P(C757:C1008)*SQRT(252)</f>
        <v>0.44894027511228213</v>
      </c>
      <c r="F1008" s="14">
        <f>IF(Tabela3[[#This Row],[Retorno_Diário]]&gt;0,1,-1)</f>
        <v>-1</v>
      </c>
      <c r="G1008" s="14">
        <f>Tabela3[[#This Row],[Sinal_TSMOM]]*(0.4*Tabela3[[#This Row],[Volatilidade]])</f>
        <v>-0.17957611004491286</v>
      </c>
      <c r="H1008" s="14">
        <f>Tabela3[[#This Row],[Position_Size]]*Tabela3[[#This Row],[Retorno_Diário]]</f>
        <v>1.0621923983089728E-3</v>
      </c>
    </row>
    <row r="1009" spans="1:8" x14ac:dyDescent="0.2">
      <c r="A1009" s="11" t="s">
        <v>6756</v>
      </c>
      <c r="B1009" s="4" t="s">
        <v>6758</v>
      </c>
      <c r="C1009" s="5">
        <f t="shared" si="19"/>
        <v>2.4140661955242448E-2</v>
      </c>
      <c r="D1009" s="5"/>
      <c r="E1009" s="5"/>
      <c r="F1009" s="5">
        <f>IF(Tabela3[[#This Row],[Retorno_Diário]]&gt;0,1,-1)</f>
        <v>1</v>
      </c>
      <c r="G1009" s="5">
        <f>Tabela3[[#This Row],[Sinal_TSMOM]]*(0.4*Tabela3[[#This Row],[Volatilidade]])</f>
        <v>0</v>
      </c>
      <c r="H1009" s="5">
        <f>Tabela3[[#This Row],[Position_Size]]*Tabela3[[#This Row],[Retorno_Diário]]</f>
        <v>0</v>
      </c>
    </row>
    <row r="1010" spans="1:8" x14ac:dyDescent="0.2">
      <c r="A1010" s="11" t="s">
        <v>6763</v>
      </c>
      <c r="B1010" s="4" t="s">
        <v>6765</v>
      </c>
      <c r="C1010" s="5">
        <f t="shared" si="19"/>
        <v>-2.7588704438470391E-2</v>
      </c>
      <c r="D1010" s="5"/>
      <c r="E1010" s="5"/>
      <c r="F1010" s="5">
        <f>IF(Tabela3[[#This Row],[Retorno_Diário]]&gt;0,1,-1)</f>
        <v>-1</v>
      </c>
      <c r="G1010" s="5">
        <f>Tabela3[[#This Row],[Sinal_TSMOM]]*(0.4*Tabela3[[#This Row],[Volatilidade]])</f>
        <v>0</v>
      </c>
      <c r="H1010" s="5">
        <f>Tabela3[[#This Row],[Position_Size]]*Tabela3[[#This Row],[Retorno_Diário]]</f>
        <v>0</v>
      </c>
    </row>
    <row r="1011" spans="1:8" x14ac:dyDescent="0.2">
      <c r="A1011" s="11" t="s">
        <v>6769</v>
      </c>
      <c r="B1011" s="4" t="s">
        <v>6771</v>
      </c>
      <c r="C1011" s="5">
        <f t="shared" si="19"/>
        <v>-5.7562334287289629E-2</v>
      </c>
      <c r="D1011" s="5"/>
      <c r="E1011" s="5"/>
      <c r="F1011" s="5">
        <f>IF(Tabela3[[#This Row],[Retorno_Diário]]&gt;0,1,-1)</f>
        <v>-1</v>
      </c>
      <c r="G1011" s="5">
        <f>Tabela3[[#This Row],[Sinal_TSMOM]]*(0.4*Tabela3[[#This Row],[Volatilidade]])</f>
        <v>0</v>
      </c>
      <c r="H1011" s="5">
        <f>Tabela3[[#This Row],[Position_Size]]*Tabela3[[#This Row],[Retorno_Diário]]</f>
        <v>0</v>
      </c>
    </row>
    <row r="1012" spans="1:8" x14ac:dyDescent="0.2">
      <c r="A1012" s="11" t="s">
        <v>6776</v>
      </c>
      <c r="B1012" s="4" t="s">
        <v>6778</v>
      </c>
      <c r="C1012" s="5">
        <f t="shared" si="19"/>
        <v>2.0794066186184956E-2</v>
      </c>
      <c r="D1012" s="5"/>
      <c r="E1012" s="5"/>
      <c r="F1012" s="5">
        <f>IF(Tabela3[[#This Row],[Retorno_Diário]]&gt;0,1,-1)</f>
        <v>1</v>
      </c>
      <c r="G1012" s="5">
        <f>Tabela3[[#This Row],[Sinal_TSMOM]]*(0.4*Tabela3[[#This Row],[Volatilidade]])</f>
        <v>0</v>
      </c>
      <c r="H1012" s="5">
        <f>Tabela3[[#This Row],[Position_Size]]*Tabela3[[#This Row],[Retorno_Diário]]</f>
        <v>0</v>
      </c>
    </row>
    <row r="1013" spans="1:8" x14ac:dyDescent="0.2">
      <c r="A1013" s="11" t="s">
        <v>6783</v>
      </c>
      <c r="B1013" s="4" t="s">
        <v>6785</v>
      </c>
      <c r="C1013" s="5">
        <f t="shared" si="19"/>
        <v>-3.3039952178875009E-2</v>
      </c>
      <c r="D1013" s="5"/>
      <c r="E1013" s="5"/>
      <c r="F1013" s="5">
        <f>IF(Tabela3[[#This Row],[Retorno_Diário]]&gt;0,1,-1)</f>
        <v>-1</v>
      </c>
      <c r="G1013" s="5">
        <f>Tabela3[[#This Row],[Sinal_TSMOM]]*(0.4*Tabela3[[#This Row],[Volatilidade]])</f>
        <v>0</v>
      </c>
      <c r="H1013" s="5">
        <f>Tabela3[[#This Row],[Position_Size]]*Tabela3[[#This Row],[Retorno_Diário]]</f>
        <v>0</v>
      </c>
    </row>
    <row r="1014" spans="1:8" x14ac:dyDescent="0.2">
      <c r="A1014" s="11" t="s">
        <v>6790</v>
      </c>
      <c r="B1014" s="4" t="s">
        <v>6792</v>
      </c>
      <c r="C1014" s="5">
        <f t="shared" si="19"/>
        <v>5.6152926702499606E-3</v>
      </c>
      <c r="D1014" s="5"/>
      <c r="E1014" s="5"/>
      <c r="F1014" s="5">
        <f>IF(Tabela3[[#This Row],[Retorno_Diário]]&gt;0,1,-1)</f>
        <v>1</v>
      </c>
      <c r="G1014" s="5">
        <f>Tabela3[[#This Row],[Sinal_TSMOM]]*(0.4*Tabela3[[#This Row],[Volatilidade]])</f>
        <v>0</v>
      </c>
      <c r="H1014" s="5">
        <f>Tabela3[[#This Row],[Position_Size]]*Tabela3[[#This Row],[Retorno_Diário]]</f>
        <v>0</v>
      </c>
    </row>
    <row r="1015" spans="1:8" x14ac:dyDescent="0.2">
      <c r="A1015" s="11" t="s">
        <v>6797</v>
      </c>
      <c r="B1015" s="4" t="s">
        <v>6799</v>
      </c>
      <c r="C1015" s="5">
        <f t="shared" si="19"/>
        <v>1.5218971631393519E-2</v>
      </c>
      <c r="D1015" s="5"/>
      <c r="E1015" s="5"/>
      <c r="F1015" s="5">
        <f>IF(Tabela3[[#This Row],[Retorno_Diário]]&gt;0,1,-1)</f>
        <v>1</v>
      </c>
      <c r="G1015" s="5">
        <f>Tabela3[[#This Row],[Sinal_TSMOM]]*(0.4*Tabela3[[#This Row],[Volatilidade]])</f>
        <v>0</v>
      </c>
      <c r="H1015" s="5">
        <f>Tabela3[[#This Row],[Position_Size]]*Tabela3[[#This Row],[Retorno_Diário]]</f>
        <v>0</v>
      </c>
    </row>
    <row r="1016" spans="1:8" x14ac:dyDescent="0.2">
      <c r="A1016" s="11" t="s">
        <v>6804</v>
      </c>
      <c r="B1016" s="4" t="s">
        <v>6806</v>
      </c>
      <c r="C1016" s="5">
        <f t="shared" si="19"/>
        <v>6.5428017969408891E-3</v>
      </c>
      <c r="D1016" s="5"/>
      <c r="E1016" s="5"/>
      <c r="F1016" s="5">
        <f>IF(Tabela3[[#This Row],[Retorno_Diário]]&gt;0,1,-1)</f>
        <v>1</v>
      </c>
      <c r="G1016" s="5">
        <f>Tabela3[[#This Row],[Sinal_TSMOM]]*(0.4*Tabela3[[#This Row],[Volatilidade]])</f>
        <v>0</v>
      </c>
      <c r="H1016" s="5">
        <f>Tabela3[[#This Row],[Position_Size]]*Tabela3[[#This Row],[Retorno_Diário]]</f>
        <v>0</v>
      </c>
    </row>
    <row r="1017" spans="1:8" x14ac:dyDescent="0.2">
      <c r="A1017" s="11" t="s">
        <v>6811</v>
      </c>
      <c r="B1017" s="4" t="s">
        <v>6813</v>
      </c>
      <c r="C1017" s="5">
        <f t="shared" si="19"/>
        <v>-5.0858950621070154E-2</v>
      </c>
      <c r="D1017" s="5"/>
      <c r="E1017" s="5"/>
      <c r="F1017" s="5">
        <f>IF(Tabela3[[#This Row],[Retorno_Diário]]&gt;0,1,-1)</f>
        <v>-1</v>
      </c>
      <c r="G1017" s="5">
        <f>Tabela3[[#This Row],[Sinal_TSMOM]]*(0.4*Tabela3[[#This Row],[Volatilidade]])</f>
        <v>0</v>
      </c>
      <c r="H1017" s="5">
        <f>Tabela3[[#This Row],[Position_Size]]*Tabela3[[#This Row],[Retorno_Diário]]</f>
        <v>0</v>
      </c>
    </row>
    <row r="1018" spans="1:8" x14ac:dyDescent="0.2">
      <c r="A1018" s="11" t="s">
        <v>6818</v>
      </c>
      <c r="B1018" s="4" t="s">
        <v>6820</v>
      </c>
      <c r="C1018" s="5">
        <f t="shared" si="19"/>
        <v>1.38099214280063E-2</v>
      </c>
      <c r="D1018" s="5"/>
      <c r="E1018" s="5"/>
      <c r="F1018" s="5">
        <f>IF(Tabela3[[#This Row],[Retorno_Diário]]&gt;0,1,-1)</f>
        <v>1</v>
      </c>
      <c r="G1018" s="5">
        <f>Tabela3[[#This Row],[Sinal_TSMOM]]*(0.4*Tabela3[[#This Row],[Volatilidade]])</f>
        <v>0</v>
      </c>
      <c r="H1018" s="5">
        <f>Tabela3[[#This Row],[Position_Size]]*Tabela3[[#This Row],[Retorno_Diário]]</f>
        <v>0</v>
      </c>
    </row>
    <row r="1019" spans="1:8" x14ac:dyDescent="0.2">
      <c r="A1019" s="11" t="s">
        <v>6825</v>
      </c>
      <c r="B1019" s="4" t="s">
        <v>6827</v>
      </c>
      <c r="C1019" s="5">
        <f t="shared" si="19"/>
        <v>-3.8564307745069137E-2</v>
      </c>
      <c r="D1019" s="5"/>
      <c r="E1019" s="5"/>
      <c r="F1019" s="5">
        <f>IF(Tabela3[[#This Row],[Retorno_Diário]]&gt;0,1,-1)</f>
        <v>-1</v>
      </c>
      <c r="G1019" s="5">
        <f>Tabela3[[#This Row],[Sinal_TSMOM]]*(0.4*Tabela3[[#This Row],[Volatilidade]])</f>
        <v>0</v>
      </c>
      <c r="H1019" s="5">
        <f>Tabela3[[#This Row],[Position_Size]]*Tabela3[[#This Row],[Retorno_Diário]]</f>
        <v>0</v>
      </c>
    </row>
    <row r="1020" spans="1:8" x14ac:dyDescent="0.2">
      <c r="A1020" s="11" t="s">
        <v>6832</v>
      </c>
      <c r="B1020" s="4" t="s">
        <v>6834</v>
      </c>
      <c r="C1020" s="5">
        <f t="shared" si="19"/>
        <v>-3.2274271182663461E-2</v>
      </c>
      <c r="D1020" s="5"/>
      <c r="E1020" s="5"/>
      <c r="F1020" s="5">
        <f>IF(Tabela3[[#This Row],[Retorno_Diário]]&gt;0,1,-1)</f>
        <v>-1</v>
      </c>
      <c r="G1020" s="5">
        <f>Tabela3[[#This Row],[Sinal_TSMOM]]*(0.4*Tabela3[[#This Row],[Volatilidade]])</f>
        <v>0</v>
      </c>
      <c r="H1020" s="5">
        <f>Tabela3[[#This Row],[Position_Size]]*Tabela3[[#This Row],[Retorno_Diário]]</f>
        <v>0</v>
      </c>
    </row>
    <row r="1021" spans="1:8" x14ac:dyDescent="0.2">
      <c r="A1021" s="11" t="s">
        <v>6839</v>
      </c>
      <c r="B1021" s="4" t="s">
        <v>6841</v>
      </c>
      <c r="C1021" s="5">
        <f t="shared" si="19"/>
        <v>-3.6581953865554961E-2</v>
      </c>
      <c r="D1021" s="5"/>
      <c r="E1021" s="5"/>
      <c r="F1021" s="5">
        <f>IF(Tabela3[[#This Row],[Retorno_Diário]]&gt;0,1,-1)</f>
        <v>-1</v>
      </c>
      <c r="G1021" s="5">
        <f>Tabela3[[#This Row],[Sinal_TSMOM]]*(0.4*Tabela3[[#This Row],[Volatilidade]])</f>
        <v>0</v>
      </c>
      <c r="H1021" s="5">
        <f>Tabela3[[#This Row],[Position_Size]]*Tabela3[[#This Row],[Retorno_Diário]]</f>
        <v>0</v>
      </c>
    </row>
    <row r="1022" spans="1:8" x14ac:dyDescent="0.2">
      <c r="A1022" s="11" t="s">
        <v>6846</v>
      </c>
      <c r="B1022" s="4" t="s">
        <v>6848</v>
      </c>
      <c r="C1022" s="5">
        <f t="shared" si="19"/>
        <v>-3.2132467141671506E-2</v>
      </c>
      <c r="D1022" s="5"/>
      <c r="E1022" s="5"/>
      <c r="F1022" s="5">
        <f>IF(Tabela3[[#This Row],[Retorno_Diário]]&gt;0,1,-1)</f>
        <v>-1</v>
      </c>
      <c r="G1022" s="5">
        <f>Tabela3[[#This Row],[Sinal_TSMOM]]*(0.4*Tabela3[[#This Row],[Volatilidade]])</f>
        <v>0</v>
      </c>
      <c r="H1022" s="5">
        <f>Tabela3[[#This Row],[Position_Size]]*Tabela3[[#This Row],[Retorno_Diário]]</f>
        <v>0</v>
      </c>
    </row>
    <row r="1023" spans="1:8" x14ac:dyDescent="0.2">
      <c r="A1023" s="11" t="s">
        <v>6853</v>
      </c>
      <c r="B1023" s="4" t="s">
        <v>6855</v>
      </c>
      <c r="C1023" s="5">
        <f t="shared" si="19"/>
        <v>-8.5599754807819117E-5</v>
      </c>
      <c r="D1023" s="5"/>
      <c r="E1023" s="5"/>
      <c r="F1023" s="5">
        <f>IF(Tabela3[[#This Row],[Retorno_Diário]]&gt;0,1,-1)</f>
        <v>-1</v>
      </c>
      <c r="G1023" s="5">
        <f>Tabela3[[#This Row],[Sinal_TSMOM]]*(0.4*Tabela3[[#This Row],[Volatilidade]])</f>
        <v>0</v>
      </c>
      <c r="H1023" s="5">
        <f>Tabela3[[#This Row],[Position_Size]]*Tabela3[[#This Row],[Retorno_Diário]]</f>
        <v>0</v>
      </c>
    </row>
    <row r="1024" spans="1:8" x14ac:dyDescent="0.2">
      <c r="A1024" s="11" t="s">
        <v>6860</v>
      </c>
      <c r="B1024" s="4" t="s">
        <v>6862</v>
      </c>
      <c r="C1024" s="5">
        <f t="shared" si="19"/>
        <v>-4.483999432332586E-2</v>
      </c>
      <c r="D1024" s="5"/>
      <c r="E1024" s="5"/>
      <c r="F1024" s="5">
        <f>IF(Tabela3[[#This Row],[Retorno_Diário]]&gt;0,1,-1)</f>
        <v>-1</v>
      </c>
      <c r="G1024" s="5">
        <f>Tabela3[[#This Row],[Sinal_TSMOM]]*(0.4*Tabela3[[#This Row],[Volatilidade]])</f>
        <v>0</v>
      </c>
      <c r="H1024" s="5">
        <f>Tabela3[[#This Row],[Position_Size]]*Tabela3[[#This Row],[Retorno_Diário]]</f>
        <v>0</v>
      </c>
    </row>
    <row r="1025" spans="1:8" x14ac:dyDescent="0.2">
      <c r="A1025" s="11" t="s">
        <v>6867</v>
      </c>
      <c r="B1025" s="4" t="s">
        <v>6869</v>
      </c>
      <c r="C1025" s="5">
        <f t="shared" si="19"/>
        <v>2.0068086640654403E-2</v>
      </c>
      <c r="D1025" s="5"/>
      <c r="E1025" s="5"/>
      <c r="F1025" s="5">
        <f>IF(Tabela3[[#This Row],[Retorno_Diário]]&gt;0,1,-1)</f>
        <v>1</v>
      </c>
      <c r="G1025" s="5">
        <f>Tabela3[[#This Row],[Sinal_TSMOM]]*(0.4*Tabela3[[#This Row],[Volatilidade]])</f>
        <v>0</v>
      </c>
      <c r="H1025" s="5">
        <f>Tabela3[[#This Row],[Position_Size]]*Tabela3[[#This Row],[Retorno_Diário]]</f>
        <v>0</v>
      </c>
    </row>
    <row r="1026" spans="1:8" x14ac:dyDescent="0.2">
      <c r="A1026" s="11" t="s">
        <v>6873</v>
      </c>
      <c r="B1026" s="4" t="s">
        <v>6875</v>
      </c>
      <c r="C1026" s="5">
        <f t="shared" si="19"/>
        <v>-3.6360404808205793E-2</v>
      </c>
      <c r="D1026" s="5"/>
      <c r="E1026" s="5"/>
      <c r="F1026" s="5">
        <f>IF(Tabela3[[#This Row],[Retorno_Diário]]&gt;0,1,-1)</f>
        <v>-1</v>
      </c>
      <c r="G1026" s="5">
        <f>Tabela3[[#This Row],[Sinal_TSMOM]]*(0.4*Tabela3[[#This Row],[Volatilidade]])</f>
        <v>0</v>
      </c>
      <c r="H1026" s="5">
        <f>Tabela3[[#This Row],[Position_Size]]*Tabela3[[#This Row],[Retorno_Diário]]</f>
        <v>0</v>
      </c>
    </row>
    <row r="1027" spans="1:8" x14ac:dyDescent="0.2">
      <c r="A1027" s="11" t="s">
        <v>6880</v>
      </c>
      <c r="B1027" s="4" t="s">
        <v>6882</v>
      </c>
      <c r="C1027" s="5">
        <f t="shared" ref="C1027:C1090" si="20">B1027/B1026-1</f>
        <v>4.0831202081600626E-2</v>
      </c>
      <c r="D1027" s="5"/>
      <c r="E1027" s="5"/>
      <c r="F1027" s="5">
        <f>IF(Tabela3[[#This Row],[Retorno_Diário]]&gt;0,1,-1)</f>
        <v>1</v>
      </c>
      <c r="G1027" s="5">
        <f>Tabela3[[#This Row],[Sinal_TSMOM]]*(0.4*Tabela3[[#This Row],[Volatilidade]])</f>
        <v>0</v>
      </c>
      <c r="H1027" s="5">
        <f>Tabela3[[#This Row],[Position_Size]]*Tabela3[[#This Row],[Retorno_Diário]]</f>
        <v>0</v>
      </c>
    </row>
    <row r="1028" spans="1:8" x14ac:dyDescent="0.2">
      <c r="A1028" s="11" t="s">
        <v>6887</v>
      </c>
      <c r="B1028" s="4" t="s">
        <v>6889</v>
      </c>
      <c r="C1028" s="5">
        <f t="shared" si="20"/>
        <v>7.2066545422540429E-2</v>
      </c>
      <c r="D1028" s="5"/>
      <c r="E1028" s="5"/>
      <c r="F1028" s="5">
        <f>IF(Tabela3[[#This Row],[Retorno_Diário]]&gt;0,1,-1)</f>
        <v>1</v>
      </c>
      <c r="G1028" s="5">
        <f>Tabela3[[#This Row],[Sinal_TSMOM]]*(0.4*Tabela3[[#This Row],[Volatilidade]])</f>
        <v>0</v>
      </c>
      <c r="H1028" s="5">
        <f>Tabela3[[#This Row],[Position_Size]]*Tabela3[[#This Row],[Retorno_Diário]]</f>
        <v>0</v>
      </c>
    </row>
    <row r="1029" spans="1:8" x14ac:dyDescent="0.2">
      <c r="A1029" s="11" t="s">
        <v>6894</v>
      </c>
      <c r="B1029" s="4" t="s">
        <v>6896</v>
      </c>
      <c r="C1029" s="5">
        <f t="shared" si="20"/>
        <v>6.2076462822517886E-3</v>
      </c>
      <c r="D1029" s="5"/>
      <c r="E1029" s="5"/>
      <c r="F1029" s="5">
        <f>IF(Tabela3[[#This Row],[Retorno_Diário]]&gt;0,1,-1)</f>
        <v>1</v>
      </c>
      <c r="G1029" s="5">
        <f>Tabela3[[#This Row],[Sinal_TSMOM]]*(0.4*Tabela3[[#This Row],[Volatilidade]])</f>
        <v>0</v>
      </c>
      <c r="H1029" s="5">
        <f>Tabela3[[#This Row],[Position_Size]]*Tabela3[[#This Row],[Retorno_Diário]]</f>
        <v>0</v>
      </c>
    </row>
    <row r="1030" spans="1:8" x14ac:dyDescent="0.2">
      <c r="A1030" s="11" t="s">
        <v>6901</v>
      </c>
      <c r="B1030" s="4" t="s">
        <v>6903</v>
      </c>
      <c r="C1030" s="5">
        <f t="shared" si="20"/>
        <v>2.4514980095076577E-2</v>
      </c>
      <c r="D1030" s="5"/>
      <c r="E1030" s="5"/>
      <c r="F1030" s="5">
        <f>IF(Tabela3[[#This Row],[Retorno_Diário]]&gt;0,1,-1)</f>
        <v>1</v>
      </c>
      <c r="G1030" s="5">
        <f>Tabela3[[#This Row],[Sinal_TSMOM]]*(0.4*Tabela3[[#This Row],[Volatilidade]])</f>
        <v>0</v>
      </c>
      <c r="H1030" s="5">
        <f>Tabela3[[#This Row],[Position_Size]]*Tabela3[[#This Row],[Retorno_Diário]]</f>
        <v>0</v>
      </c>
    </row>
    <row r="1031" spans="1:8" x14ac:dyDescent="0.2">
      <c r="A1031" s="11" t="s">
        <v>6908</v>
      </c>
      <c r="B1031" s="4" t="s">
        <v>6910</v>
      </c>
      <c r="C1031" s="5">
        <f t="shared" si="20"/>
        <v>-5.1263790344894034E-2</v>
      </c>
      <c r="D1031" s="5"/>
      <c r="E1031" s="5"/>
      <c r="F1031" s="5">
        <f>IF(Tabela3[[#This Row],[Retorno_Diário]]&gt;0,1,-1)</f>
        <v>-1</v>
      </c>
      <c r="G1031" s="5">
        <f>Tabela3[[#This Row],[Sinal_TSMOM]]*(0.4*Tabela3[[#This Row],[Volatilidade]])</f>
        <v>0</v>
      </c>
      <c r="H1031" s="5">
        <f>Tabela3[[#This Row],[Position_Size]]*Tabela3[[#This Row],[Retorno_Diário]]</f>
        <v>0</v>
      </c>
    </row>
    <row r="1032" spans="1:8" x14ac:dyDescent="0.2">
      <c r="A1032" s="11" t="s">
        <v>6915</v>
      </c>
      <c r="B1032" s="4" t="s">
        <v>6917</v>
      </c>
      <c r="C1032" s="5">
        <f t="shared" si="20"/>
        <v>1.5491911250466117E-2</v>
      </c>
      <c r="D1032" s="5"/>
      <c r="E1032" s="5"/>
      <c r="F1032" s="5">
        <f>IF(Tabela3[[#This Row],[Retorno_Diário]]&gt;0,1,-1)</f>
        <v>1</v>
      </c>
      <c r="G1032" s="5">
        <f>Tabela3[[#This Row],[Sinal_TSMOM]]*(0.4*Tabela3[[#This Row],[Volatilidade]])</f>
        <v>0</v>
      </c>
      <c r="H1032" s="5">
        <f>Tabela3[[#This Row],[Position_Size]]*Tabela3[[#This Row],[Retorno_Diário]]</f>
        <v>0</v>
      </c>
    </row>
    <row r="1033" spans="1:8" x14ac:dyDescent="0.2">
      <c r="A1033" s="11" t="s">
        <v>6922</v>
      </c>
      <c r="B1033" s="4" t="s">
        <v>6924</v>
      </c>
      <c r="C1033" s="5">
        <f t="shared" si="20"/>
        <v>1.681814188998354E-2</v>
      </c>
      <c r="D1033" s="5"/>
      <c r="E1033" s="5"/>
      <c r="F1033" s="5">
        <f>IF(Tabela3[[#This Row],[Retorno_Diário]]&gt;0,1,-1)</f>
        <v>1</v>
      </c>
      <c r="G1033" s="5">
        <f>Tabela3[[#This Row],[Sinal_TSMOM]]*(0.4*Tabela3[[#This Row],[Volatilidade]])</f>
        <v>0</v>
      </c>
      <c r="H1033" s="5">
        <f>Tabela3[[#This Row],[Position_Size]]*Tabela3[[#This Row],[Retorno_Diário]]</f>
        <v>0</v>
      </c>
    </row>
    <row r="1034" spans="1:8" x14ac:dyDescent="0.2">
      <c r="A1034" s="11" t="s">
        <v>6929</v>
      </c>
      <c r="B1034" s="4" t="s">
        <v>6931</v>
      </c>
      <c r="C1034" s="5">
        <f t="shared" si="20"/>
        <v>1.5367160745642927E-2</v>
      </c>
      <c r="D1034" s="5"/>
      <c r="E1034" s="5"/>
      <c r="F1034" s="5">
        <f>IF(Tabela3[[#This Row],[Retorno_Diário]]&gt;0,1,-1)</f>
        <v>1</v>
      </c>
      <c r="G1034" s="5">
        <f>Tabela3[[#This Row],[Sinal_TSMOM]]*(0.4*Tabela3[[#This Row],[Volatilidade]])</f>
        <v>0</v>
      </c>
      <c r="H1034" s="5">
        <f>Tabela3[[#This Row],[Position_Size]]*Tabela3[[#This Row],[Retorno_Diário]]</f>
        <v>0</v>
      </c>
    </row>
    <row r="1035" spans="1:8" x14ac:dyDescent="0.2">
      <c r="A1035" s="11" t="s">
        <v>6936</v>
      </c>
      <c r="B1035" s="4" t="s">
        <v>6938</v>
      </c>
      <c r="C1035" s="5">
        <f t="shared" si="20"/>
        <v>6.3605230790477529E-2</v>
      </c>
      <c r="D1035" s="5"/>
      <c r="E1035" s="5"/>
      <c r="F1035" s="5">
        <f>IF(Tabela3[[#This Row],[Retorno_Diário]]&gt;0,1,-1)</f>
        <v>1</v>
      </c>
      <c r="G1035" s="5">
        <f>Tabela3[[#This Row],[Sinal_TSMOM]]*(0.4*Tabela3[[#This Row],[Volatilidade]])</f>
        <v>0</v>
      </c>
      <c r="H1035" s="5">
        <f>Tabela3[[#This Row],[Position_Size]]*Tabela3[[#This Row],[Retorno_Diário]]</f>
        <v>0</v>
      </c>
    </row>
    <row r="1036" spans="1:8" x14ac:dyDescent="0.2">
      <c r="A1036" s="11" t="s">
        <v>6943</v>
      </c>
      <c r="B1036" s="4" t="s">
        <v>6945</v>
      </c>
      <c r="C1036" s="5">
        <f t="shared" si="20"/>
        <v>-3.2990096285929416E-2</v>
      </c>
      <c r="D1036" s="5"/>
      <c r="E1036" s="5"/>
      <c r="F1036" s="5">
        <f>IF(Tabela3[[#This Row],[Retorno_Diário]]&gt;0,1,-1)</f>
        <v>-1</v>
      </c>
      <c r="G1036" s="5">
        <f>Tabela3[[#This Row],[Sinal_TSMOM]]*(0.4*Tabela3[[#This Row],[Volatilidade]])</f>
        <v>0</v>
      </c>
      <c r="H1036" s="5">
        <f>Tabela3[[#This Row],[Position_Size]]*Tabela3[[#This Row],[Retorno_Diário]]</f>
        <v>0</v>
      </c>
    </row>
    <row r="1037" spans="1:8" x14ac:dyDescent="0.2">
      <c r="A1037" s="11" t="s">
        <v>6950</v>
      </c>
      <c r="B1037" s="4" t="s">
        <v>6952</v>
      </c>
      <c r="C1037" s="5">
        <f t="shared" si="20"/>
        <v>-7.26068789965858E-2</v>
      </c>
      <c r="D1037" s="5"/>
      <c r="E1037" s="5"/>
      <c r="F1037" s="5">
        <f>IF(Tabela3[[#This Row],[Retorno_Diário]]&gt;0,1,-1)</f>
        <v>-1</v>
      </c>
      <c r="G1037" s="5">
        <f>Tabela3[[#This Row],[Sinal_TSMOM]]*(0.4*Tabela3[[#This Row],[Volatilidade]])</f>
        <v>0</v>
      </c>
      <c r="H1037" s="5">
        <f>Tabela3[[#This Row],[Position_Size]]*Tabela3[[#This Row],[Retorno_Diário]]</f>
        <v>0</v>
      </c>
    </row>
    <row r="1038" spans="1:8" x14ac:dyDescent="0.2">
      <c r="A1038" s="11" t="s">
        <v>6957</v>
      </c>
      <c r="B1038" s="4" t="s">
        <v>6959</v>
      </c>
      <c r="C1038" s="5">
        <f t="shared" si="20"/>
        <v>1.3278249670499287E-2</v>
      </c>
      <c r="D1038" s="5"/>
      <c r="E1038" s="5"/>
      <c r="F1038" s="5">
        <f>IF(Tabela3[[#This Row],[Retorno_Diário]]&gt;0,1,-1)</f>
        <v>1</v>
      </c>
      <c r="G1038" s="5">
        <f>Tabela3[[#This Row],[Sinal_TSMOM]]*(0.4*Tabela3[[#This Row],[Volatilidade]])</f>
        <v>0</v>
      </c>
      <c r="H1038" s="5">
        <f>Tabela3[[#This Row],[Position_Size]]*Tabela3[[#This Row],[Retorno_Diário]]</f>
        <v>0</v>
      </c>
    </row>
    <row r="1039" spans="1:8" x14ac:dyDescent="0.2">
      <c r="A1039" s="11" t="s">
        <v>6964</v>
      </c>
      <c r="B1039" s="4" t="s">
        <v>6966</v>
      </c>
      <c r="C1039" s="5">
        <f t="shared" si="20"/>
        <v>9.1811951318951479E-2</v>
      </c>
      <c r="D1039" s="5"/>
      <c r="E1039" s="5"/>
      <c r="F1039" s="5">
        <f>IF(Tabela3[[#This Row],[Retorno_Diário]]&gt;0,1,-1)</f>
        <v>1</v>
      </c>
      <c r="G1039" s="5">
        <f>Tabela3[[#This Row],[Sinal_TSMOM]]*(0.4*Tabela3[[#This Row],[Volatilidade]])</f>
        <v>0</v>
      </c>
      <c r="H1039" s="5">
        <f>Tabela3[[#This Row],[Position_Size]]*Tabela3[[#This Row],[Retorno_Diário]]</f>
        <v>0</v>
      </c>
    </row>
    <row r="1040" spans="1:8" x14ac:dyDescent="0.2">
      <c r="A1040" s="11" t="s">
        <v>6971</v>
      </c>
      <c r="B1040" s="4" t="s">
        <v>6973</v>
      </c>
      <c r="C1040" s="5">
        <f t="shared" si="20"/>
        <v>6.0384373750665965E-4</v>
      </c>
      <c r="D1040" s="5"/>
      <c r="E1040" s="5"/>
      <c r="F1040" s="5">
        <f>IF(Tabela3[[#This Row],[Retorno_Diário]]&gt;0,1,-1)</f>
        <v>1</v>
      </c>
      <c r="G1040" s="5">
        <f>Tabela3[[#This Row],[Sinal_TSMOM]]*(0.4*Tabela3[[#This Row],[Volatilidade]])</f>
        <v>0</v>
      </c>
      <c r="H1040" s="5">
        <f>Tabela3[[#This Row],[Position_Size]]*Tabela3[[#This Row],[Retorno_Diário]]</f>
        <v>0</v>
      </c>
    </row>
    <row r="1041" spans="1:8" x14ac:dyDescent="0.2">
      <c r="A1041" s="11" t="s">
        <v>6978</v>
      </c>
      <c r="B1041" s="4" t="s">
        <v>6980</v>
      </c>
      <c r="C1041" s="5">
        <f t="shared" si="20"/>
        <v>-7.5591253981556861E-2</v>
      </c>
      <c r="D1041" s="5"/>
      <c r="E1041" s="5"/>
      <c r="F1041" s="5">
        <f>IF(Tabela3[[#This Row],[Retorno_Diário]]&gt;0,1,-1)</f>
        <v>-1</v>
      </c>
      <c r="G1041" s="5">
        <f>Tabela3[[#This Row],[Sinal_TSMOM]]*(0.4*Tabela3[[#This Row],[Volatilidade]])</f>
        <v>0</v>
      </c>
      <c r="H1041" s="5">
        <f>Tabela3[[#This Row],[Position_Size]]*Tabela3[[#This Row],[Retorno_Diário]]</f>
        <v>0</v>
      </c>
    </row>
    <row r="1042" spans="1:8" x14ac:dyDescent="0.2">
      <c r="A1042" s="11" t="s">
        <v>6985</v>
      </c>
      <c r="B1042" s="4" t="s">
        <v>6987</v>
      </c>
      <c r="C1042" s="5">
        <f t="shared" si="20"/>
        <v>-3.5296028571238813E-2</v>
      </c>
      <c r="D1042" s="5"/>
      <c r="E1042" s="5"/>
      <c r="F1042" s="5">
        <f>IF(Tabela3[[#This Row],[Retorno_Diário]]&gt;0,1,-1)</f>
        <v>-1</v>
      </c>
      <c r="G1042" s="5">
        <f>Tabela3[[#This Row],[Sinal_TSMOM]]*(0.4*Tabela3[[#This Row],[Volatilidade]])</f>
        <v>0</v>
      </c>
      <c r="H1042" s="5">
        <f>Tabela3[[#This Row],[Position_Size]]*Tabela3[[#This Row],[Retorno_Diário]]</f>
        <v>0</v>
      </c>
    </row>
    <row r="1043" spans="1:8" x14ac:dyDescent="0.2">
      <c r="A1043" s="11" t="s">
        <v>6992</v>
      </c>
      <c r="B1043" s="4" t="s">
        <v>6994</v>
      </c>
      <c r="C1043" s="5">
        <f t="shared" si="20"/>
        <v>-1.0659030818096271E-2</v>
      </c>
      <c r="D1043" s="5"/>
      <c r="E1043" s="5"/>
      <c r="F1043" s="5">
        <f>IF(Tabela3[[#This Row],[Retorno_Diário]]&gt;0,1,-1)</f>
        <v>-1</v>
      </c>
      <c r="G1043" s="5">
        <f>Tabela3[[#This Row],[Sinal_TSMOM]]*(0.4*Tabela3[[#This Row],[Volatilidade]])</f>
        <v>0</v>
      </c>
      <c r="H1043" s="5">
        <f>Tabela3[[#This Row],[Position_Size]]*Tabela3[[#This Row],[Retorno_Diário]]</f>
        <v>0</v>
      </c>
    </row>
    <row r="1044" spans="1:8" x14ac:dyDescent="0.2">
      <c r="A1044" s="11" t="s">
        <v>6999</v>
      </c>
      <c r="B1044" s="4" t="s">
        <v>7001</v>
      </c>
      <c r="C1044" s="5">
        <f t="shared" si="20"/>
        <v>-4.2881585531092115E-2</v>
      </c>
      <c r="D1044" s="5"/>
      <c r="E1044" s="5"/>
      <c r="F1044" s="5">
        <f>IF(Tabela3[[#This Row],[Retorno_Diário]]&gt;0,1,-1)</f>
        <v>-1</v>
      </c>
      <c r="G1044" s="5">
        <f>Tabela3[[#This Row],[Sinal_TSMOM]]*(0.4*Tabela3[[#This Row],[Volatilidade]])</f>
        <v>0</v>
      </c>
      <c r="H1044" s="5">
        <f>Tabela3[[#This Row],[Position_Size]]*Tabela3[[#This Row],[Retorno_Diário]]</f>
        <v>0</v>
      </c>
    </row>
    <row r="1045" spans="1:8" x14ac:dyDescent="0.2">
      <c r="A1045" s="11" t="s">
        <v>7006</v>
      </c>
      <c r="B1045" s="4" t="s">
        <v>7008</v>
      </c>
      <c r="C1045" s="5">
        <f t="shared" si="20"/>
        <v>6.0794216014246283E-2</v>
      </c>
      <c r="D1045" s="5"/>
      <c r="E1045" s="5"/>
      <c r="F1045" s="5">
        <f>IF(Tabela3[[#This Row],[Retorno_Diário]]&gt;0,1,-1)</f>
        <v>1</v>
      </c>
      <c r="G1045" s="5">
        <f>Tabela3[[#This Row],[Sinal_TSMOM]]*(0.4*Tabela3[[#This Row],[Volatilidade]])</f>
        <v>0</v>
      </c>
      <c r="H1045" s="5">
        <f>Tabela3[[#This Row],[Position_Size]]*Tabela3[[#This Row],[Retorno_Diário]]</f>
        <v>0</v>
      </c>
    </row>
    <row r="1046" spans="1:8" x14ac:dyDescent="0.2">
      <c r="A1046" s="11" t="s">
        <v>7013</v>
      </c>
      <c r="B1046" s="4" t="s">
        <v>7015</v>
      </c>
      <c r="C1046" s="5">
        <f t="shared" si="20"/>
        <v>1.7222520239878136E-2</v>
      </c>
      <c r="D1046" s="5"/>
      <c r="E1046" s="5"/>
      <c r="F1046" s="5">
        <f>IF(Tabela3[[#This Row],[Retorno_Diário]]&gt;0,1,-1)</f>
        <v>1</v>
      </c>
      <c r="G1046" s="5">
        <f>Tabela3[[#This Row],[Sinal_TSMOM]]*(0.4*Tabela3[[#This Row],[Volatilidade]])</f>
        <v>0</v>
      </c>
      <c r="H1046" s="5">
        <f>Tabela3[[#This Row],[Position_Size]]*Tabela3[[#This Row],[Retorno_Diário]]</f>
        <v>0</v>
      </c>
    </row>
    <row r="1047" spans="1:8" x14ac:dyDescent="0.2">
      <c r="A1047" s="11" t="s">
        <v>7020</v>
      </c>
      <c r="B1047" s="4" t="s">
        <v>7022</v>
      </c>
      <c r="C1047" s="5">
        <f t="shared" si="20"/>
        <v>9.4382847521485846E-3</v>
      </c>
      <c r="D1047" s="5"/>
      <c r="E1047" s="5"/>
      <c r="F1047" s="5">
        <f>IF(Tabela3[[#This Row],[Retorno_Diário]]&gt;0,1,-1)</f>
        <v>1</v>
      </c>
      <c r="G1047" s="5">
        <f>Tabela3[[#This Row],[Sinal_TSMOM]]*(0.4*Tabela3[[#This Row],[Volatilidade]])</f>
        <v>0</v>
      </c>
      <c r="H1047" s="5">
        <f>Tabela3[[#This Row],[Position_Size]]*Tabela3[[#This Row],[Retorno_Diário]]</f>
        <v>0</v>
      </c>
    </row>
    <row r="1048" spans="1:8" x14ac:dyDescent="0.2">
      <c r="A1048" s="11" t="s">
        <v>7027</v>
      </c>
      <c r="B1048" s="4" t="s">
        <v>7029</v>
      </c>
      <c r="C1048" s="5">
        <f t="shared" si="20"/>
        <v>-3.7236044187912598E-2</v>
      </c>
      <c r="D1048" s="5"/>
      <c r="E1048" s="5"/>
      <c r="F1048" s="5">
        <f>IF(Tabela3[[#This Row],[Retorno_Diário]]&gt;0,1,-1)</f>
        <v>-1</v>
      </c>
      <c r="G1048" s="5">
        <f>Tabela3[[#This Row],[Sinal_TSMOM]]*(0.4*Tabela3[[#This Row],[Volatilidade]])</f>
        <v>0</v>
      </c>
      <c r="H1048" s="5">
        <f>Tabela3[[#This Row],[Position_Size]]*Tabela3[[#This Row],[Retorno_Diário]]</f>
        <v>0</v>
      </c>
    </row>
    <row r="1049" spans="1:8" x14ac:dyDescent="0.2">
      <c r="A1049" s="11" t="s">
        <v>7034</v>
      </c>
      <c r="B1049" s="4" t="s">
        <v>7036</v>
      </c>
      <c r="C1049" s="5">
        <f t="shared" si="20"/>
        <v>3.1647998177547265E-2</v>
      </c>
      <c r="D1049" s="5"/>
      <c r="E1049" s="5"/>
      <c r="F1049" s="5">
        <f>IF(Tabela3[[#This Row],[Retorno_Diário]]&gt;0,1,-1)</f>
        <v>1</v>
      </c>
      <c r="G1049" s="5">
        <f>Tabela3[[#This Row],[Sinal_TSMOM]]*(0.4*Tabela3[[#This Row],[Volatilidade]])</f>
        <v>0</v>
      </c>
      <c r="H1049" s="5">
        <f>Tabela3[[#This Row],[Position_Size]]*Tabela3[[#This Row],[Retorno_Diário]]</f>
        <v>0</v>
      </c>
    </row>
    <row r="1050" spans="1:8" x14ac:dyDescent="0.2">
      <c r="A1050" s="11" t="s">
        <v>7041</v>
      </c>
      <c r="B1050" s="4" t="s">
        <v>7043</v>
      </c>
      <c r="C1050" s="5">
        <f t="shared" si="20"/>
        <v>-2.0891768199646554E-2</v>
      </c>
      <c r="D1050" s="5"/>
      <c r="E1050" s="5"/>
      <c r="F1050" s="5">
        <f>IF(Tabela3[[#This Row],[Retorno_Diário]]&gt;0,1,-1)</f>
        <v>-1</v>
      </c>
      <c r="G1050" s="5">
        <f>Tabela3[[#This Row],[Sinal_TSMOM]]*(0.4*Tabela3[[#This Row],[Volatilidade]])</f>
        <v>0</v>
      </c>
      <c r="H1050" s="5">
        <f>Tabela3[[#This Row],[Position_Size]]*Tabela3[[#This Row],[Retorno_Diário]]</f>
        <v>0</v>
      </c>
    </row>
    <row r="1051" spans="1:8" x14ac:dyDescent="0.2">
      <c r="A1051" s="11" t="s">
        <v>7048</v>
      </c>
      <c r="B1051" s="4" t="s">
        <v>7050</v>
      </c>
      <c r="C1051" s="5">
        <f t="shared" si="20"/>
        <v>-3.2807618069570554E-2</v>
      </c>
      <c r="D1051" s="5"/>
      <c r="E1051" s="5"/>
      <c r="F1051" s="5">
        <f>IF(Tabela3[[#This Row],[Retorno_Diário]]&gt;0,1,-1)</f>
        <v>-1</v>
      </c>
      <c r="G1051" s="5">
        <f>Tabela3[[#This Row],[Sinal_TSMOM]]*(0.4*Tabela3[[#This Row],[Volatilidade]])</f>
        <v>0</v>
      </c>
      <c r="H1051" s="5">
        <f>Tabela3[[#This Row],[Position_Size]]*Tabela3[[#This Row],[Retorno_Diário]]</f>
        <v>0</v>
      </c>
    </row>
    <row r="1052" spans="1:8" x14ac:dyDescent="0.2">
      <c r="A1052" s="11" t="s">
        <v>7054</v>
      </c>
      <c r="B1052" s="4" t="s">
        <v>7056</v>
      </c>
      <c r="C1052" s="5">
        <f t="shared" si="20"/>
        <v>-6.90618017192417E-2</v>
      </c>
      <c r="D1052" s="5"/>
      <c r="E1052" s="5"/>
      <c r="F1052" s="5">
        <f>IF(Tabela3[[#This Row],[Retorno_Diário]]&gt;0,1,-1)</f>
        <v>-1</v>
      </c>
      <c r="G1052" s="5">
        <f>Tabela3[[#This Row],[Sinal_TSMOM]]*(0.4*Tabela3[[#This Row],[Volatilidade]])</f>
        <v>0</v>
      </c>
      <c r="H1052" s="5">
        <f>Tabela3[[#This Row],[Position_Size]]*Tabela3[[#This Row],[Retorno_Diário]]</f>
        <v>0</v>
      </c>
    </row>
    <row r="1053" spans="1:8" x14ac:dyDescent="0.2">
      <c r="A1053" s="11" t="s">
        <v>7061</v>
      </c>
      <c r="B1053" s="4" t="s">
        <v>7063</v>
      </c>
      <c r="C1053" s="5">
        <f t="shared" si="20"/>
        <v>7.5871422615736428E-3</v>
      </c>
      <c r="D1053" s="5"/>
      <c r="E1053" s="5"/>
      <c r="F1053" s="5">
        <f>IF(Tabela3[[#This Row],[Retorno_Diário]]&gt;0,1,-1)</f>
        <v>1</v>
      </c>
      <c r="G1053" s="5">
        <f>Tabela3[[#This Row],[Sinal_TSMOM]]*(0.4*Tabela3[[#This Row],[Volatilidade]])</f>
        <v>0</v>
      </c>
      <c r="H1053" s="5">
        <f>Tabela3[[#This Row],[Position_Size]]*Tabela3[[#This Row],[Retorno_Diário]]</f>
        <v>0</v>
      </c>
    </row>
    <row r="1054" spans="1:8" x14ac:dyDescent="0.2">
      <c r="A1054" s="11" t="s">
        <v>7068</v>
      </c>
      <c r="B1054" s="4" t="s">
        <v>7070</v>
      </c>
      <c r="C1054" s="5">
        <f t="shared" si="20"/>
        <v>6.9722041659175282E-2</v>
      </c>
      <c r="D1054" s="5"/>
      <c r="E1054" s="5"/>
      <c r="F1054" s="5">
        <f>IF(Tabela3[[#This Row],[Retorno_Diário]]&gt;0,1,-1)</f>
        <v>1</v>
      </c>
      <c r="G1054" s="5">
        <f>Tabela3[[#This Row],[Sinal_TSMOM]]*(0.4*Tabela3[[#This Row],[Volatilidade]])</f>
        <v>0</v>
      </c>
      <c r="H1054" s="5">
        <f>Tabela3[[#This Row],[Position_Size]]*Tabela3[[#This Row],[Retorno_Diário]]</f>
        <v>0</v>
      </c>
    </row>
    <row r="1055" spans="1:8" x14ac:dyDescent="0.2">
      <c r="A1055" s="11" t="s">
        <v>7074</v>
      </c>
      <c r="B1055" s="4" t="s">
        <v>7076</v>
      </c>
      <c r="C1055" s="5">
        <f t="shared" si="20"/>
        <v>-1.5468801332408133E-2</v>
      </c>
      <c r="D1055" s="5"/>
      <c r="E1055" s="5"/>
      <c r="F1055" s="5">
        <f>IF(Tabela3[[#This Row],[Retorno_Diário]]&gt;0,1,-1)</f>
        <v>-1</v>
      </c>
      <c r="G1055" s="5">
        <f>Tabela3[[#This Row],[Sinal_TSMOM]]*(0.4*Tabela3[[#This Row],[Volatilidade]])</f>
        <v>0</v>
      </c>
      <c r="H1055" s="5">
        <f>Tabela3[[#This Row],[Position_Size]]*Tabela3[[#This Row],[Retorno_Diário]]</f>
        <v>0</v>
      </c>
    </row>
    <row r="1056" spans="1:8" x14ac:dyDescent="0.2">
      <c r="A1056" s="11" t="s">
        <v>7081</v>
      </c>
      <c r="B1056" s="4" t="s">
        <v>7083</v>
      </c>
      <c r="C1056" s="5">
        <f t="shared" si="20"/>
        <v>-2.4627087177900409E-2</v>
      </c>
      <c r="D1056" s="5"/>
      <c r="E1056" s="5"/>
      <c r="F1056" s="5">
        <f>IF(Tabela3[[#This Row],[Retorno_Diário]]&gt;0,1,-1)</f>
        <v>-1</v>
      </c>
      <c r="G1056" s="5">
        <f>Tabela3[[#This Row],[Sinal_TSMOM]]*(0.4*Tabela3[[#This Row],[Volatilidade]])</f>
        <v>0</v>
      </c>
      <c r="H1056" s="5">
        <f>Tabela3[[#This Row],[Position_Size]]*Tabela3[[#This Row],[Retorno_Diário]]</f>
        <v>0</v>
      </c>
    </row>
    <row r="1057" spans="1:8" x14ac:dyDescent="0.2">
      <c r="A1057" s="11" t="s">
        <v>7088</v>
      </c>
      <c r="B1057" s="4" t="s">
        <v>7058</v>
      </c>
      <c r="C1057" s="5">
        <f t="shared" si="20"/>
        <v>-3.4841649071161385E-2</v>
      </c>
      <c r="D1057" s="5"/>
      <c r="E1057" s="5"/>
      <c r="F1057" s="5">
        <f>IF(Tabela3[[#This Row],[Retorno_Diário]]&gt;0,1,-1)</f>
        <v>-1</v>
      </c>
      <c r="G1057" s="5">
        <f>Tabela3[[#This Row],[Sinal_TSMOM]]*(0.4*Tabela3[[#This Row],[Volatilidade]])</f>
        <v>0</v>
      </c>
      <c r="H1057" s="5">
        <f>Tabela3[[#This Row],[Position_Size]]*Tabela3[[#This Row],[Retorno_Diário]]</f>
        <v>0</v>
      </c>
    </row>
    <row r="1058" spans="1:8" x14ac:dyDescent="0.2">
      <c r="A1058" s="11" t="s">
        <v>7094</v>
      </c>
      <c r="B1058" s="4" t="s">
        <v>6429</v>
      </c>
      <c r="C1058" s="5">
        <f t="shared" si="20"/>
        <v>7.7027644394029204E-2</v>
      </c>
      <c r="D1058" s="5"/>
      <c r="E1058" s="5"/>
      <c r="F1058" s="5">
        <f>IF(Tabela3[[#This Row],[Retorno_Diário]]&gt;0,1,-1)</f>
        <v>1</v>
      </c>
      <c r="G1058" s="5">
        <f>Tabela3[[#This Row],[Sinal_TSMOM]]*(0.4*Tabela3[[#This Row],[Volatilidade]])</f>
        <v>0</v>
      </c>
      <c r="H1058" s="5">
        <f>Tabela3[[#This Row],[Position_Size]]*Tabela3[[#This Row],[Retorno_Diário]]</f>
        <v>0</v>
      </c>
    </row>
    <row r="1059" spans="1:8" x14ac:dyDescent="0.2">
      <c r="A1059" s="11" t="s">
        <v>7099</v>
      </c>
      <c r="B1059" s="4" t="s">
        <v>7101</v>
      </c>
      <c r="C1059" s="5">
        <f t="shared" si="20"/>
        <v>6.6295248573864374E-2</v>
      </c>
      <c r="D1059" s="5"/>
      <c r="E1059" s="5"/>
      <c r="F1059" s="5">
        <f>IF(Tabela3[[#This Row],[Retorno_Diário]]&gt;0,1,-1)</f>
        <v>1</v>
      </c>
      <c r="G1059" s="5">
        <f>Tabela3[[#This Row],[Sinal_TSMOM]]*(0.4*Tabela3[[#This Row],[Volatilidade]])</f>
        <v>0</v>
      </c>
      <c r="H1059" s="5">
        <f>Tabela3[[#This Row],[Position_Size]]*Tabela3[[#This Row],[Retorno_Diário]]</f>
        <v>0</v>
      </c>
    </row>
    <row r="1060" spans="1:8" x14ac:dyDescent="0.2">
      <c r="A1060" s="11" t="s">
        <v>7106</v>
      </c>
      <c r="B1060" s="4" t="s">
        <v>7108</v>
      </c>
      <c r="C1060" s="5">
        <f t="shared" si="20"/>
        <v>1.1022226264213453E-2</v>
      </c>
      <c r="D1060" s="5"/>
      <c r="E1060" s="5"/>
      <c r="F1060" s="5">
        <f>IF(Tabela3[[#This Row],[Retorno_Diário]]&gt;0,1,-1)</f>
        <v>1</v>
      </c>
      <c r="G1060" s="5">
        <f>Tabela3[[#This Row],[Sinal_TSMOM]]*(0.4*Tabela3[[#This Row],[Volatilidade]])</f>
        <v>0</v>
      </c>
      <c r="H1060" s="5">
        <f>Tabela3[[#This Row],[Position_Size]]*Tabela3[[#This Row],[Retorno_Diário]]</f>
        <v>0</v>
      </c>
    </row>
    <row r="1061" spans="1:8" x14ac:dyDescent="0.2">
      <c r="A1061" s="11" t="s">
        <v>7113</v>
      </c>
      <c r="B1061" s="4" t="s">
        <v>7115</v>
      </c>
      <c r="C1061" s="5">
        <f t="shared" si="20"/>
        <v>6.8117512572860139E-2</v>
      </c>
      <c r="D1061" s="5"/>
      <c r="E1061" s="5"/>
      <c r="F1061" s="5">
        <f>IF(Tabela3[[#This Row],[Retorno_Diário]]&gt;0,1,-1)</f>
        <v>1</v>
      </c>
      <c r="G1061" s="5">
        <f>Tabela3[[#This Row],[Sinal_TSMOM]]*(0.4*Tabela3[[#This Row],[Volatilidade]])</f>
        <v>0</v>
      </c>
      <c r="H1061" s="5">
        <f>Tabela3[[#This Row],[Position_Size]]*Tabela3[[#This Row],[Retorno_Diário]]</f>
        <v>0</v>
      </c>
    </row>
    <row r="1062" spans="1:8" x14ac:dyDescent="0.2">
      <c r="A1062" s="11" t="s">
        <v>7120</v>
      </c>
      <c r="B1062" s="4" t="s">
        <v>7122</v>
      </c>
      <c r="C1062" s="5">
        <f t="shared" si="20"/>
        <v>1.062261923903618E-2</v>
      </c>
      <c r="D1062" s="5"/>
      <c r="E1062" s="5"/>
      <c r="F1062" s="5">
        <f>IF(Tabela3[[#This Row],[Retorno_Diário]]&gt;0,1,-1)</f>
        <v>1</v>
      </c>
      <c r="G1062" s="5">
        <f>Tabela3[[#This Row],[Sinal_TSMOM]]*(0.4*Tabela3[[#This Row],[Volatilidade]])</f>
        <v>0</v>
      </c>
      <c r="H1062" s="5">
        <f>Tabela3[[#This Row],[Position_Size]]*Tabela3[[#This Row],[Retorno_Diário]]</f>
        <v>0</v>
      </c>
    </row>
    <row r="1063" spans="1:8" x14ac:dyDescent="0.2">
      <c r="A1063" s="11" t="s">
        <v>7127</v>
      </c>
      <c r="B1063" s="4" t="s">
        <v>7129</v>
      </c>
      <c r="C1063" s="5">
        <f t="shared" si="20"/>
        <v>-7.8551316804753579E-3</v>
      </c>
      <c r="D1063" s="5"/>
      <c r="E1063" s="5"/>
      <c r="F1063" s="5">
        <f>IF(Tabela3[[#This Row],[Retorno_Diário]]&gt;0,1,-1)</f>
        <v>-1</v>
      </c>
      <c r="G1063" s="5">
        <f>Tabela3[[#This Row],[Sinal_TSMOM]]*(0.4*Tabela3[[#This Row],[Volatilidade]])</f>
        <v>0</v>
      </c>
      <c r="H1063" s="5">
        <f>Tabela3[[#This Row],[Position_Size]]*Tabela3[[#This Row],[Retorno_Diário]]</f>
        <v>0</v>
      </c>
    </row>
    <row r="1064" spans="1:8" x14ac:dyDescent="0.2">
      <c r="A1064" s="11" t="s">
        <v>7134</v>
      </c>
      <c r="B1064" s="4" t="s">
        <v>7136</v>
      </c>
      <c r="C1064" s="5">
        <f t="shared" si="20"/>
        <v>-3.3554493440521527E-2</v>
      </c>
      <c r="D1064" s="5"/>
      <c r="E1064" s="5"/>
      <c r="F1064" s="5">
        <f>IF(Tabela3[[#This Row],[Retorno_Diário]]&gt;0,1,-1)</f>
        <v>-1</v>
      </c>
      <c r="G1064" s="5">
        <f>Tabela3[[#This Row],[Sinal_TSMOM]]*(0.4*Tabela3[[#This Row],[Volatilidade]])</f>
        <v>0</v>
      </c>
      <c r="H1064" s="5">
        <f>Tabela3[[#This Row],[Position_Size]]*Tabela3[[#This Row],[Retorno_Diário]]</f>
        <v>0</v>
      </c>
    </row>
    <row r="1065" spans="1:8" x14ac:dyDescent="0.2">
      <c r="A1065" s="11" t="s">
        <v>7141</v>
      </c>
      <c r="B1065" s="4" t="s">
        <v>7143</v>
      </c>
      <c r="C1065" s="5">
        <f t="shared" si="20"/>
        <v>9.8150845125660746E-2</v>
      </c>
      <c r="D1065" s="5"/>
      <c r="E1065" s="5"/>
      <c r="F1065" s="5">
        <f>IF(Tabela3[[#This Row],[Retorno_Diário]]&gt;0,1,-1)</f>
        <v>1</v>
      </c>
      <c r="G1065" s="5">
        <f>Tabela3[[#This Row],[Sinal_TSMOM]]*(0.4*Tabela3[[#This Row],[Volatilidade]])</f>
        <v>0</v>
      </c>
      <c r="H1065" s="5">
        <f>Tabela3[[#This Row],[Position_Size]]*Tabela3[[#This Row],[Retorno_Diário]]</f>
        <v>0</v>
      </c>
    </row>
    <row r="1066" spans="1:8" x14ac:dyDescent="0.2">
      <c r="A1066" s="11" t="s">
        <v>7148</v>
      </c>
      <c r="B1066" s="4" t="s">
        <v>7150</v>
      </c>
      <c r="C1066" s="5">
        <f t="shared" si="20"/>
        <v>-1.6269988963122817E-2</v>
      </c>
      <c r="D1066" s="5"/>
      <c r="E1066" s="5"/>
      <c r="F1066" s="5">
        <f>IF(Tabela3[[#This Row],[Retorno_Diário]]&gt;0,1,-1)</f>
        <v>-1</v>
      </c>
      <c r="G1066" s="5">
        <f>Tabela3[[#This Row],[Sinal_TSMOM]]*(0.4*Tabela3[[#This Row],[Volatilidade]])</f>
        <v>0</v>
      </c>
      <c r="H1066" s="5">
        <f>Tabela3[[#This Row],[Position_Size]]*Tabela3[[#This Row],[Retorno_Diário]]</f>
        <v>0</v>
      </c>
    </row>
    <row r="1067" spans="1:8" x14ac:dyDescent="0.2">
      <c r="A1067" s="11" t="s">
        <v>7155</v>
      </c>
      <c r="B1067" s="4" t="s">
        <v>7157</v>
      </c>
      <c r="C1067" s="5">
        <f t="shared" si="20"/>
        <v>1.9030782825018244E-2</v>
      </c>
      <c r="D1067" s="5"/>
      <c r="E1067" s="5"/>
      <c r="F1067" s="5">
        <f>IF(Tabela3[[#This Row],[Retorno_Diário]]&gt;0,1,-1)</f>
        <v>1</v>
      </c>
      <c r="G1067" s="5">
        <f>Tabela3[[#This Row],[Sinal_TSMOM]]*(0.4*Tabela3[[#This Row],[Volatilidade]])</f>
        <v>0</v>
      </c>
      <c r="H1067" s="5">
        <f>Tabela3[[#This Row],[Position_Size]]*Tabela3[[#This Row],[Retorno_Diário]]</f>
        <v>0</v>
      </c>
    </row>
    <row r="1068" spans="1:8" x14ac:dyDescent="0.2">
      <c r="A1068" s="11" t="s">
        <v>7162</v>
      </c>
      <c r="B1068" s="4" t="s">
        <v>7164</v>
      </c>
      <c r="C1068" s="5">
        <f t="shared" si="20"/>
        <v>1.5486029865866557E-2</v>
      </c>
      <c r="D1068" s="5"/>
      <c r="E1068" s="5"/>
      <c r="F1068" s="5">
        <f>IF(Tabela3[[#This Row],[Retorno_Diário]]&gt;0,1,-1)</f>
        <v>1</v>
      </c>
      <c r="G1068" s="5">
        <f>Tabela3[[#This Row],[Sinal_TSMOM]]*(0.4*Tabela3[[#This Row],[Volatilidade]])</f>
        <v>0</v>
      </c>
      <c r="H1068" s="5">
        <f>Tabela3[[#This Row],[Position_Size]]*Tabela3[[#This Row],[Retorno_Diário]]</f>
        <v>0</v>
      </c>
    </row>
    <row r="1069" spans="1:8" x14ac:dyDescent="0.2">
      <c r="A1069" s="11" t="s">
        <v>7169</v>
      </c>
      <c r="B1069" s="4" t="s">
        <v>7171</v>
      </c>
      <c r="C1069" s="5">
        <f t="shared" si="20"/>
        <v>-3.3710203749375722E-2</v>
      </c>
      <c r="D1069" s="5"/>
      <c r="E1069" s="5"/>
      <c r="F1069" s="5">
        <f>IF(Tabela3[[#This Row],[Retorno_Diário]]&gt;0,1,-1)</f>
        <v>-1</v>
      </c>
      <c r="G1069" s="5">
        <f>Tabela3[[#This Row],[Sinal_TSMOM]]*(0.4*Tabela3[[#This Row],[Volatilidade]])</f>
        <v>0</v>
      </c>
      <c r="H1069" s="5">
        <f>Tabela3[[#This Row],[Position_Size]]*Tabela3[[#This Row],[Retorno_Diário]]</f>
        <v>0</v>
      </c>
    </row>
    <row r="1070" spans="1:8" x14ac:dyDescent="0.2">
      <c r="A1070" s="11" t="s">
        <v>7176</v>
      </c>
      <c r="B1070" s="4" t="s">
        <v>7178</v>
      </c>
      <c r="C1070" s="5">
        <f t="shared" si="20"/>
        <v>-1.4590149085226378E-2</v>
      </c>
      <c r="D1070" s="5"/>
      <c r="E1070" s="5"/>
      <c r="F1070" s="5">
        <f>IF(Tabela3[[#This Row],[Retorno_Diário]]&gt;0,1,-1)</f>
        <v>-1</v>
      </c>
      <c r="G1070" s="5">
        <f>Tabela3[[#This Row],[Sinal_TSMOM]]*(0.4*Tabela3[[#This Row],[Volatilidade]])</f>
        <v>0</v>
      </c>
      <c r="H1070" s="5">
        <f>Tabela3[[#This Row],[Position_Size]]*Tabela3[[#This Row],[Retorno_Diário]]</f>
        <v>0</v>
      </c>
    </row>
    <row r="1071" spans="1:8" x14ac:dyDescent="0.2">
      <c r="A1071" s="11" t="s">
        <v>7183</v>
      </c>
      <c r="B1071" s="4" t="s">
        <v>7185</v>
      </c>
      <c r="C1071" s="5">
        <f t="shared" si="20"/>
        <v>-2.1036407669605128E-2</v>
      </c>
      <c r="D1071" s="5"/>
      <c r="E1071" s="5"/>
      <c r="F1071" s="5">
        <f>IF(Tabela3[[#This Row],[Retorno_Diário]]&gt;0,1,-1)</f>
        <v>-1</v>
      </c>
      <c r="G1071" s="5">
        <f>Tabela3[[#This Row],[Sinal_TSMOM]]*(0.4*Tabela3[[#This Row],[Volatilidade]])</f>
        <v>0</v>
      </c>
      <c r="H1071" s="5">
        <f>Tabela3[[#This Row],[Position_Size]]*Tabela3[[#This Row],[Retorno_Diário]]</f>
        <v>0</v>
      </c>
    </row>
    <row r="1072" spans="1:8" x14ac:dyDescent="0.2">
      <c r="A1072" s="11" t="s">
        <v>7190</v>
      </c>
      <c r="B1072" s="4" t="s">
        <v>7192</v>
      </c>
      <c r="C1072" s="5">
        <f t="shared" si="20"/>
        <v>2.4258787052793496E-2</v>
      </c>
      <c r="D1072" s="5"/>
      <c r="E1072" s="5"/>
      <c r="F1072" s="5">
        <f>IF(Tabela3[[#This Row],[Retorno_Diário]]&gt;0,1,-1)</f>
        <v>1</v>
      </c>
      <c r="G1072" s="5">
        <f>Tabela3[[#This Row],[Sinal_TSMOM]]*(0.4*Tabela3[[#This Row],[Volatilidade]])</f>
        <v>0</v>
      </c>
      <c r="H1072" s="5">
        <f>Tabela3[[#This Row],[Position_Size]]*Tabela3[[#This Row],[Retorno_Diário]]</f>
        <v>0</v>
      </c>
    </row>
    <row r="1073" spans="1:8" x14ac:dyDescent="0.2">
      <c r="A1073" s="11" t="s">
        <v>7197</v>
      </c>
      <c r="B1073" s="4" t="s">
        <v>7199</v>
      </c>
      <c r="C1073" s="5">
        <f t="shared" si="20"/>
        <v>-5.222956223003683E-2</v>
      </c>
      <c r="D1073" s="5"/>
      <c r="E1073" s="5"/>
      <c r="F1073" s="5">
        <f>IF(Tabela3[[#This Row],[Retorno_Diário]]&gt;0,1,-1)</f>
        <v>-1</v>
      </c>
      <c r="G1073" s="5">
        <f>Tabela3[[#This Row],[Sinal_TSMOM]]*(0.4*Tabela3[[#This Row],[Volatilidade]])</f>
        <v>0</v>
      </c>
      <c r="H1073" s="5">
        <f>Tabela3[[#This Row],[Position_Size]]*Tabela3[[#This Row],[Retorno_Diário]]</f>
        <v>0</v>
      </c>
    </row>
    <row r="1074" spans="1:8" x14ac:dyDescent="0.2">
      <c r="A1074" s="11" t="s">
        <v>7204</v>
      </c>
      <c r="B1074" s="4" t="s">
        <v>7206</v>
      </c>
      <c r="C1074" s="5">
        <f t="shared" si="20"/>
        <v>-5.8771361775295294E-2</v>
      </c>
      <c r="D1074" s="5"/>
      <c r="E1074" s="5"/>
      <c r="F1074" s="5">
        <f>IF(Tabela3[[#This Row],[Retorno_Diário]]&gt;0,1,-1)</f>
        <v>-1</v>
      </c>
      <c r="G1074" s="5">
        <f>Tabela3[[#This Row],[Sinal_TSMOM]]*(0.4*Tabela3[[#This Row],[Volatilidade]])</f>
        <v>0</v>
      </c>
      <c r="H1074" s="5">
        <f>Tabela3[[#This Row],[Position_Size]]*Tabela3[[#This Row],[Retorno_Diário]]</f>
        <v>0</v>
      </c>
    </row>
    <row r="1075" spans="1:8" x14ac:dyDescent="0.2">
      <c r="A1075" s="11" t="s">
        <v>7211</v>
      </c>
      <c r="B1075" s="4" t="s">
        <v>7213</v>
      </c>
      <c r="C1075" s="5">
        <f t="shared" si="20"/>
        <v>-8.1533743707250528E-3</v>
      </c>
      <c r="D1075" s="5"/>
      <c r="E1075" s="5"/>
      <c r="F1075" s="5">
        <f>IF(Tabela3[[#This Row],[Retorno_Diário]]&gt;0,1,-1)</f>
        <v>-1</v>
      </c>
      <c r="G1075" s="5">
        <f>Tabela3[[#This Row],[Sinal_TSMOM]]*(0.4*Tabela3[[#This Row],[Volatilidade]])</f>
        <v>0</v>
      </c>
      <c r="H1075" s="5">
        <f>Tabela3[[#This Row],[Position_Size]]*Tabela3[[#This Row],[Retorno_Diário]]</f>
        <v>0</v>
      </c>
    </row>
    <row r="1076" spans="1:8" x14ac:dyDescent="0.2">
      <c r="A1076" s="11" t="s">
        <v>7218</v>
      </c>
      <c r="B1076" s="4" t="s">
        <v>7220</v>
      </c>
      <c r="C1076" s="5">
        <f t="shared" si="20"/>
        <v>-4.4985157537478337E-2</v>
      </c>
      <c r="D1076" s="5"/>
      <c r="E1076" s="5"/>
      <c r="F1076" s="5">
        <f>IF(Tabela3[[#This Row],[Retorno_Diário]]&gt;0,1,-1)</f>
        <v>-1</v>
      </c>
      <c r="G1076" s="5">
        <f>Tabela3[[#This Row],[Sinal_TSMOM]]*(0.4*Tabela3[[#This Row],[Volatilidade]])</f>
        <v>0</v>
      </c>
      <c r="H1076" s="5">
        <f>Tabela3[[#This Row],[Position_Size]]*Tabela3[[#This Row],[Retorno_Diário]]</f>
        <v>0</v>
      </c>
    </row>
    <row r="1077" spans="1:8" x14ac:dyDescent="0.2">
      <c r="A1077" s="11" t="s">
        <v>7225</v>
      </c>
      <c r="B1077" s="4" t="s">
        <v>7227</v>
      </c>
      <c r="C1077" s="5">
        <f t="shared" si="20"/>
        <v>-5.1991854806865301E-2</v>
      </c>
      <c r="D1077" s="5"/>
      <c r="E1077" s="5"/>
      <c r="F1077" s="5">
        <f>IF(Tabela3[[#This Row],[Retorno_Diário]]&gt;0,1,-1)</f>
        <v>-1</v>
      </c>
      <c r="G1077" s="5">
        <f>Tabela3[[#This Row],[Sinal_TSMOM]]*(0.4*Tabela3[[#This Row],[Volatilidade]])</f>
        <v>0</v>
      </c>
      <c r="H1077" s="5">
        <f>Tabela3[[#This Row],[Position_Size]]*Tabela3[[#This Row],[Retorno_Diário]]</f>
        <v>0</v>
      </c>
    </row>
    <row r="1078" spans="1:8" x14ac:dyDescent="0.2">
      <c r="A1078" s="11" t="s">
        <v>7231</v>
      </c>
      <c r="B1078" s="4" t="s">
        <v>7233</v>
      </c>
      <c r="C1078" s="5">
        <f t="shared" si="20"/>
        <v>-1.8843824896742523E-2</v>
      </c>
      <c r="D1078" s="5"/>
      <c r="E1078" s="5"/>
      <c r="F1078" s="5">
        <f>IF(Tabela3[[#This Row],[Retorno_Diário]]&gt;0,1,-1)</f>
        <v>-1</v>
      </c>
      <c r="G1078" s="5">
        <f>Tabela3[[#This Row],[Sinal_TSMOM]]*(0.4*Tabela3[[#This Row],[Volatilidade]])</f>
        <v>0</v>
      </c>
      <c r="H1078" s="5">
        <f>Tabela3[[#This Row],[Position_Size]]*Tabela3[[#This Row],[Retorno_Diário]]</f>
        <v>0</v>
      </c>
    </row>
    <row r="1079" spans="1:8" x14ac:dyDescent="0.2">
      <c r="A1079" s="11" t="s">
        <v>7238</v>
      </c>
      <c r="B1079" s="4" t="s">
        <v>7240</v>
      </c>
      <c r="C1079" s="5">
        <f t="shared" si="20"/>
        <v>3.2505553121796371E-2</v>
      </c>
      <c r="D1079" s="5"/>
      <c r="E1079" s="5"/>
      <c r="F1079" s="5">
        <f>IF(Tabela3[[#This Row],[Retorno_Diário]]&gt;0,1,-1)</f>
        <v>1</v>
      </c>
      <c r="G1079" s="5">
        <f>Tabela3[[#This Row],[Sinal_TSMOM]]*(0.4*Tabela3[[#This Row],[Volatilidade]])</f>
        <v>0</v>
      </c>
      <c r="H1079" s="5">
        <f>Tabela3[[#This Row],[Position_Size]]*Tabela3[[#This Row],[Retorno_Diário]]</f>
        <v>0</v>
      </c>
    </row>
    <row r="1080" spans="1:8" x14ac:dyDescent="0.2">
      <c r="A1080" s="11" t="s">
        <v>7245</v>
      </c>
      <c r="B1080" s="4" t="s">
        <v>7247</v>
      </c>
      <c r="C1080" s="5">
        <f t="shared" si="20"/>
        <v>-4.256180392252451E-2</v>
      </c>
      <c r="D1080" s="5"/>
      <c r="E1080" s="5"/>
      <c r="F1080" s="5">
        <f>IF(Tabela3[[#This Row],[Retorno_Diário]]&gt;0,1,-1)</f>
        <v>-1</v>
      </c>
      <c r="G1080" s="5">
        <f>Tabela3[[#This Row],[Sinal_TSMOM]]*(0.4*Tabela3[[#This Row],[Volatilidade]])</f>
        <v>0</v>
      </c>
      <c r="H1080" s="5">
        <f>Tabela3[[#This Row],[Position_Size]]*Tabela3[[#This Row],[Retorno_Diário]]</f>
        <v>0</v>
      </c>
    </row>
    <row r="1081" spans="1:8" x14ac:dyDescent="0.2">
      <c r="A1081" s="11" t="s">
        <v>7252</v>
      </c>
      <c r="B1081" s="4" t="s">
        <v>7254</v>
      </c>
      <c r="C1081" s="5">
        <f t="shared" si="20"/>
        <v>2.4696657267798461E-2</v>
      </c>
      <c r="D1081" s="5"/>
      <c r="E1081" s="5"/>
      <c r="F1081" s="5">
        <f>IF(Tabela3[[#This Row],[Retorno_Diário]]&gt;0,1,-1)</f>
        <v>1</v>
      </c>
      <c r="G1081" s="5">
        <f>Tabela3[[#This Row],[Sinal_TSMOM]]*(0.4*Tabela3[[#This Row],[Volatilidade]])</f>
        <v>0</v>
      </c>
      <c r="H1081" s="5">
        <f>Tabela3[[#This Row],[Position_Size]]*Tabela3[[#This Row],[Retorno_Diário]]</f>
        <v>0</v>
      </c>
    </row>
    <row r="1082" spans="1:8" x14ac:dyDescent="0.2">
      <c r="A1082" s="11" t="s">
        <v>7259</v>
      </c>
      <c r="B1082" s="4" t="s">
        <v>7261</v>
      </c>
      <c r="C1082" s="5">
        <f t="shared" si="20"/>
        <v>1.905150760478902E-2</v>
      </c>
      <c r="D1082" s="5"/>
      <c r="E1082" s="5"/>
      <c r="F1082" s="5">
        <f>IF(Tabela3[[#This Row],[Retorno_Diário]]&gt;0,1,-1)</f>
        <v>1</v>
      </c>
      <c r="G1082" s="5">
        <f>Tabela3[[#This Row],[Sinal_TSMOM]]*(0.4*Tabela3[[#This Row],[Volatilidade]])</f>
        <v>0</v>
      </c>
      <c r="H1082" s="5">
        <f>Tabela3[[#This Row],[Position_Size]]*Tabela3[[#This Row],[Retorno_Diário]]</f>
        <v>0</v>
      </c>
    </row>
    <row r="1083" spans="1:8" x14ac:dyDescent="0.2">
      <c r="A1083" s="11" t="s">
        <v>7265</v>
      </c>
      <c r="B1083" s="4" t="s">
        <v>7267</v>
      </c>
      <c r="C1083" s="5">
        <f t="shared" si="20"/>
        <v>-3.2255140316606257E-2</v>
      </c>
      <c r="D1083" s="5"/>
      <c r="E1083" s="5"/>
      <c r="F1083" s="5">
        <f>IF(Tabela3[[#This Row],[Retorno_Diário]]&gt;0,1,-1)</f>
        <v>-1</v>
      </c>
      <c r="G1083" s="5">
        <f>Tabela3[[#This Row],[Sinal_TSMOM]]*(0.4*Tabela3[[#This Row],[Volatilidade]])</f>
        <v>0</v>
      </c>
      <c r="H1083" s="5">
        <f>Tabela3[[#This Row],[Position_Size]]*Tabela3[[#This Row],[Retorno_Diário]]</f>
        <v>0</v>
      </c>
    </row>
    <row r="1084" spans="1:8" x14ac:dyDescent="0.2">
      <c r="A1084" s="11" t="s">
        <v>7271</v>
      </c>
      <c r="B1084" s="4" t="s">
        <v>7273</v>
      </c>
      <c r="C1084" s="5">
        <f t="shared" si="20"/>
        <v>-6.0469219120901196E-2</v>
      </c>
      <c r="D1084" s="5"/>
      <c r="E1084" s="5"/>
      <c r="F1084" s="5">
        <f>IF(Tabela3[[#This Row],[Retorno_Diário]]&gt;0,1,-1)</f>
        <v>-1</v>
      </c>
      <c r="G1084" s="5">
        <f>Tabela3[[#This Row],[Sinal_TSMOM]]*(0.4*Tabela3[[#This Row],[Volatilidade]])</f>
        <v>0</v>
      </c>
      <c r="H1084" s="5">
        <f>Tabela3[[#This Row],[Position_Size]]*Tabela3[[#This Row],[Retorno_Diário]]</f>
        <v>0</v>
      </c>
    </row>
    <row r="1085" spans="1:8" x14ac:dyDescent="0.2">
      <c r="A1085" s="11" t="s">
        <v>7278</v>
      </c>
      <c r="B1085" s="4" t="s">
        <v>7280</v>
      </c>
      <c r="C1085" s="5">
        <f t="shared" si="20"/>
        <v>-3.3097218264917738E-2</v>
      </c>
      <c r="D1085" s="5"/>
      <c r="E1085" s="5"/>
      <c r="F1085" s="5">
        <f>IF(Tabela3[[#This Row],[Retorno_Diário]]&gt;0,1,-1)</f>
        <v>-1</v>
      </c>
      <c r="G1085" s="5">
        <f>Tabela3[[#This Row],[Sinal_TSMOM]]*(0.4*Tabela3[[#This Row],[Volatilidade]])</f>
        <v>0</v>
      </c>
      <c r="H1085" s="5">
        <f>Tabela3[[#This Row],[Position_Size]]*Tabela3[[#This Row],[Retorno_Diário]]</f>
        <v>0</v>
      </c>
    </row>
    <row r="1086" spans="1:8" x14ac:dyDescent="0.2">
      <c r="A1086" s="11" t="s">
        <v>7284</v>
      </c>
      <c r="B1086" s="4" t="s">
        <v>7286</v>
      </c>
      <c r="C1086" s="5">
        <f t="shared" si="20"/>
        <v>1.9830953097691895E-2</v>
      </c>
      <c r="D1086" s="5"/>
      <c r="E1086" s="5"/>
      <c r="F1086" s="5">
        <f>IF(Tabela3[[#This Row],[Retorno_Diário]]&gt;0,1,-1)</f>
        <v>1</v>
      </c>
      <c r="G1086" s="5">
        <f>Tabela3[[#This Row],[Sinal_TSMOM]]*(0.4*Tabela3[[#This Row],[Volatilidade]])</f>
        <v>0</v>
      </c>
      <c r="H1086" s="5">
        <f>Tabela3[[#This Row],[Position_Size]]*Tabela3[[#This Row],[Retorno_Diário]]</f>
        <v>0</v>
      </c>
    </row>
    <row r="1087" spans="1:8" x14ac:dyDescent="0.2">
      <c r="A1087" s="11" t="s">
        <v>7291</v>
      </c>
      <c r="B1087" s="4" t="s">
        <v>7293</v>
      </c>
      <c r="C1087" s="5">
        <f t="shared" si="20"/>
        <v>-5.5974288841307951E-2</v>
      </c>
      <c r="D1087" s="5"/>
      <c r="E1087" s="5"/>
      <c r="F1087" s="5">
        <f>IF(Tabela3[[#This Row],[Retorno_Diário]]&gt;0,1,-1)</f>
        <v>-1</v>
      </c>
      <c r="G1087" s="5">
        <f>Tabela3[[#This Row],[Sinal_TSMOM]]*(0.4*Tabela3[[#This Row],[Volatilidade]])</f>
        <v>0</v>
      </c>
      <c r="H1087" s="5">
        <f>Tabela3[[#This Row],[Position_Size]]*Tabela3[[#This Row],[Retorno_Diário]]</f>
        <v>0</v>
      </c>
    </row>
    <row r="1088" spans="1:8" x14ac:dyDescent="0.2">
      <c r="A1088" s="11" t="s">
        <v>7298</v>
      </c>
      <c r="B1088" s="4" t="s">
        <v>7300</v>
      </c>
      <c r="C1088" s="5">
        <f t="shared" si="20"/>
        <v>-1.9853054564810679E-2</v>
      </c>
      <c r="D1088" s="5"/>
      <c r="E1088" s="5"/>
      <c r="F1088" s="5">
        <f>IF(Tabela3[[#This Row],[Retorno_Diário]]&gt;0,1,-1)</f>
        <v>-1</v>
      </c>
      <c r="G1088" s="5">
        <f>Tabela3[[#This Row],[Sinal_TSMOM]]*(0.4*Tabela3[[#This Row],[Volatilidade]])</f>
        <v>0</v>
      </c>
      <c r="H1088" s="5">
        <f>Tabela3[[#This Row],[Position_Size]]*Tabela3[[#This Row],[Retorno_Diário]]</f>
        <v>0</v>
      </c>
    </row>
    <row r="1089" spans="1:8" x14ac:dyDescent="0.2">
      <c r="A1089" s="11" t="s">
        <v>7305</v>
      </c>
      <c r="B1089" s="4" t="s">
        <v>7307</v>
      </c>
      <c r="C1089" s="5">
        <f t="shared" si="20"/>
        <v>7.423288647966686E-2</v>
      </c>
      <c r="D1089" s="5"/>
      <c r="E1089" s="5"/>
      <c r="F1089" s="5">
        <f>IF(Tabela3[[#This Row],[Retorno_Diário]]&gt;0,1,-1)</f>
        <v>1</v>
      </c>
      <c r="G1089" s="5">
        <f>Tabela3[[#This Row],[Sinal_TSMOM]]*(0.4*Tabela3[[#This Row],[Volatilidade]])</f>
        <v>0</v>
      </c>
      <c r="H1089" s="5">
        <f>Tabela3[[#This Row],[Position_Size]]*Tabela3[[#This Row],[Retorno_Diário]]</f>
        <v>0</v>
      </c>
    </row>
    <row r="1090" spans="1:8" x14ac:dyDescent="0.2">
      <c r="A1090" s="11" t="s">
        <v>7312</v>
      </c>
      <c r="B1090" s="4" t="s">
        <v>7314</v>
      </c>
      <c r="C1090" s="5">
        <f t="shared" si="20"/>
        <v>-6.2430428102489555E-2</v>
      </c>
      <c r="D1090" s="5"/>
      <c r="E1090" s="5"/>
      <c r="F1090" s="5">
        <f>IF(Tabela3[[#This Row],[Retorno_Diário]]&gt;0,1,-1)</f>
        <v>-1</v>
      </c>
      <c r="G1090" s="5">
        <f>Tabela3[[#This Row],[Sinal_TSMOM]]*(0.4*Tabela3[[#This Row],[Volatilidade]])</f>
        <v>0</v>
      </c>
      <c r="H1090" s="5">
        <f>Tabela3[[#This Row],[Position_Size]]*Tabela3[[#This Row],[Retorno_Diário]]</f>
        <v>0</v>
      </c>
    </row>
    <row r="1091" spans="1:8" x14ac:dyDescent="0.2">
      <c r="A1091" s="11" t="s">
        <v>7319</v>
      </c>
      <c r="B1091" s="4" t="s">
        <v>7321</v>
      </c>
      <c r="C1091" s="5">
        <f t="shared" ref="C1091:C1154" si="21">B1091/B1090-1</f>
        <v>5.3162237234383181E-2</v>
      </c>
      <c r="D1091" s="5"/>
      <c r="E1091" s="5"/>
      <c r="F1091" s="5">
        <f>IF(Tabela3[[#This Row],[Retorno_Diário]]&gt;0,1,-1)</f>
        <v>1</v>
      </c>
      <c r="G1091" s="5">
        <f>Tabela3[[#This Row],[Sinal_TSMOM]]*(0.4*Tabela3[[#This Row],[Volatilidade]])</f>
        <v>0</v>
      </c>
      <c r="H1091" s="5">
        <f>Tabela3[[#This Row],[Position_Size]]*Tabela3[[#This Row],[Retorno_Diário]]</f>
        <v>0</v>
      </c>
    </row>
    <row r="1092" spans="1:8" x14ac:dyDescent="0.2">
      <c r="A1092" s="11" t="s">
        <v>7326</v>
      </c>
      <c r="B1092" s="4" t="s">
        <v>7328</v>
      </c>
      <c r="C1092" s="5">
        <f t="shared" si="21"/>
        <v>3.5323981697739093E-3</v>
      </c>
      <c r="D1092" s="5"/>
      <c r="E1092" s="5"/>
      <c r="F1092" s="5">
        <f>IF(Tabela3[[#This Row],[Retorno_Diário]]&gt;0,1,-1)</f>
        <v>1</v>
      </c>
      <c r="G1092" s="5">
        <f>Tabela3[[#This Row],[Sinal_TSMOM]]*(0.4*Tabela3[[#This Row],[Volatilidade]])</f>
        <v>0</v>
      </c>
      <c r="H1092" s="5">
        <f>Tabela3[[#This Row],[Position_Size]]*Tabela3[[#This Row],[Retorno_Diário]]</f>
        <v>0</v>
      </c>
    </row>
    <row r="1093" spans="1:8" x14ac:dyDescent="0.2">
      <c r="A1093" s="11" t="s">
        <v>7333</v>
      </c>
      <c r="B1093" s="4" t="s">
        <v>7335</v>
      </c>
      <c r="C1093" s="5">
        <f t="shared" si="21"/>
        <v>3.7343147522356235E-2</v>
      </c>
      <c r="D1093" s="5"/>
      <c r="E1093" s="5"/>
      <c r="F1093" s="5">
        <f>IF(Tabela3[[#This Row],[Retorno_Diário]]&gt;0,1,-1)</f>
        <v>1</v>
      </c>
      <c r="G1093" s="5">
        <f>Tabela3[[#This Row],[Sinal_TSMOM]]*(0.4*Tabela3[[#This Row],[Volatilidade]])</f>
        <v>0</v>
      </c>
      <c r="H1093" s="5">
        <f>Tabela3[[#This Row],[Position_Size]]*Tabela3[[#This Row],[Retorno_Diário]]</f>
        <v>0</v>
      </c>
    </row>
    <row r="1094" spans="1:8" x14ac:dyDescent="0.2">
      <c r="A1094" s="11" t="s">
        <v>7340</v>
      </c>
      <c r="B1094" s="4" t="s">
        <v>7342</v>
      </c>
      <c r="C1094" s="5">
        <f t="shared" si="21"/>
        <v>-7.3276276086981285E-2</v>
      </c>
      <c r="D1094" s="5"/>
      <c r="E1094" s="5"/>
      <c r="F1094" s="5">
        <f>IF(Tabela3[[#This Row],[Retorno_Diário]]&gt;0,1,-1)</f>
        <v>-1</v>
      </c>
      <c r="G1094" s="5">
        <f>Tabela3[[#This Row],[Sinal_TSMOM]]*(0.4*Tabela3[[#This Row],[Volatilidade]])</f>
        <v>0</v>
      </c>
      <c r="H1094" s="5">
        <f>Tabela3[[#This Row],[Position_Size]]*Tabela3[[#This Row],[Retorno_Diário]]</f>
        <v>0</v>
      </c>
    </row>
    <row r="1095" spans="1:8" x14ac:dyDescent="0.2">
      <c r="A1095" s="11" t="s">
        <v>7347</v>
      </c>
      <c r="B1095" s="4" t="s">
        <v>7349</v>
      </c>
      <c r="C1095" s="5">
        <f t="shared" si="21"/>
        <v>-8.9684051603704518E-3</v>
      </c>
      <c r="D1095" s="5"/>
      <c r="E1095" s="5"/>
      <c r="F1095" s="5">
        <f>IF(Tabela3[[#This Row],[Retorno_Diário]]&gt;0,1,-1)</f>
        <v>-1</v>
      </c>
      <c r="G1095" s="5">
        <f>Tabela3[[#This Row],[Sinal_TSMOM]]*(0.4*Tabela3[[#This Row],[Volatilidade]])</f>
        <v>0</v>
      </c>
      <c r="H1095" s="5">
        <f>Tabela3[[#This Row],[Position_Size]]*Tabela3[[#This Row],[Retorno_Diário]]</f>
        <v>0</v>
      </c>
    </row>
    <row r="1096" spans="1:8" x14ac:dyDescent="0.2">
      <c r="A1096" s="11" t="s">
        <v>7354</v>
      </c>
      <c r="B1096" s="4" t="s">
        <v>7356</v>
      </c>
      <c r="C1096" s="5">
        <f t="shared" si="21"/>
        <v>-9.2369399978225686E-2</v>
      </c>
      <c r="D1096" s="5"/>
      <c r="E1096" s="5"/>
      <c r="F1096" s="5">
        <f>IF(Tabela3[[#This Row],[Retorno_Diário]]&gt;0,1,-1)</f>
        <v>-1</v>
      </c>
      <c r="G1096" s="5">
        <f>Tabela3[[#This Row],[Sinal_TSMOM]]*(0.4*Tabela3[[#This Row],[Volatilidade]])</f>
        <v>0</v>
      </c>
      <c r="H1096" s="5">
        <f>Tabela3[[#This Row],[Position_Size]]*Tabela3[[#This Row],[Retorno_Diário]]</f>
        <v>0</v>
      </c>
    </row>
    <row r="1097" spans="1:8" x14ac:dyDescent="0.2">
      <c r="A1097" s="11" t="s">
        <v>7361</v>
      </c>
      <c r="B1097" s="4" t="s">
        <v>7363</v>
      </c>
      <c r="C1097" s="5">
        <f t="shared" si="21"/>
        <v>3.8053010111083196E-2</v>
      </c>
      <c r="D1097" s="5"/>
      <c r="E1097" s="5"/>
      <c r="F1097" s="5">
        <f>IF(Tabela3[[#This Row],[Retorno_Diário]]&gt;0,1,-1)</f>
        <v>1</v>
      </c>
      <c r="G1097" s="5">
        <f>Tabela3[[#This Row],[Sinal_TSMOM]]*(0.4*Tabela3[[#This Row],[Volatilidade]])</f>
        <v>0</v>
      </c>
      <c r="H1097" s="5">
        <f>Tabela3[[#This Row],[Position_Size]]*Tabela3[[#This Row],[Retorno_Diário]]</f>
        <v>0</v>
      </c>
    </row>
    <row r="1098" spans="1:8" x14ac:dyDescent="0.2">
      <c r="A1098" s="11" t="s">
        <v>7368</v>
      </c>
      <c r="B1098" s="4" t="s">
        <v>7370</v>
      </c>
      <c r="C1098" s="5">
        <f t="shared" si="21"/>
        <v>-5.484513726893836E-2</v>
      </c>
      <c r="D1098" s="5"/>
      <c r="E1098" s="5"/>
      <c r="F1098" s="5">
        <f>IF(Tabela3[[#This Row],[Retorno_Diário]]&gt;0,1,-1)</f>
        <v>-1</v>
      </c>
      <c r="G1098" s="5">
        <f>Tabela3[[#This Row],[Sinal_TSMOM]]*(0.4*Tabela3[[#This Row],[Volatilidade]])</f>
        <v>0</v>
      </c>
      <c r="H1098" s="5">
        <f>Tabela3[[#This Row],[Position_Size]]*Tabela3[[#This Row],[Retorno_Diário]]</f>
        <v>0</v>
      </c>
    </row>
    <row r="1099" spans="1:8" x14ac:dyDescent="0.2">
      <c r="A1099" s="11" t="s">
        <v>7375</v>
      </c>
      <c r="B1099" s="4" t="s">
        <v>7377</v>
      </c>
      <c r="C1099" s="5">
        <f t="shared" si="21"/>
        <v>-2.7360189216337094E-2</v>
      </c>
      <c r="D1099" s="5"/>
      <c r="E1099" s="5"/>
      <c r="F1099" s="5">
        <f>IF(Tabela3[[#This Row],[Retorno_Diário]]&gt;0,1,-1)</f>
        <v>-1</v>
      </c>
      <c r="G1099" s="5">
        <f>Tabela3[[#This Row],[Sinal_TSMOM]]*(0.4*Tabela3[[#This Row],[Volatilidade]])</f>
        <v>0</v>
      </c>
      <c r="H1099" s="5">
        <f>Tabela3[[#This Row],[Position_Size]]*Tabela3[[#This Row],[Retorno_Diário]]</f>
        <v>0</v>
      </c>
    </row>
    <row r="1100" spans="1:8" x14ac:dyDescent="0.2">
      <c r="A1100" s="11" t="s">
        <v>7382</v>
      </c>
      <c r="B1100" s="4" t="s">
        <v>7384</v>
      </c>
      <c r="C1100" s="5">
        <f t="shared" si="21"/>
        <v>9.4652254067576047E-2</v>
      </c>
      <c r="D1100" s="5"/>
      <c r="E1100" s="5"/>
      <c r="F1100" s="5">
        <f>IF(Tabela3[[#This Row],[Retorno_Diário]]&gt;0,1,-1)</f>
        <v>1</v>
      </c>
      <c r="G1100" s="5">
        <f>Tabela3[[#This Row],[Sinal_TSMOM]]*(0.4*Tabela3[[#This Row],[Volatilidade]])</f>
        <v>0</v>
      </c>
      <c r="H1100" s="5">
        <f>Tabela3[[#This Row],[Position_Size]]*Tabela3[[#This Row],[Retorno_Diário]]</f>
        <v>0</v>
      </c>
    </row>
    <row r="1101" spans="1:8" x14ac:dyDescent="0.2">
      <c r="A1101" s="11" t="s">
        <v>7388</v>
      </c>
      <c r="B1101" s="4" t="s">
        <v>7390</v>
      </c>
      <c r="C1101" s="5">
        <f t="shared" si="21"/>
        <v>-2.4963258276407552E-2</v>
      </c>
      <c r="D1101" s="5"/>
      <c r="E1101" s="5"/>
      <c r="F1101" s="5">
        <f>IF(Tabela3[[#This Row],[Retorno_Diário]]&gt;0,1,-1)</f>
        <v>-1</v>
      </c>
      <c r="G1101" s="5">
        <f>Tabela3[[#This Row],[Sinal_TSMOM]]*(0.4*Tabela3[[#This Row],[Volatilidade]])</f>
        <v>0</v>
      </c>
      <c r="H1101" s="5">
        <f>Tabela3[[#This Row],[Position_Size]]*Tabela3[[#This Row],[Retorno_Diário]]</f>
        <v>0</v>
      </c>
    </row>
    <row r="1102" spans="1:8" x14ac:dyDescent="0.2">
      <c r="A1102" s="11" t="s">
        <v>7395</v>
      </c>
      <c r="B1102" s="4" t="s">
        <v>7397</v>
      </c>
      <c r="C1102" s="5">
        <f t="shared" si="21"/>
        <v>5.2884621758533479E-2</v>
      </c>
      <c r="D1102" s="5"/>
      <c r="E1102" s="5"/>
      <c r="F1102" s="5">
        <f>IF(Tabela3[[#This Row],[Retorno_Diário]]&gt;0,1,-1)</f>
        <v>1</v>
      </c>
      <c r="G1102" s="5">
        <f>Tabela3[[#This Row],[Sinal_TSMOM]]*(0.4*Tabela3[[#This Row],[Volatilidade]])</f>
        <v>0</v>
      </c>
      <c r="H1102" s="5">
        <f>Tabela3[[#This Row],[Position_Size]]*Tabela3[[#This Row],[Retorno_Diário]]</f>
        <v>0</v>
      </c>
    </row>
    <row r="1103" spans="1:8" x14ac:dyDescent="0.2">
      <c r="A1103" s="11" t="s">
        <v>7402</v>
      </c>
      <c r="B1103" s="4" t="s">
        <v>7404</v>
      </c>
      <c r="C1103" s="5">
        <f t="shared" si="21"/>
        <v>-6.8163080668666165E-2</v>
      </c>
      <c r="D1103" s="5"/>
      <c r="E1103" s="5"/>
      <c r="F1103" s="5">
        <f>IF(Tabela3[[#This Row],[Retorno_Diário]]&gt;0,1,-1)</f>
        <v>-1</v>
      </c>
      <c r="G1103" s="5">
        <f>Tabela3[[#This Row],[Sinal_TSMOM]]*(0.4*Tabela3[[#This Row],[Volatilidade]])</f>
        <v>0</v>
      </c>
      <c r="H1103" s="5">
        <f>Tabela3[[#This Row],[Position_Size]]*Tabela3[[#This Row],[Retorno_Diário]]</f>
        <v>0</v>
      </c>
    </row>
    <row r="1104" spans="1:8" x14ac:dyDescent="0.2">
      <c r="A1104" s="11" t="s">
        <v>7409</v>
      </c>
      <c r="B1104" s="4" t="s">
        <v>7411</v>
      </c>
      <c r="C1104" s="5">
        <f t="shared" si="21"/>
        <v>1.0981274471058899E-2</v>
      </c>
      <c r="D1104" s="5"/>
      <c r="E1104" s="5"/>
      <c r="F1104" s="5">
        <f>IF(Tabela3[[#This Row],[Retorno_Diário]]&gt;0,1,-1)</f>
        <v>1</v>
      </c>
      <c r="G1104" s="5">
        <f>Tabela3[[#This Row],[Sinal_TSMOM]]*(0.4*Tabela3[[#This Row],[Volatilidade]])</f>
        <v>0</v>
      </c>
      <c r="H1104" s="5">
        <f>Tabela3[[#This Row],[Position_Size]]*Tabela3[[#This Row],[Retorno_Diário]]</f>
        <v>0</v>
      </c>
    </row>
    <row r="1105" spans="1:8" x14ac:dyDescent="0.2">
      <c r="A1105" s="11" t="s">
        <v>7416</v>
      </c>
      <c r="B1105" s="4" t="s">
        <v>7418</v>
      </c>
      <c r="C1105" s="5">
        <f t="shared" si="21"/>
        <v>-2.511097240025284E-2</v>
      </c>
      <c r="D1105" s="5"/>
      <c r="E1105" s="5"/>
      <c r="F1105" s="5">
        <f>IF(Tabela3[[#This Row],[Retorno_Diário]]&gt;0,1,-1)</f>
        <v>-1</v>
      </c>
      <c r="G1105" s="5">
        <f>Tabela3[[#This Row],[Sinal_TSMOM]]*(0.4*Tabela3[[#This Row],[Volatilidade]])</f>
        <v>0</v>
      </c>
      <c r="H1105" s="5">
        <f>Tabela3[[#This Row],[Position_Size]]*Tabela3[[#This Row],[Retorno_Diário]]</f>
        <v>0</v>
      </c>
    </row>
    <row r="1106" spans="1:8" x14ac:dyDescent="0.2">
      <c r="A1106" s="11" t="s">
        <v>7423</v>
      </c>
      <c r="B1106" s="4" t="s">
        <v>7425</v>
      </c>
      <c r="C1106" s="5">
        <f t="shared" si="21"/>
        <v>1.2219987422966705E-2</v>
      </c>
      <c r="D1106" s="5"/>
      <c r="E1106" s="5"/>
      <c r="F1106" s="5">
        <f>IF(Tabela3[[#This Row],[Retorno_Diário]]&gt;0,1,-1)</f>
        <v>1</v>
      </c>
      <c r="G1106" s="5">
        <f>Tabela3[[#This Row],[Sinal_TSMOM]]*(0.4*Tabela3[[#This Row],[Volatilidade]])</f>
        <v>0</v>
      </c>
      <c r="H1106" s="5">
        <f>Tabela3[[#This Row],[Position_Size]]*Tabela3[[#This Row],[Retorno_Diário]]</f>
        <v>0</v>
      </c>
    </row>
    <row r="1107" spans="1:8" x14ac:dyDescent="0.2">
      <c r="A1107" s="11" t="s">
        <v>7430</v>
      </c>
      <c r="B1107" s="4" t="s">
        <v>7432</v>
      </c>
      <c r="C1107" s="5">
        <f t="shared" si="21"/>
        <v>-4.4028959461111405E-2</v>
      </c>
      <c r="D1107" s="5"/>
      <c r="E1107" s="5"/>
      <c r="F1107" s="5">
        <f>IF(Tabela3[[#This Row],[Retorno_Diário]]&gt;0,1,-1)</f>
        <v>-1</v>
      </c>
      <c r="G1107" s="5">
        <f>Tabela3[[#This Row],[Sinal_TSMOM]]*(0.4*Tabela3[[#This Row],[Volatilidade]])</f>
        <v>0</v>
      </c>
      <c r="H1107" s="5">
        <f>Tabela3[[#This Row],[Position_Size]]*Tabela3[[#This Row],[Retorno_Diário]]</f>
        <v>0</v>
      </c>
    </row>
    <row r="1108" spans="1:8" x14ac:dyDescent="0.2">
      <c r="A1108" s="11" t="s">
        <v>7437</v>
      </c>
      <c r="B1108" s="4" t="s">
        <v>7439</v>
      </c>
      <c r="C1108" s="5">
        <f t="shared" si="21"/>
        <v>5.0823392780652288E-2</v>
      </c>
      <c r="D1108" s="5"/>
      <c r="E1108" s="5"/>
      <c r="F1108" s="5">
        <f>IF(Tabela3[[#This Row],[Retorno_Diário]]&gt;0,1,-1)</f>
        <v>1</v>
      </c>
      <c r="G1108" s="5">
        <f>Tabela3[[#This Row],[Sinal_TSMOM]]*(0.4*Tabela3[[#This Row],[Volatilidade]])</f>
        <v>0</v>
      </c>
      <c r="H1108" s="5">
        <f>Tabela3[[#This Row],[Position_Size]]*Tabela3[[#This Row],[Retorno_Diário]]</f>
        <v>0</v>
      </c>
    </row>
    <row r="1109" spans="1:8" x14ac:dyDescent="0.2">
      <c r="A1109" s="11" t="s">
        <v>7444</v>
      </c>
      <c r="B1109" s="4" t="s">
        <v>7446</v>
      </c>
      <c r="C1109" s="5">
        <f t="shared" si="21"/>
        <v>5.1605268394565584E-2</v>
      </c>
      <c r="D1109" s="5"/>
      <c r="E1109" s="5"/>
      <c r="F1109" s="5">
        <f>IF(Tabela3[[#This Row],[Retorno_Diário]]&gt;0,1,-1)</f>
        <v>1</v>
      </c>
      <c r="G1109" s="5">
        <f>Tabela3[[#This Row],[Sinal_TSMOM]]*(0.4*Tabela3[[#This Row],[Volatilidade]])</f>
        <v>0</v>
      </c>
      <c r="H1109" s="5">
        <f>Tabela3[[#This Row],[Position_Size]]*Tabela3[[#This Row],[Retorno_Diário]]</f>
        <v>0</v>
      </c>
    </row>
    <row r="1110" spans="1:8" x14ac:dyDescent="0.2">
      <c r="A1110" s="11" t="s">
        <v>7451</v>
      </c>
      <c r="B1110" s="4" t="s">
        <v>7453</v>
      </c>
      <c r="C1110" s="5">
        <f t="shared" si="21"/>
        <v>5.3778555870699352E-2</v>
      </c>
      <c r="D1110" s="5"/>
      <c r="E1110" s="5"/>
      <c r="F1110" s="5">
        <f>IF(Tabela3[[#This Row],[Retorno_Diário]]&gt;0,1,-1)</f>
        <v>1</v>
      </c>
      <c r="G1110" s="5">
        <f>Tabela3[[#This Row],[Sinal_TSMOM]]*(0.4*Tabela3[[#This Row],[Volatilidade]])</f>
        <v>0</v>
      </c>
      <c r="H1110" s="5">
        <f>Tabela3[[#This Row],[Position_Size]]*Tabela3[[#This Row],[Retorno_Diário]]</f>
        <v>0</v>
      </c>
    </row>
    <row r="1111" spans="1:8" x14ac:dyDescent="0.2">
      <c r="A1111" s="11" t="s">
        <v>7458</v>
      </c>
      <c r="B1111" s="4" t="s">
        <v>7460</v>
      </c>
      <c r="C1111" s="5">
        <f t="shared" si="21"/>
        <v>-7.3892899301637449E-3</v>
      </c>
      <c r="D1111" s="5"/>
      <c r="E1111" s="5"/>
      <c r="F1111" s="5">
        <f>IF(Tabela3[[#This Row],[Retorno_Diário]]&gt;0,1,-1)</f>
        <v>-1</v>
      </c>
      <c r="G1111" s="5">
        <f>Tabela3[[#This Row],[Sinal_TSMOM]]*(0.4*Tabela3[[#This Row],[Volatilidade]])</f>
        <v>0</v>
      </c>
      <c r="H1111" s="5">
        <f>Tabela3[[#This Row],[Position_Size]]*Tabela3[[#This Row],[Retorno_Diário]]</f>
        <v>0</v>
      </c>
    </row>
    <row r="1112" spans="1:8" x14ac:dyDescent="0.2">
      <c r="A1112" s="11" t="s">
        <v>7465</v>
      </c>
      <c r="B1112" s="4" t="s">
        <v>7467</v>
      </c>
      <c r="C1112" s="5">
        <f t="shared" si="21"/>
        <v>-1.8851819489152599E-2</v>
      </c>
      <c r="D1112" s="5"/>
      <c r="E1112" s="5"/>
      <c r="F1112" s="5">
        <f>IF(Tabela3[[#This Row],[Retorno_Diário]]&gt;0,1,-1)</f>
        <v>-1</v>
      </c>
      <c r="G1112" s="5">
        <f>Tabela3[[#This Row],[Sinal_TSMOM]]*(0.4*Tabela3[[#This Row],[Volatilidade]])</f>
        <v>0</v>
      </c>
      <c r="H1112" s="5">
        <f>Tabela3[[#This Row],[Position_Size]]*Tabela3[[#This Row],[Retorno_Diário]]</f>
        <v>0</v>
      </c>
    </row>
    <row r="1113" spans="1:8" x14ac:dyDescent="0.2">
      <c r="A1113" s="11" t="s">
        <v>7472</v>
      </c>
      <c r="B1113" s="4" t="s">
        <v>7474</v>
      </c>
      <c r="C1113" s="5">
        <f t="shared" si="21"/>
        <v>6.9432280585144612E-2</v>
      </c>
      <c r="D1113" s="5"/>
      <c r="E1113" s="5"/>
      <c r="F1113" s="5">
        <f>IF(Tabela3[[#This Row],[Retorno_Diário]]&gt;0,1,-1)</f>
        <v>1</v>
      </c>
      <c r="G1113" s="5">
        <f>Tabela3[[#This Row],[Sinal_TSMOM]]*(0.4*Tabela3[[#This Row],[Volatilidade]])</f>
        <v>0</v>
      </c>
      <c r="H1113" s="5">
        <f>Tabela3[[#This Row],[Position_Size]]*Tabela3[[#This Row],[Retorno_Diário]]</f>
        <v>0</v>
      </c>
    </row>
    <row r="1114" spans="1:8" x14ac:dyDescent="0.2">
      <c r="A1114" s="11" t="s">
        <v>7478</v>
      </c>
      <c r="B1114" s="4" t="s">
        <v>7480</v>
      </c>
      <c r="C1114" s="5">
        <f t="shared" si="21"/>
        <v>-4.450795134274832E-2</v>
      </c>
      <c r="D1114" s="5"/>
      <c r="E1114" s="5"/>
      <c r="F1114" s="5">
        <f>IF(Tabela3[[#This Row],[Retorno_Diário]]&gt;0,1,-1)</f>
        <v>-1</v>
      </c>
      <c r="G1114" s="5">
        <f>Tabela3[[#This Row],[Sinal_TSMOM]]*(0.4*Tabela3[[#This Row],[Volatilidade]])</f>
        <v>0</v>
      </c>
      <c r="H1114" s="5">
        <f>Tabela3[[#This Row],[Position_Size]]*Tabela3[[#This Row],[Retorno_Diário]]</f>
        <v>0</v>
      </c>
    </row>
    <row r="1115" spans="1:8" x14ac:dyDescent="0.2">
      <c r="A1115" s="11" t="s">
        <v>7485</v>
      </c>
      <c r="B1115" s="4" t="s">
        <v>7487</v>
      </c>
      <c r="C1115" s="5">
        <f t="shared" si="21"/>
        <v>3.5256403398593594E-3</v>
      </c>
      <c r="D1115" s="5"/>
      <c r="E1115" s="5"/>
      <c r="F1115" s="5">
        <f>IF(Tabela3[[#This Row],[Retorno_Diário]]&gt;0,1,-1)</f>
        <v>1</v>
      </c>
      <c r="G1115" s="5">
        <f>Tabela3[[#This Row],[Sinal_TSMOM]]*(0.4*Tabela3[[#This Row],[Volatilidade]])</f>
        <v>0</v>
      </c>
      <c r="H1115" s="5">
        <f>Tabela3[[#This Row],[Position_Size]]*Tabela3[[#This Row],[Retorno_Diário]]</f>
        <v>0</v>
      </c>
    </row>
    <row r="1116" spans="1:8" x14ac:dyDescent="0.2">
      <c r="A1116" s="11" t="s">
        <v>7492</v>
      </c>
      <c r="B1116" s="4" t="s">
        <v>7494</v>
      </c>
      <c r="C1116" s="5">
        <f t="shared" si="21"/>
        <v>7.4524274581011518E-3</v>
      </c>
      <c r="D1116" s="5"/>
      <c r="E1116" s="5"/>
      <c r="F1116" s="5">
        <f>IF(Tabela3[[#This Row],[Retorno_Diário]]&gt;0,1,-1)</f>
        <v>1</v>
      </c>
      <c r="G1116" s="5">
        <f>Tabela3[[#This Row],[Sinal_TSMOM]]*(0.4*Tabela3[[#This Row],[Volatilidade]])</f>
        <v>0</v>
      </c>
      <c r="H1116" s="5">
        <f>Tabela3[[#This Row],[Position_Size]]*Tabela3[[#This Row],[Retorno_Diário]]</f>
        <v>0</v>
      </c>
    </row>
    <row r="1117" spans="1:8" x14ac:dyDescent="0.2">
      <c r="A1117" s="11" t="s">
        <v>7498</v>
      </c>
      <c r="B1117" s="4" t="s">
        <v>7500</v>
      </c>
      <c r="C1117" s="5">
        <f t="shared" si="21"/>
        <v>-1.4688780999076001E-2</v>
      </c>
      <c r="D1117" s="5"/>
      <c r="E1117" s="5"/>
      <c r="F1117" s="5">
        <f>IF(Tabela3[[#This Row],[Retorno_Diário]]&gt;0,1,-1)</f>
        <v>-1</v>
      </c>
      <c r="G1117" s="5">
        <f>Tabela3[[#This Row],[Sinal_TSMOM]]*(0.4*Tabela3[[#This Row],[Volatilidade]])</f>
        <v>0</v>
      </c>
      <c r="H1117" s="5">
        <f>Tabela3[[#This Row],[Position_Size]]*Tabela3[[#This Row],[Retorno_Diário]]</f>
        <v>0</v>
      </c>
    </row>
    <row r="1118" spans="1:8" x14ac:dyDescent="0.2">
      <c r="A1118" s="11" t="s">
        <v>7505</v>
      </c>
      <c r="B1118" s="4" t="s">
        <v>7507</v>
      </c>
      <c r="C1118" s="5">
        <f t="shared" si="21"/>
        <v>-3.2175051393980358E-2</v>
      </c>
      <c r="D1118" s="5"/>
      <c r="E1118" s="5"/>
      <c r="F1118" s="5">
        <f>IF(Tabela3[[#This Row],[Retorno_Diário]]&gt;0,1,-1)</f>
        <v>-1</v>
      </c>
      <c r="G1118" s="5">
        <f>Tabela3[[#This Row],[Sinal_TSMOM]]*(0.4*Tabela3[[#This Row],[Volatilidade]])</f>
        <v>0</v>
      </c>
      <c r="H1118" s="5">
        <f>Tabela3[[#This Row],[Position_Size]]*Tabela3[[#This Row],[Retorno_Diário]]</f>
        <v>0</v>
      </c>
    </row>
    <row r="1119" spans="1:8" x14ac:dyDescent="0.2">
      <c r="A1119" s="11" t="s">
        <v>7512</v>
      </c>
      <c r="B1119" s="4" t="s">
        <v>7514</v>
      </c>
      <c r="C1119" s="5">
        <f t="shared" si="21"/>
        <v>-5.9507944643771071E-2</v>
      </c>
      <c r="D1119" s="5"/>
      <c r="E1119" s="5"/>
      <c r="F1119" s="5">
        <f>IF(Tabela3[[#This Row],[Retorno_Diário]]&gt;0,1,-1)</f>
        <v>-1</v>
      </c>
      <c r="G1119" s="5">
        <f>Tabela3[[#This Row],[Sinal_TSMOM]]*(0.4*Tabela3[[#This Row],[Volatilidade]])</f>
        <v>0</v>
      </c>
      <c r="H1119" s="5">
        <f>Tabela3[[#This Row],[Position_Size]]*Tabela3[[#This Row],[Retorno_Diário]]</f>
        <v>0</v>
      </c>
    </row>
    <row r="1120" spans="1:8" x14ac:dyDescent="0.2">
      <c r="A1120" s="11" t="s">
        <v>7519</v>
      </c>
      <c r="B1120" s="4" t="s">
        <v>7521</v>
      </c>
      <c r="C1120" s="5">
        <f t="shared" si="21"/>
        <v>-7.8178422600071462E-2</v>
      </c>
      <c r="D1120" s="5"/>
      <c r="E1120" s="5"/>
      <c r="F1120" s="5">
        <f>IF(Tabela3[[#This Row],[Retorno_Diário]]&gt;0,1,-1)</f>
        <v>-1</v>
      </c>
      <c r="G1120" s="5">
        <f>Tabela3[[#This Row],[Sinal_TSMOM]]*(0.4*Tabela3[[#This Row],[Volatilidade]])</f>
        <v>0</v>
      </c>
      <c r="H1120" s="5">
        <f>Tabela3[[#This Row],[Position_Size]]*Tabela3[[#This Row],[Retorno_Diário]]</f>
        <v>0</v>
      </c>
    </row>
    <row r="1121" spans="1:8" x14ac:dyDescent="0.2">
      <c r="A1121" s="11" t="s">
        <v>7525</v>
      </c>
      <c r="B1121" s="4" t="s">
        <v>7527</v>
      </c>
      <c r="C1121" s="5">
        <f t="shared" si="21"/>
        <v>1.2079000825802266E-2</v>
      </c>
      <c r="D1121" s="5"/>
      <c r="E1121" s="5"/>
      <c r="F1121" s="5">
        <f>IF(Tabela3[[#This Row],[Retorno_Diário]]&gt;0,1,-1)</f>
        <v>1</v>
      </c>
      <c r="G1121" s="5">
        <f>Tabela3[[#This Row],[Sinal_TSMOM]]*(0.4*Tabela3[[#This Row],[Volatilidade]])</f>
        <v>0</v>
      </c>
      <c r="H1121" s="5">
        <f>Tabela3[[#This Row],[Position_Size]]*Tabela3[[#This Row],[Retorno_Diário]]</f>
        <v>0</v>
      </c>
    </row>
    <row r="1122" spans="1:8" x14ac:dyDescent="0.2">
      <c r="A1122" s="11" t="s">
        <v>7532</v>
      </c>
      <c r="B1122" s="4" t="s">
        <v>7534</v>
      </c>
      <c r="C1122" s="5">
        <f t="shared" si="21"/>
        <v>4.3634754068742954E-2</v>
      </c>
      <c r="D1122" s="5"/>
      <c r="E1122" s="5"/>
      <c r="F1122" s="5">
        <f>IF(Tabela3[[#This Row],[Retorno_Diário]]&gt;0,1,-1)</f>
        <v>1</v>
      </c>
      <c r="G1122" s="5">
        <f>Tabela3[[#This Row],[Sinal_TSMOM]]*(0.4*Tabela3[[#This Row],[Volatilidade]])</f>
        <v>0</v>
      </c>
      <c r="H1122" s="5">
        <f>Tabela3[[#This Row],[Position_Size]]*Tabela3[[#This Row],[Retorno_Diário]]</f>
        <v>0</v>
      </c>
    </row>
    <row r="1123" spans="1:8" x14ac:dyDescent="0.2">
      <c r="A1123" s="11" t="s">
        <v>7539</v>
      </c>
      <c r="B1123" s="4" t="s">
        <v>7541</v>
      </c>
      <c r="C1123" s="5">
        <f t="shared" si="21"/>
        <v>-5.6029561998807709E-2</v>
      </c>
      <c r="D1123" s="5"/>
      <c r="E1123" s="5"/>
      <c r="F1123" s="5">
        <f>IF(Tabela3[[#This Row],[Retorno_Diário]]&gt;0,1,-1)</f>
        <v>-1</v>
      </c>
      <c r="G1123" s="5">
        <f>Tabela3[[#This Row],[Sinal_TSMOM]]*(0.4*Tabela3[[#This Row],[Volatilidade]])</f>
        <v>0</v>
      </c>
      <c r="H1123" s="5">
        <f>Tabela3[[#This Row],[Position_Size]]*Tabela3[[#This Row],[Retorno_Diário]]</f>
        <v>0</v>
      </c>
    </row>
    <row r="1124" spans="1:8" x14ac:dyDescent="0.2">
      <c r="A1124" s="11" t="s">
        <v>7546</v>
      </c>
      <c r="B1124" s="4" t="s">
        <v>7548</v>
      </c>
      <c r="C1124" s="5">
        <f t="shared" si="21"/>
        <v>1.7883487294999334E-2</v>
      </c>
      <c r="D1124" s="5"/>
      <c r="E1124" s="5"/>
      <c r="F1124" s="5">
        <f>IF(Tabela3[[#This Row],[Retorno_Diário]]&gt;0,1,-1)</f>
        <v>1</v>
      </c>
      <c r="G1124" s="5">
        <f>Tabela3[[#This Row],[Sinal_TSMOM]]*(0.4*Tabela3[[#This Row],[Volatilidade]])</f>
        <v>0</v>
      </c>
      <c r="H1124" s="5">
        <f>Tabela3[[#This Row],[Position_Size]]*Tabela3[[#This Row],[Retorno_Diário]]</f>
        <v>0</v>
      </c>
    </row>
    <row r="1125" spans="1:8" x14ac:dyDescent="0.2">
      <c r="A1125" s="11" t="s">
        <v>7553</v>
      </c>
      <c r="B1125" s="4" t="s">
        <v>7555</v>
      </c>
      <c r="C1125" s="5">
        <f t="shared" si="21"/>
        <v>4.3198983964519488E-2</v>
      </c>
      <c r="D1125" s="5"/>
      <c r="E1125" s="5"/>
      <c r="F1125" s="5">
        <f>IF(Tabela3[[#This Row],[Retorno_Diário]]&gt;0,1,-1)</f>
        <v>1</v>
      </c>
      <c r="G1125" s="5">
        <f>Tabela3[[#This Row],[Sinal_TSMOM]]*(0.4*Tabela3[[#This Row],[Volatilidade]])</f>
        <v>0</v>
      </c>
      <c r="H1125" s="5">
        <f>Tabela3[[#This Row],[Position_Size]]*Tabela3[[#This Row],[Retorno_Diário]]</f>
        <v>0</v>
      </c>
    </row>
    <row r="1126" spans="1:8" x14ac:dyDescent="0.2">
      <c r="A1126" s="11" t="s">
        <v>7560</v>
      </c>
      <c r="B1126" s="4" t="s">
        <v>7562</v>
      </c>
      <c r="C1126" s="5">
        <f t="shared" si="21"/>
        <v>-1.2435070299374962E-2</v>
      </c>
      <c r="D1126" s="5"/>
      <c r="E1126" s="5"/>
      <c r="F1126" s="5">
        <f>IF(Tabela3[[#This Row],[Retorno_Diário]]&gt;0,1,-1)</f>
        <v>-1</v>
      </c>
      <c r="G1126" s="5">
        <f>Tabela3[[#This Row],[Sinal_TSMOM]]*(0.4*Tabela3[[#This Row],[Volatilidade]])</f>
        <v>0</v>
      </c>
      <c r="H1126" s="5">
        <f>Tabela3[[#This Row],[Position_Size]]*Tabela3[[#This Row],[Retorno_Diário]]</f>
        <v>0</v>
      </c>
    </row>
    <row r="1127" spans="1:8" x14ac:dyDescent="0.2">
      <c r="A1127" s="11" t="s">
        <v>7567</v>
      </c>
      <c r="B1127" s="4" t="s">
        <v>7569</v>
      </c>
      <c r="C1127" s="5">
        <f t="shared" si="21"/>
        <v>-8.251847423304981E-3</v>
      </c>
      <c r="D1127" s="5"/>
      <c r="E1127" s="5"/>
      <c r="F1127" s="5">
        <f>IF(Tabela3[[#This Row],[Retorno_Diário]]&gt;0,1,-1)</f>
        <v>-1</v>
      </c>
      <c r="G1127" s="5">
        <f>Tabela3[[#This Row],[Sinal_TSMOM]]*(0.4*Tabela3[[#This Row],[Volatilidade]])</f>
        <v>0</v>
      </c>
      <c r="H1127" s="5">
        <f>Tabela3[[#This Row],[Position_Size]]*Tabela3[[#This Row],[Retorno_Diário]]</f>
        <v>0</v>
      </c>
    </row>
    <row r="1128" spans="1:8" x14ac:dyDescent="0.2">
      <c r="A1128" s="11" t="s">
        <v>7574</v>
      </c>
      <c r="B1128" s="4" t="s">
        <v>7576</v>
      </c>
      <c r="C1128" s="5">
        <f t="shared" si="21"/>
        <v>5.5531528383987894E-2</v>
      </c>
      <c r="D1128" s="5"/>
      <c r="E1128" s="5"/>
      <c r="F1128" s="5">
        <f>IF(Tabela3[[#This Row],[Retorno_Diário]]&gt;0,1,-1)</f>
        <v>1</v>
      </c>
      <c r="G1128" s="5">
        <f>Tabela3[[#This Row],[Sinal_TSMOM]]*(0.4*Tabela3[[#This Row],[Volatilidade]])</f>
        <v>0</v>
      </c>
      <c r="H1128" s="5">
        <f>Tabela3[[#This Row],[Position_Size]]*Tabela3[[#This Row],[Retorno_Diário]]</f>
        <v>0</v>
      </c>
    </row>
    <row r="1129" spans="1:8" x14ac:dyDescent="0.2">
      <c r="A1129" s="11" t="s">
        <v>7581</v>
      </c>
      <c r="B1129" s="4" t="s">
        <v>7516</v>
      </c>
      <c r="C1129" s="5">
        <f t="shared" si="21"/>
        <v>-1.5006421681985072E-2</v>
      </c>
      <c r="D1129" s="5"/>
      <c r="E1129" s="5"/>
      <c r="F1129" s="5">
        <f>IF(Tabela3[[#This Row],[Retorno_Diário]]&gt;0,1,-1)</f>
        <v>-1</v>
      </c>
      <c r="G1129" s="5">
        <f>Tabela3[[#This Row],[Sinal_TSMOM]]*(0.4*Tabela3[[#This Row],[Volatilidade]])</f>
        <v>0</v>
      </c>
      <c r="H1129" s="5">
        <f>Tabela3[[#This Row],[Position_Size]]*Tabela3[[#This Row],[Retorno_Diário]]</f>
        <v>0</v>
      </c>
    </row>
    <row r="1130" spans="1:8" x14ac:dyDescent="0.2">
      <c r="A1130" s="11" t="s">
        <v>7587</v>
      </c>
      <c r="B1130" s="4" t="s">
        <v>7589</v>
      </c>
      <c r="C1130" s="5">
        <f t="shared" si="21"/>
        <v>-5.2581608721814055E-2</v>
      </c>
      <c r="D1130" s="5"/>
      <c r="E1130" s="5"/>
      <c r="F1130" s="5">
        <f>IF(Tabela3[[#This Row],[Retorno_Diário]]&gt;0,1,-1)</f>
        <v>-1</v>
      </c>
      <c r="G1130" s="5">
        <f>Tabela3[[#This Row],[Sinal_TSMOM]]*(0.4*Tabela3[[#This Row],[Volatilidade]])</f>
        <v>0</v>
      </c>
      <c r="H1130" s="5">
        <f>Tabela3[[#This Row],[Position_Size]]*Tabela3[[#This Row],[Retorno_Diário]]</f>
        <v>0</v>
      </c>
    </row>
    <row r="1131" spans="1:8" x14ac:dyDescent="0.2">
      <c r="A1131" s="11" t="s">
        <v>7594</v>
      </c>
      <c r="B1131" s="4" t="s">
        <v>7596</v>
      </c>
      <c r="C1131" s="5">
        <f t="shared" si="21"/>
        <v>-2.7531005155520982E-2</v>
      </c>
      <c r="D1131" s="5"/>
      <c r="E1131" s="5"/>
      <c r="F1131" s="5">
        <f>IF(Tabela3[[#This Row],[Retorno_Diário]]&gt;0,1,-1)</f>
        <v>-1</v>
      </c>
      <c r="G1131" s="5">
        <f>Tabela3[[#This Row],[Sinal_TSMOM]]*(0.4*Tabela3[[#This Row],[Volatilidade]])</f>
        <v>0</v>
      </c>
      <c r="H1131" s="5">
        <f>Tabela3[[#This Row],[Position_Size]]*Tabela3[[#This Row],[Retorno_Diário]]</f>
        <v>0</v>
      </c>
    </row>
    <row r="1132" spans="1:8" x14ac:dyDescent="0.2">
      <c r="A1132" s="11" t="s">
        <v>7601</v>
      </c>
      <c r="B1132" s="4" t="s">
        <v>7603</v>
      </c>
      <c r="C1132" s="5">
        <f t="shared" si="21"/>
        <v>-2.4642866084046089E-2</v>
      </c>
      <c r="D1132" s="5"/>
      <c r="E1132" s="5"/>
      <c r="F1132" s="5">
        <f>IF(Tabela3[[#This Row],[Retorno_Diário]]&gt;0,1,-1)</f>
        <v>-1</v>
      </c>
      <c r="G1132" s="5">
        <f>Tabela3[[#This Row],[Sinal_TSMOM]]*(0.4*Tabela3[[#This Row],[Volatilidade]])</f>
        <v>0</v>
      </c>
      <c r="H1132" s="5">
        <f>Tabela3[[#This Row],[Position_Size]]*Tabela3[[#This Row],[Retorno_Diário]]</f>
        <v>0</v>
      </c>
    </row>
    <row r="1133" spans="1:8" x14ac:dyDescent="0.2">
      <c r="A1133" s="11" t="s">
        <v>7607</v>
      </c>
      <c r="B1133" s="4" t="s">
        <v>5604</v>
      </c>
      <c r="C1133" s="5">
        <f t="shared" si="21"/>
        <v>-4.1955314769769103E-2</v>
      </c>
      <c r="D1133" s="5"/>
      <c r="E1133" s="5"/>
      <c r="F1133" s="5">
        <f>IF(Tabela3[[#This Row],[Retorno_Diário]]&gt;0,1,-1)</f>
        <v>-1</v>
      </c>
      <c r="G1133" s="5">
        <f>Tabela3[[#This Row],[Sinal_TSMOM]]*(0.4*Tabela3[[#This Row],[Volatilidade]])</f>
        <v>0</v>
      </c>
      <c r="H1133" s="5">
        <f>Tabela3[[#This Row],[Position_Size]]*Tabela3[[#This Row],[Retorno_Diário]]</f>
        <v>0</v>
      </c>
    </row>
    <row r="1134" spans="1:8" x14ac:dyDescent="0.2">
      <c r="A1134" s="11" t="s">
        <v>7613</v>
      </c>
      <c r="B1134" s="4" t="s">
        <v>7615</v>
      </c>
      <c r="C1134" s="5">
        <f t="shared" si="21"/>
        <v>3.0365626380431943E-2</v>
      </c>
      <c r="D1134" s="5"/>
      <c r="E1134" s="5"/>
      <c r="F1134" s="5">
        <f>IF(Tabela3[[#This Row],[Retorno_Diário]]&gt;0,1,-1)</f>
        <v>1</v>
      </c>
      <c r="G1134" s="5">
        <f>Tabela3[[#This Row],[Sinal_TSMOM]]*(0.4*Tabela3[[#This Row],[Volatilidade]])</f>
        <v>0</v>
      </c>
      <c r="H1134" s="5">
        <f>Tabela3[[#This Row],[Position_Size]]*Tabela3[[#This Row],[Retorno_Diário]]</f>
        <v>0</v>
      </c>
    </row>
    <row r="1135" spans="1:8" x14ac:dyDescent="0.2">
      <c r="A1135" s="11" t="s">
        <v>7619</v>
      </c>
      <c r="B1135" s="4" t="s">
        <v>7621</v>
      </c>
      <c r="C1135" s="5">
        <f t="shared" si="21"/>
        <v>1.1093315223467348E-2</v>
      </c>
      <c r="D1135" s="5"/>
      <c r="E1135" s="5"/>
      <c r="F1135" s="5">
        <f>IF(Tabela3[[#This Row],[Retorno_Diário]]&gt;0,1,-1)</f>
        <v>1</v>
      </c>
      <c r="G1135" s="5">
        <f>Tabela3[[#This Row],[Sinal_TSMOM]]*(0.4*Tabela3[[#This Row],[Volatilidade]])</f>
        <v>0</v>
      </c>
      <c r="H1135" s="5">
        <f>Tabela3[[#This Row],[Position_Size]]*Tabela3[[#This Row],[Retorno_Diário]]</f>
        <v>0</v>
      </c>
    </row>
    <row r="1136" spans="1:8" x14ac:dyDescent="0.2">
      <c r="A1136" s="11" t="s">
        <v>7626</v>
      </c>
      <c r="B1136" s="4" t="s">
        <v>7628</v>
      </c>
      <c r="C1136" s="5">
        <f t="shared" si="21"/>
        <v>4.8116304143313027E-2</v>
      </c>
      <c r="D1136" s="5"/>
      <c r="E1136" s="5"/>
      <c r="F1136" s="5">
        <f>IF(Tabela3[[#This Row],[Retorno_Diário]]&gt;0,1,-1)</f>
        <v>1</v>
      </c>
      <c r="G1136" s="5">
        <f>Tabela3[[#This Row],[Sinal_TSMOM]]*(0.4*Tabela3[[#This Row],[Volatilidade]])</f>
        <v>0</v>
      </c>
      <c r="H1136" s="5">
        <f>Tabela3[[#This Row],[Position_Size]]*Tabela3[[#This Row],[Retorno_Diário]]</f>
        <v>0</v>
      </c>
    </row>
    <row r="1137" spans="1:8" x14ac:dyDescent="0.2">
      <c r="A1137" s="11" t="s">
        <v>7632</v>
      </c>
      <c r="B1137" s="4" t="s">
        <v>7634</v>
      </c>
      <c r="C1137" s="5">
        <f t="shared" si="21"/>
        <v>-1.2611618324863683E-3</v>
      </c>
      <c r="D1137" s="5"/>
      <c r="E1137" s="5"/>
      <c r="F1137" s="5">
        <f>IF(Tabela3[[#This Row],[Retorno_Diário]]&gt;0,1,-1)</f>
        <v>-1</v>
      </c>
      <c r="G1137" s="5">
        <f>Tabela3[[#This Row],[Sinal_TSMOM]]*(0.4*Tabela3[[#This Row],[Volatilidade]])</f>
        <v>0</v>
      </c>
      <c r="H1137" s="5">
        <f>Tabela3[[#This Row],[Position_Size]]*Tabela3[[#This Row],[Retorno_Diário]]</f>
        <v>0</v>
      </c>
    </row>
    <row r="1138" spans="1:8" x14ac:dyDescent="0.2">
      <c r="A1138" s="11" t="s">
        <v>7638</v>
      </c>
      <c r="B1138" s="4" t="s">
        <v>7640</v>
      </c>
      <c r="C1138" s="5">
        <f t="shared" si="21"/>
        <v>-4.3313540687745733E-2</v>
      </c>
      <c r="D1138" s="5"/>
      <c r="E1138" s="5"/>
      <c r="F1138" s="5">
        <f>IF(Tabela3[[#This Row],[Retorno_Diário]]&gt;0,1,-1)</f>
        <v>-1</v>
      </c>
      <c r="G1138" s="5">
        <f>Tabela3[[#This Row],[Sinal_TSMOM]]*(0.4*Tabela3[[#This Row],[Volatilidade]])</f>
        <v>0</v>
      </c>
      <c r="H1138" s="5">
        <f>Tabela3[[#This Row],[Position_Size]]*Tabela3[[#This Row],[Retorno_Diário]]</f>
        <v>0</v>
      </c>
    </row>
    <row r="1139" spans="1:8" x14ac:dyDescent="0.2">
      <c r="A1139" s="11" t="s">
        <v>7645</v>
      </c>
      <c r="B1139" s="4" t="s">
        <v>7647</v>
      </c>
      <c r="C1139" s="5">
        <f t="shared" si="21"/>
        <v>-4.6198948339933876E-3</v>
      </c>
      <c r="D1139" s="5"/>
      <c r="E1139" s="5"/>
      <c r="F1139" s="5">
        <f>IF(Tabela3[[#This Row],[Retorno_Diário]]&gt;0,1,-1)</f>
        <v>-1</v>
      </c>
      <c r="G1139" s="5">
        <f>Tabela3[[#This Row],[Sinal_TSMOM]]*(0.4*Tabela3[[#This Row],[Volatilidade]])</f>
        <v>0</v>
      </c>
      <c r="H1139" s="5">
        <f>Tabela3[[#This Row],[Position_Size]]*Tabela3[[#This Row],[Retorno_Diário]]</f>
        <v>0</v>
      </c>
    </row>
    <row r="1140" spans="1:8" x14ac:dyDescent="0.2">
      <c r="A1140" s="11" t="s">
        <v>7652</v>
      </c>
      <c r="B1140" s="4" t="s">
        <v>7654</v>
      </c>
      <c r="C1140" s="5">
        <f t="shared" si="21"/>
        <v>5.4369301120895663E-3</v>
      </c>
      <c r="D1140" s="5"/>
      <c r="E1140" s="5"/>
      <c r="F1140" s="5">
        <f>IF(Tabela3[[#This Row],[Retorno_Diário]]&gt;0,1,-1)</f>
        <v>1</v>
      </c>
      <c r="G1140" s="5">
        <f>Tabela3[[#This Row],[Sinal_TSMOM]]*(0.4*Tabela3[[#This Row],[Volatilidade]])</f>
        <v>0</v>
      </c>
      <c r="H1140" s="5">
        <f>Tabela3[[#This Row],[Position_Size]]*Tabela3[[#This Row],[Retorno_Diário]]</f>
        <v>0</v>
      </c>
    </row>
    <row r="1141" spans="1:8" x14ac:dyDescent="0.2">
      <c r="A1141" s="11" t="s">
        <v>7658</v>
      </c>
      <c r="B1141" s="4" t="s">
        <v>7660</v>
      </c>
      <c r="C1141" s="5">
        <f t="shared" si="21"/>
        <v>1.3716709916586245E-2</v>
      </c>
      <c r="D1141" s="5"/>
      <c r="E1141" s="5"/>
      <c r="F1141" s="5">
        <f>IF(Tabela3[[#This Row],[Retorno_Diário]]&gt;0,1,-1)</f>
        <v>1</v>
      </c>
      <c r="G1141" s="5">
        <f>Tabela3[[#This Row],[Sinal_TSMOM]]*(0.4*Tabela3[[#This Row],[Volatilidade]])</f>
        <v>0</v>
      </c>
      <c r="H1141" s="5">
        <f>Tabela3[[#This Row],[Position_Size]]*Tabela3[[#This Row],[Retorno_Diário]]</f>
        <v>0</v>
      </c>
    </row>
    <row r="1142" spans="1:8" x14ac:dyDescent="0.2">
      <c r="A1142" s="11" t="s">
        <v>7665</v>
      </c>
      <c r="B1142" s="4" t="s">
        <v>7667</v>
      </c>
      <c r="C1142" s="5">
        <f t="shared" si="21"/>
        <v>2.5370826821752512E-2</v>
      </c>
      <c r="D1142" s="5"/>
      <c r="E1142" s="5"/>
      <c r="F1142" s="5">
        <f>IF(Tabela3[[#This Row],[Retorno_Diário]]&gt;0,1,-1)</f>
        <v>1</v>
      </c>
      <c r="G1142" s="5">
        <f>Tabela3[[#This Row],[Sinal_TSMOM]]*(0.4*Tabela3[[#This Row],[Volatilidade]])</f>
        <v>0</v>
      </c>
      <c r="H1142" s="5">
        <f>Tabela3[[#This Row],[Position_Size]]*Tabela3[[#This Row],[Retorno_Diário]]</f>
        <v>0</v>
      </c>
    </row>
    <row r="1143" spans="1:8" x14ac:dyDescent="0.2">
      <c r="A1143" s="11" t="s">
        <v>7672</v>
      </c>
      <c r="B1143" s="4" t="s">
        <v>7674</v>
      </c>
      <c r="C1143" s="5">
        <f t="shared" si="21"/>
        <v>2.150740682813268E-2</v>
      </c>
      <c r="D1143" s="5"/>
      <c r="E1143" s="5"/>
      <c r="F1143" s="5">
        <f>IF(Tabela3[[#This Row],[Retorno_Diário]]&gt;0,1,-1)</f>
        <v>1</v>
      </c>
      <c r="G1143" s="5">
        <f>Tabela3[[#This Row],[Sinal_TSMOM]]*(0.4*Tabela3[[#This Row],[Volatilidade]])</f>
        <v>0</v>
      </c>
      <c r="H1143" s="5">
        <f>Tabela3[[#This Row],[Position_Size]]*Tabela3[[#This Row],[Retorno_Diário]]</f>
        <v>0</v>
      </c>
    </row>
    <row r="1144" spans="1:8" x14ac:dyDescent="0.2">
      <c r="A1144" s="11" t="s">
        <v>7679</v>
      </c>
      <c r="B1144" s="4" t="s">
        <v>7681</v>
      </c>
      <c r="C1144" s="5">
        <f t="shared" si="21"/>
        <v>5.533822476671868E-2</v>
      </c>
      <c r="D1144" s="5"/>
      <c r="E1144" s="5"/>
      <c r="F1144" s="5">
        <f>IF(Tabela3[[#This Row],[Retorno_Diário]]&gt;0,1,-1)</f>
        <v>1</v>
      </c>
      <c r="G1144" s="5">
        <f>Tabela3[[#This Row],[Sinal_TSMOM]]*(0.4*Tabela3[[#This Row],[Volatilidade]])</f>
        <v>0</v>
      </c>
      <c r="H1144" s="5">
        <f>Tabela3[[#This Row],[Position_Size]]*Tabela3[[#This Row],[Retorno_Diário]]</f>
        <v>0</v>
      </c>
    </row>
    <row r="1145" spans="1:8" x14ac:dyDescent="0.2">
      <c r="A1145" s="11" t="s">
        <v>7686</v>
      </c>
      <c r="B1145" s="4" t="s">
        <v>7688</v>
      </c>
      <c r="C1145" s="5">
        <f t="shared" si="21"/>
        <v>4.7963665189385774E-2</v>
      </c>
      <c r="D1145" s="5"/>
      <c r="E1145" s="5"/>
      <c r="F1145" s="5">
        <f>IF(Tabela3[[#This Row],[Retorno_Diário]]&gt;0,1,-1)</f>
        <v>1</v>
      </c>
      <c r="G1145" s="5">
        <f>Tabela3[[#This Row],[Sinal_TSMOM]]*(0.4*Tabela3[[#This Row],[Volatilidade]])</f>
        <v>0</v>
      </c>
      <c r="H1145" s="5">
        <f>Tabela3[[#This Row],[Position_Size]]*Tabela3[[#This Row],[Retorno_Diário]]</f>
        <v>0</v>
      </c>
    </row>
    <row r="1146" spans="1:8" x14ac:dyDescent="0.2">
      <c r="A1146" s="11" t="s">
        <v>7693</v>
      </c>
      <c r="B1146" s="4" t="s">
        <v>7695</v>
      </c>
      <c r="C1146" s="5">
        <f t="shared" si="21"/>
        <v>1.3646321185228905E-2</v>
      </c>
      <c r="D1146" s="5"/>
      <c r="E1146" s="5"/>
      <c r="F1146" s="5">
        <f>IF(Tabela3[[#This Row],[Retorno_Diário]]&gt;0,1,-1)</f>
        <v>1</v>
      </c>
      <c r="G1146" s="5">
        <f>Tabela3[[#This Row],[Sinal_TSMOM]]*(0.4*Tabela3[[#This Row],[Volatilidade]])</f>
        <v>0</v>
      </c>
      <c r="H1146" s="5">
        <f>Tabela3[[#This Row],[Position_Size]]*Tabela3[[#This Row],[Retorno_Diário]]</f>
        <v>0</v>
      </c>
    </row>
    <row r="1147" spans="1:8" x14ac:dyDescent="0.2">
      <c r="A1147" s="11" t="s">
        <v>7700</v>
      </c>
      <c r="B1147" s="4" t="s">
        <v>7702</v>
      </c>
      <c r="C1147" s="5">
        <f t="shared" si="21"/>
        <v>-4.0498560876335299E-2</v>
      </c>
      <c r="D1147" s="5"/>
      <c r="E1147" s="5"/>
      <c r="F1147" s="5">
        <f>IF(Tabela3[[#This Row],[Retorno_Diário]]&gt;0,1,-1)</f>
        <v>-1</v>
      </c>
      <c r="G1147" s="5">
        <f>Tabela3[[#This Row],[Sinal_TSMOM]]*(0.4*Tabela3[[#This Row],[Volatilidade]])</f>
        <v>0</v>
      </c>
      <c r="H1147" s="5">
        <f>Tabela3[[#This Row],[Position_Size]]*Tabela3[[#This Row],[Retorno_Diário]]</f>
        <v>0</v>
      </c>
    </row>
    <row r="1148" spans="1:8" x14ac:dyDescent="0.2">
      <c r="A1148" s="11" t="s">
        <v>7707</v>
      </c>
      <c r="B1148" s="4" t="s">
        <v>7709</v>
      </c>
      <c r="C1148" s="5">
        <f t="shared" si="21"/>
        <v>-1.7033320176423228E-2</v>
      </c>
      <c r="D1148" s="5"/>
      <c r="E1148" s="5"/>
      <c r="F1148" s="5">
        <f>IF(Tabela3[[#This Row],[Retorno_Diário]]&gt;0,1,-1)</f>
        <v>-1</v>
      </c>
      <c r="G1148" s="5">
        <f>Tabela3[[#This Row],[Sinal_TSMOM]]*(0.4*Tabela3[[#This Row],[Volatilidade]])</f>
        <v>0</v>
      </c>
      <c r="H1148" s="5">
        <f>Tabela3[[#This Row],[Position_Size]]*Tabela3[[#This Row],[Retorno_Diário]]</f>
        <v>0</v>
      </c>
    </row>
    <row r="1149" spans="1:8" x14ac:dyDescent="0.2">
      <c r="A1149" s="11" t="s">
        <v>7713</v>
      </c>
      <c r="B1149" s="4" t="s">
        <v>7715</v>
      </c>
      <c r="C1149" s="5">
        <f t="shared" si="21"/>
        <v>-2.8841589342148644E-2</v>
      </c>
      <c r="D1149" s="5"/>
      <c r="E1149" s="5"/>
      <c r="F1149" s="5">
        <f>IF(Tabela3[[#This Row],[Retorno_Diário]]&gt;0,1,-1)</f>
        <v>-1</v>
      </c>
      <c r="G1149" s="5">
        <f>Tabela3[[#This Row],[Sinal_TSMOM]]*(0.4*Tabela3[[#This Row],[Volatilidade]])</f>
        <v>0</v>
      </c>
      <c r="H1149" s="5">
        <f>Tabela3[[#This Row],[Position_Size]]*Tabela3[[#This Row],[Retorno_Diário]]</f>
        <v>0</v>
      </c>
    </row>
    <row r="1150" spans="1:8" x14ac:dyDescent="0.2">
      <c r="A1150" s="11" t="s">
        <v>7720</v>
      </c>
      <c r="B1150" s="4" t="s">
        <v>7722</v>
      </c>
      <c r="C1150" s="5">
        <f t="shared" si="21"/>
        <v>7.6029752468084411E-2</v>
      </c>
      <c r="D1150" s="5"/>
      <c r="E1150" s="5"/>
      <c r="F1150" s="5">
        <f>IF(Tabela3[[#This Row],[Retorno_Diário]]&gt;0,1,-1)</f>
        <v>1</v>
      </c>
      <c r="G1150" s="5">
        <f>Tabela3[[#This Row],[Sinal_TSMOM]]*(0.4*Tabela3[[#This Row],[Volatilidade]])</f>
        <v>0</v>
      </c>
      <c r="H1150" s="5">
        <f>Tabela3[[#This Row],[Position_Size]]*Tabela3[[#This Row],[Retorno_Diário]]</f>
        <v>0</v>
      </c>
    </row>
    <row r="1151" spans="1:8" x14ac:dyDescent="0.2">
      <c r="A1151" s="11" t="s">
        <v>7727</v>
      </c>
      <c r="B1151" s="4" t="s">
        <v>7729</v>
      </c>
      <c r="C1151" s="5">
        <f t="shared" si="21"/>
        <v>1.0904908758193166E-2</v>
      </c>
      <c r="D1151" s="5"/>
      <c r="E1151" s="5"/>
      <c r="F1151" s="5">
        <f>IF(Tabela3[[#This Row],[Retorno_Diário]]&gt;0,1,-1)</f>
        <v>1</v>
      </c>
      <c r="G1151" s="5">
        <f>Tabela3[[#This Row],[Sinal_TSMOM]]*(0.4*Tabela3[[#This Row],[Volatilidade]])</f>
        <v>0</v>
      </c>
      <c r="H1151" s="5">
        <f>Tabela3[[#This Row],[Position_Size]]*Tabela3[[#This Row],[Retorno_Diário]]</f>
        <v>0</v>
      </c>
    </row>
    <row r="1152" spans="1:8" x14ac:dyDescent="0.2">
      <c r="A1152" s="11" t="s">
        <v>7734</v>
      </c>
      <c r="B1152" s="4" t="s">
        <v>7736</v>
      </c>
      <c r="C1152" s="5">
        <f t="shared" si="21"/>
        <v>9.9533397427780113E-3</v>
      </c>
      <c r="D1152" s="5"/>
      <c r="E1152" s="5"/>
      <c r="F1152" s="5">
        <f>IF(Tabela3[[#This Row],[Retorno_Diário]]&gt;0,1,-1)</f>
        <v>1</v>
      </c>
      <c r="G1152" s="5">
        <f>Tabela3[[#This Row],[Sinal_TSMOM]]*(0.4*Tabela3[[#This Row],[Volatilidade]])</f>
        <v>0</v>
      </c>
      <c r="H1152" s="5">
        <f>Tabela3[[#This Row],[Position_Size]]*Tabela3[[#This Row],[Retorno_Diário]]</f>
        <v>0</v>
      </c>
    </row>
    <row r="1153" spans="1:8" x14ac:dyDescent="0.2">
      <c r="A1153" s="11" t="s">
        <v>7741</v>
      </c>
      <c r="B1153" s="4" t="s">
        <v>7743</v>
      </c>
      <c r="C1153" s="5">
        <f t="shared" si="21"/>
        <v>1.5305834735168444E-2</v>
      </c>
      <c r="D1153" s="5"/>
      <c r="E1153" s="5"/>
      <c r="F1153" s="5">
        <f>IF(Tabela3[[#This Row],[Retorno_Diário]]&gt;0,1,-1)</f>
        <v>1</v>
      </c>
      <c r="G1153" s="5">
        <f>Tabela3[[#This Row],[Sinal_TSMOM]]*(0.4*Tabela3[[#This Row],[Volatilidade]])</f>
        <v>0</v>
      </c>
      <c r="H1153" s="5">
        <f>Tabela3[[#This Row],[Position_Size]]*Tabela3[[#This Row],[Retorno_Diário]]</f>
        <v>0</v>
      </c>
    </row>
    <row r="1154" spans="1:8" x14ac:dyDescent="0.2">
      <c r="A1154" s="11" t="s">
        <v>7747</v>
      </c>
      <c r="B1154" s="4" t="s">
        <v>7749</v>
      </c>
      <c r="C1154" s="5">
        <f t="shared" si="21"/>
        <v>4.6092448643202388E-3</v>
      </c>
      <c r="D1154" s="5"/>
      <c r="E1154" s="5"/>
      <c r="F1154" s="5">
        <f>IF(Tabela3[[#This Row],[Retorno_Diário]]&gt;0,1,-1)</f>
        <v>1</v>
      </c>
      <c r="G1154" s="5">
        <f>Tabela3[[#This Row],[Sinal_TSMOM]]*(0.4*Tabela3[[#This Row],[Volatilidade]])</f>
        <v>0</v>
      </c>
      <c r="H1154" s="5">
        <f>Tabela3[[#This Row],[Position_Size]]*Tabela3[[#This Row],[Retorno_Diário]]</f>
        <v>0</v>
      </c>
    </row>
    <row r="1155" spans="1:8" x14ac:dyDescent="0.2">
      <c r="A1155" s="11" t="s">
        <v>7752</v>
      </c>
      <c r="B1155" s="4" t="s">
        <v>7754</v>
      </c>
      <c r="C1155" s="5">
        <f t="shared" ref="C1155:C1218" si="22">B1155/B1154-1</f>
        <v>1.981002905499829E-2</v>
      </c>
      <c r="D1155" s="5"/>
      <c r="E1155" s="5"/>
      <c r="F1155" s="5">
        <f>IF(Tabela3[[#This Row],[Retorno_Diário]]&gt;0,1,-1)</f>
        <v>1</v>
      </c>
      <c r="G1155" s="5">
        <f>Tabela3[[#This Row],[Sinal_TSMOM]]*(0.4*Tabela3[[#This Row],[Volatilidade]])</f>
        <v>0</v>
      </c>
      <c r="H1155" s="5">
        <f>Tabela3[[#This Row],[Position_Size]]*Tabela3[[#This Row],[Retorno_Diário]]</f>
        <v>0</v>
      </c>
    </row>
    <row r="1156" spans="1:8" x14ac:dyDescent="0.2">
      <c r="A1156" s="11" t="s">
        <v>7759</v>
      </c>
      <c r="B1156" s="4" t="s">
        <v>7761</v>
      </c>
      <c r="C1156" s="5">
        <f t="shared" si="22"/>
        <v>1.7043376357455786E-2</v>
      </c>
      <c r="D1156" s="5"/>
      <c r="E1156" s="5"/>
      <c r="F1156" s="5">
        <f>IF(Tabela3[[#This Row],[Retorno_Diário]]&gt;0,1,-1)</f>
        <v>1</v>
      </c>
      <c r="G1156" s="5">
        <f>Tabela3[[#This Row],[Sinal_TSMOM]]*(0.4*Tabela3[[#This Row],[Volatilidade]])</f>
        <v>0</v>
      </c>
      <c r="H1156" s="5">
        <f>Tabela3[[#This Row],[Position_Size]]*Tabela3[[#This Row],[Retorno_Diário]]</f>
        <v>0</v>
      </c>
    </row>
    <row r="1157" spans="1:8" x14ac:dyDescent="0.2">
      <c r="A1157" s="11" t="s">
        <v>7765</v>
      </c>
      <c r="B1157" s="4" t="s">
        <v>7767</v>
      </c>
      <c r="C1157" s="5">
        <f t="shared" si="22"/>
        <v>-1.1761635719938379E-2</v>
      </c>
      <c r="D1157" s="5"/>
      <c r="E1157" s="5"/>
      <c r="F1157" s="5">
        <f>IF(Tabela3[[#This Row],[Retorno_Diário]]&gt;0,1,-1)</f>
        <v>-1</v>
      </c>
      <c r="G1157" s="5">
        <f>Tabela3[[#This Row],[Sinal_TSMOM]]*(0.4*Tabela3[[#This Row],[Volatilidade]])</f>
        <v>0</v>
      </c>
      <c r="H1157" s="5">
        <f>Tabela3[[#This Row],[Position_Size]]*Tabela3[[#This Row],[Retorno_Diário]]</f>
        <v>0</v>
      </c>
    </row>
    <row r="1158" spans="1:8" x14ac:dyDescent="0.2">
      <c r="A1158" s="11" t="s">
        <v>7772</v>
      </c>
      <c r="B1158" s="4" t="s">
        <v>7774</v>
      </c>
      <c r="C1158" s="5">
        <f t="shared" si="22"/>
        <v>-6.2983887128031379E-2</v>
      </c>
      <c r="D1158" s="5"/>
      <c r="E1158" s="5"/>
      <c r="F1158" s="5">
        <f>IF(Tabela3[[#This Row],[Retorno_Diário]]&gt;0,1,-1)</f>
        <v>-1</v>
      </c>
      <c r="G1158" s="5">
        <f>Tabela3[[#This Row],[Sinal_TSMOM]]*(0.4*Tabela3[[#This Row],[Volatilidade]])</f>
        <v>0</v>
      </c>
      <c r="H1158" s="5">
        <f>Tabela3[[#This Row],[Position_Size]]*Tabela3[[#This Row],[Retorno_Diário]]</f>
        <v>0</v>
      </c>
    </row>
    <row r="1159" spans="1:8" x14ac:dyDescent="0.2">
      <c r="A1159" s="11" t="s">
        <v>7779</v>
      </c>
      <c r="B1159" s="4" t="s">
        <v>7781</v>
      </c>
      <c r="C1159" s="5">
        <f t="shared" si="22"/>
        <v>-3.9734662742417548E-2</v>
      </c>
      <c r="D1159" s="5"/>
      <c r="E1159" s="5"/>
      <c r="F1159" s="5">
        <f>IF(Tabela3[[#This Row],[Retorno_Diário]]&gt;0,1,-1)</f>
        <v>-1</v>
      </c>
      <c r="G1159" s="5">
        <f>Tabela3[[#This Row],[Sinal_TSMOM]]*(0.4*Tabela3[[#This Row],[Volatilidade]])</f>
        <v>0</v>
      </c>
      <c r="H1159" s="5">
        <f>Tabela3[[#This Row],[Position_Size]]*Tabela3[[#This Row],[Retorno_Diário]]</f>
        <v>0</v>
      </c>
    </row>
    <row r="1160" spans="1:8" x14ac:dyDescent="0.2">
      <c r="A1160" s="11" t="s">
        <v>7786</v>
      </c>
      <c r="B1160" s="4" t="s">
        <v>7788</v>
      </c>
      <c r="C1160" s="5">
        <f t="shared" si="22"/>
        <v>5.9171231030196836E-2</v>
      </c>
      <c r="D1160" s="5"/>
      <c r="E1160" s="5"/>
      <c r="F1160" s="5">
        <f>IF(Tabela3[[#This Row],[Retorno_Diário]]&gt;0,1,-1)</f>
        <v>1</v>
      </c>
      <c r="G1160" s="5">
        <f>Tabela3[[#This Row],[Sinal_TSMOM]]*(0.4*Tabela3[[#This Row],[Volatilidade]])</f>
        <v>0</v>
      </c>
      <c r="H1160" s="5">
        <f>Tabela3[[#This Row],[Position_Size]]*Tabela3[[#This Row],[Retorno_Diário]]</f>
        <v>0</v>
      </c>
    </row>
    <row r="1161" spans="1:8" x14ac:dyDescent="0.2">
      <c r="A1161" s="11" t="s">
        <v>7792</v>
      </c>
      <c r="B1161" s="4" t="s">
        <v>7794</v>
      </c>
      <c r="C1161" s="5">
        <f t="shared" si="22"/>
        <v>-8.5649934022195007E-3</v>
      </c>
      <c r="D1161" s="5"/>
      <c r="E1161" s="5"/>
      <c r="F1161" s="5">
        <f>IF(Tabela3[[#This Row],[Retorno_Diário]]&gt;0,1,-1)</f>
        <v>-1</v>
      </c>
      <c r="G1161" s="5">
        <f>Tabela3[[#This Row],[Sinal_TSMOM]]*(0.4*Tabela3[[#This Row],[Volatilidade]])</f>
        <v>0</v>
      </c>
      <c r="H1161" s="5">
        <f>Tabela3[[#This Row],[Position_Size]]*Tabela3[[#This Row],[Retorno_Diário]]</f>
        <v>0</v>
      </c>
    </row>
    <row r="1162" spans="1:8" x14ac:dyDescent="0.2">
      <c r="A1162" s="11" t="s">
        <v>7799</v>
      </c>
      <c r="B1162" s="4" t="s">
        <v>7801</v>
      </c>
      <c r="C1162" s="5">
        <f t="shared" si="22"/>
        <v>4.2748869830517622E-2</v>
      </c>
      <c r="D1162" s="5"/>
      <c r="E1162" s="5"/>
      <c r="F1162" s="5">
        <f>IF(Tabela3[[#This Row],[Retorno_Diário]]&gt;0,1,-1)</f>
        <v>1</v>
      </c>
      <c r="G1162" s="5">
        <f>Tabela3[[#This Row],[Sinal_TSMOM]]*(0.4*Tabela3[[#This Row],[Volatilidade]])</f>
        <v>0</v>
      </c>
      <c r="H1162" s="5">
        <f>Tabela3[[#This Row],[Position_Size]]*Tabela3[[#This Row],[Retorno_Diário]]</f>
        <v>0</v>
      </c>
    </row>
    <row r="1163" spans="1:8" x14ac:dyDescent="0.2">
      <c r="A1163" s="11" t="s">
        <v>7806</v>
      </c>
      <c r="B1163" s="4" t="s">
        <v>7808</v>
      </c>
      <c r="C1163" s="5">
        <f t="shared" si="22"/>
        <v>1.7264416085628342E-2</v>
      </c>
      <c r="D1163" s="5"/>
      <c r="E1163" s="5"/>
      <c r="F1163" s="5">
        <f>IF(Tabela3[[#This Row],[Retorno_Diário]]&gt;0,1,-1)</f>
        <v>1</v>
      </c>
      <c r="G1163" s="5">
        <f>Tabela3[[#This Row],[Sinal_TSMOM]]*(0.4*Tabela3[[#This Row],[Volatilidade]])</f>
        <v>0</v>
      </c>
      <c r="H1163" s="5">
        <f>Tabela3[[#This Row],[Position_Size]]*Tabela3[[#This Row],[Retorno_Diário]]</f>
        <v>0</v>
      </c>
    </row>
    <row r="1164" spans="1:8" x14ac:dyDescent="0.2">
      <c r="A1164" s="11" t="s">
        <v>7813</v>
      </c>
      <c r="B1164" s="4" t="s">
        <v>7815</v>
      </c>
      <c r="C1164" s="5">
        <f t="shared" si="22"/>
        <v>-8.0390858155527933E-3</v>
      </c>
      <c r="D1164" s="5"/>
      <c r="E1164" s="5"/>
      <c r="F1164" s="5">
        <f>IF(Tabela3[[#This Row],[Retorno_Diário]]&gt;0,1,-1)</f>
        <v>-1</v>
      </c>
      <c r="G1164" s="5">
        <f>Tabela3[[#This Row],[Sinal_TSMOM]]*(0.4*Tabela3[[#This Row],[Volatilidade]])</f>
        <v>0</v>
      </c>
      <c r="H1164" s="5">
        <f>Tabela3[[#This Row],[Position_Size]]*Tabela3[[#This Row],[Retorno_Diário]]</f>
        <v>0</v>
      </c>
    </row>
    <row r="1165" spans="1:8" x14ac:dyDescent="0.2">
      <c r="A1165" s="11" t="s">
        <v>7820</v>
      </c>
      <c r="B1165" s="4" t="s">
        <v>7822</v>
      </c>
      <c r="C1165" s="5">
        <f t="shared" si="22"/>
        <v>-2.8815119125186417E-2</v>
      </c>
      <c r="D1165" s="5"/>
      <c r="E1165" s="5"/>
      <c r="F1165" s="5">
        <f>IF(Tabela3[[#This Row],[Retorno_Diário]]&gt;0,1,-1)</f>
        <v>-1</v>
      </c>
      <c r="G1165" s="5">
        <f>Tabela3[[#This Row],[Sinal_TSMOM]]*(0.4*Tabela3[[#This Row],[Volatilidade]])</f>
        <v>0</v>
      </c>
      <c r="H1165" s="5">
        <f>Tabela3[[#This Row],[Position_Size]]*Tabela3[[#This Row],[Retorno_Diário]]</f>
        <v>0</v>
      </c>
    </row>
    <row r="1166" spans="1:8" x14ac:dyDescent="0.2">
      <c r="A1166" s="11" t="s">
        <v>7827</v>
      </c>
      <c r="B1166" s="4" t="s">
        <v>7829</v>
      </c>
      <c r="C1166" s="5">
        <f t="shared" si="22"/>
        <v>2.3888827628103515E-2</v>
      </c>
      <c r="D1166" s="5"/>
      <c r="E1166" s="5"/>
      <c r="F1166" s="5">
        <f>IF(Tabela3[[#This Row],[Retorno_Diário]]&gt;0,1,-1)</f>
        <v>1</v>
      </c>
      <c r="G1166" s="5">
        <f>Tabela3[[#This Row],[Sinal_TSMOM]]*(0.4*Tabela3[[#This Row],[Volatilidade]])</f>
        <v>0</v>
      </c>
      <c r="H1166" s="5">
        <f>Tabela3[[#This Row],[Position_Size]]*Tabela3[[#This Row],[Retorno_Diário]]</f>
        <v>0</v>
      </c>
    </row>
    <row r="1167" spans="1:8" x14ac:dyDescent="0.2">
      <c r="A1167" s="11" t="s">
        <v>7834</v>
      </c>
      <c r="B1167" s="4" t="s">
        <v>7836</v>
      </c>
      <c r="C1167" s="5">
        <f t="shared" si="22"/>
        <v>-4.9219610668428948E-2</v>
      </c>
      <c r="D1167" s="5"/>
      <c r="E1167" s="5"/>
      <c r="F1167" s="5">
        <f>IF(Tabela3[[#This Row],[Retorno_Diário]]&gt;0,1,-1)</f>
        <v>-1</v>
      </c>
      <c r="G1167" s="5">
        <f>Tabela3[[#This Row],[Sinal_TSMOM]]*(0.4*Tabela3[[#This Row],[Volatilidade]])</f>
        <v>0</v>
      </c>
      <c r="H1167" s="5">
        <f>Tabela3[[#This Row],[Position_Size]]*Tabela3[[#This Row],[Retorno_Diário]]</f>
        <v>0</v>
      </c>
    </row>
    <row r="1168" spans="1:8" x14ac:dyDescent="0.2">
      <c r="A1168" s="11" t="s">
        <v>7841</v>
      </c>
      <c r="B1168" s="4" t="s">
        <v>7843</v>
      </c>
      <c r="C1168" s="5">
        <f t="shared" si="22"/>
        <v>-4.566084887428512E-2</v>
      </c>
      <c r="D1168" s="5"/>
      <c r="E1168" s="5"/>
      <c r="F1168" s="5">
        <f>IF(Tabela3[[#This Row],[Retorno_Diário]]&gt;0,1,-1)</f>
        <v>-1</v>
      </c>
      <c r="G1168" s="5">
        <f>Tabela3[[#This Row],[Sinal_TSMOM]]*(0.4*Tabela3[[#This Row],[Volatilidade]])</f>
        <v>0</v>
      </c>
      <c r="H1168" s="5">
        <f>Tabela3[[#This Row],[Position_Size]]*Tabela3[[#This Row],[Retorno_Diário]]</f>
        <v>0</v>
      </c>
    </row>
    <row r="1169" spans="1:8" x14ac:dyDescent="0.2">
      <c r="A1169" s="11" t="s">
        <v>7848</v>
      </c>
      <c r="B1169" s="4" t="s">
        <v>7850</v>
      </c>
      <c r="C1169" s="5">
        <f t="shared" si="22"/>
        <v>8.6297614011463519E-3</v>
      </c>
      <c r="D1169" s="5"/>
      <c r="E1169" s="5"/>
      <c r="F1169" s="5">
        <f>IF(Tabela3[[#This Row],[Retorno_Diário]]&gt;0,1,-1)</f>
        <v>1</v>
      </c>
      <c r="G1169" s="5">
        <f>Tabela3[[#This Row],[Sinal_TSMOM]]*(0.4*Tabela3[[#This Row],[Volatilidade]])</f>
        <v>0</v>
      </c>
      <c r="H1169" s="5">
        <f>Tabela3[[#This Row],[Position_Size]]*Tabela3[[#This Row],[Retorno_Diário]]</f>
        <v>0</v>
      </c>
    </row>
    <row r="1170" spans="1:8" x14ac:dyDescent="0.2">
      <c r="A1170" s="11" t="s">
        <v>7855</v>
      </c>
      <c r="B1170" s="4" t="s">
        <v>7857</v>
      </c>
      <c r="C1170" s="5">
        <f t="shared" si="22"/>
        <v>2.3863783710849074E-3</v>
      </c>
      <c r="D1170" s="5"/>
      <c r="E1170" s="5"/>
      <c r="F1170" s="5">
        <f>IF(Tabela3[[#This Row],[Retorno_Diário]]&gt;0,1,-1)</f>
        <v>1</v>
      </c>
      <c r="G1170" s="5">
        <f>Tabela3[[#This Row],[Sinal_TSMOM]]*(0.4*Tabela3[[#This Row],[Volatilidade]])</f>
        <v>0</v>
      </c>
      <c r="H1170" s="5">
        <f>Tabela3[[#This Row],[Position_Size]]*Tabela3[[#This Row],[Retorno_Diário]]</f>
        <v>0</v>
      </c>
    </row>
    <row r="1171" spans="1:8" x14ac:dyDescent="0.2">
      <c r="A1171" s="11" t="s">
        <v>7862</v>
      </c>
      <c r="B1171" s="4" t="s">
        <v>7864</v>
      </c>
      <c r="C1171" s="5">
        <f t="shared" si="22"/>
        <v>4.0123097192158896E-2</v>
      </c>
      <c r="D1171" s="5"/>
      <c r="E1171" s="5"/>
      <c r="F1171" s="5">
        <f>IF(Tabela3[[#This Row],[Retorno_Diário]]&gt;0,1,-1)</f>
        <v>1</v>
      </c>
      <c r="G1171" s="5">
        <f>Tabela3[[#This Row],[Sinal_TSMOM]]*(0.4*Tabela3[[#This Row],[Volatilidade]])</f>
        <v>0</v>
      </c>
      <c r="H1171" s="5">
        <f>Tabela3[[#This Row],[Position_Size]]*Tabela3[[#This Row],[Retorno_Diário]]</f>
        <v>0</v>
      </c>
    </row>
    <row r="1172" spans="1:8" x14ac:dyDescent="0.2">
      <c r="A1172" s="11" t="s">
        <v>7869</v>
      </c>
      <c r="B1172" s="4" t="s">
        <v>7871</v>
      </c>
      <c r="C1172" s="5">
        <f t="shared" si="22"/>
        <v>-9.2279342827734201E-2</v>
      </c>
      <c r="D1172" s="5"/>
      <c r="E1172" s="5"/>
      <c r="F1172" s="5">
        <f>IF(Tabela3[[#This Row],[Retorno_Diário]]&gt;0,1,-1)</f>
        <v>-1</v>
      </c>
      <c r="G1172" s="5">
        <f>Tabela3[[#This Row],[Sinal_TSMOM]]*(0.4*Tabela3[[#This Row],[Volatilidade]])</f>
        <v>0</v>
      </c>
      <c r="H1172" s="5">
        <f>Tabela3[[#This Row],[Position_Size]]*Tabela3[[#This Row],[Retorno_Diário]]</f>
        <v>0</v>
      </c>
    </row>
    <row r="1173" spans="1:8" x14ac:dyDescent="0.2">
      <c r="A1173" s="11" t="s">
        <v>7876</v>
      </c>
      <c r="B1173" s="4" t="s">
        <v>7878</v>
      </c>
      <c r="C1173" s="5">
        <f t="shared" si="22"/>
        <v>-2.8228818019823909E-2</v>
      </c>
      <c r="D1173" s="5"/>
      <c r="E1173" s="5"/>
      <c r="F1173" s="5">
        <f>IF(Tabela3[[#This Row],[Retorno_Diário]]&gt;0,1,-1)</f>
        <v>-1</v>
      </c>
      <c r="G1173" s="5">
        <f>Tabela3[[#This Row],[Sinal_TSMOM]]*(0.4*Tabela3[[#This Row],[Volatilidade]])</f>
        <v>0</v>
      </c>
      <c r="H1173" s="5">
        <f>Tabela3[[#This Row],[Position_Size]]*Tabela3[[#This Row],[Retorno_Diário]]</f>
        <v>0</v>
      </c>
    </row>
    <row r="1174" spans="1:8" x14ac:dyDescent="0.2">
      <c r="A1174" s="11" t="s">
        <v>7882</v>
      </c>
      <c r="B1174" s="4" t="s">
        <v>7884</v>
      </c>
      <c r="C1174" s="5">
        <f t="shared" si="22"/>
        <v>-2.1074567241823439E-2</v>
      </c>
      <c r="D1174" s="5"/>
      <c r="E1174" s="5"/>
      <c r="F1174" s="5">
        <f>IF(Tabela3[[#This Row],[Retorno_Diário]]&gt;0,1,-1)</f>
        <v>-1</v>
      </c>
      <c r="G1174" s="5">
        <f>Tabela3[[#This Row],[Sinal_TSMOM]]*(0.4*Tabela3[[#This Row],[Volatilidade]])</f>
        <v>0</v>
      </c>
      <c r="H1174" s="5">
        <f>Tabela3[[#This Row],[Position_Size]]*Tabela3[[#This Row],[Retorno_Diário]]</f>
        <v>0</v>
      </c>
    </row>
    <row r="1175" spans="1:8" x14ac:dyDescent="0.2">
      <c r="A1175" s="11" t="s">
        <v>7889</v>
      </c>
      <c r="B1175" s="4" t="s">
        <v>7891</v>
      </c>
      <c r="C1175" s="5">
        <f t="shared" si="22"/>
        <v>-2.4178984959598138E-2</v>
      </c>
      <c r="D1175" s="5"/>
      <c r="E1175" s="5"/>
      <c r="F1175" s="5">
        <f>IF(Tabela3[[#This Row],[Retorno_Diário]]&gt;0,1,-1)</f>
        <v>-1</v>
      </c>
      <c r="G1175" s="5">
        <f>Tabela3[[#This Row],[Sinal_TSMOM]]*(0.4*Tabela3[[#This Row],[Volatilidade]])</f>
        <v>0</v>
      </c>
      <c r="H1175" s="5">
        <f>Tabela3[[#This Row],[Position_Size]]*Tabela3[[#This Row],[Retorno_Diário]]</f>
        <v>0</v>
      </c>
    </row>
    <row r="1176" spans="1:8" x14ac:dyDescent="0.2">
      <c r="A1176" s="11" t="s">
        <v>7896</v>
      </c>
      <c r="B1176" s="4" t="s">
        <v>7898</v>
      </c>
      <c r="C1176" s="5">
        <f t="shared" si="22"/>
        <v>-7.6652948094560025E-2</v>
      </c>
      <c r="D1176" s="5"/>
      <c r="E1176" s="5"/>
      <c r="F1176" s="5">
        <f>IF(Tabela3[[#This Row],[Retorno_Diário]]&gt;0,1,-1)</f>
        <v>-1</v>
      </c>
      <c r="G1176" s="5">
        <f>Tabela3[[#This Row],[Sinal_TSMOM]]*(0.4*Tabela3[[#This Row],[Volatilidade]])</f>
        <v>0</v>
      </c>
      <c r="H1176" s="5">
        <f>Tabela3[[#This Row],[Position_Size]]*Tabela3[[#This Row],[Retorno_Diário]]</f>
        <v>0</v>
      </c>
    </row>
    <row r="1177" spans="1:8" x14ac:dyDescent="0.2">
      <c r="A1177" s="11" t="s">
        <v>7903</v>
      </c>
      <c r="B1177" s="4" t="s">
        <v>7905</v>
      </c>
      <c r="C1177" s="5">
        <f t="shared" si="22"/>
        <v>-2.0807918213247789E-2</v>
      </c>
      <c r="D1177" s="5"/>
      <c r="E1177" s="5"/>
      <c r="F1177" s="5">
        <f>IF(Tabela3[[#This Row],[Retorno_Diário]]&gt;0,1,-1)</f>
        <v>-1</v>
      </c>
      <c r="G1177" s="5">
        <f>Tabela3[[#This Row],[Sinal_TSMOM]]*(0.4*Tabela3[[#This Row],[Volatilidade]])</f>
        <v>0</v>
      </c>
      <c r="H1177" s="5">
        <f>Tabela3[[#This Row],[Position_Size]]*Tabela3[[#This Row],[Retorno_Diário]]</f>
        <v>0</v>
      </c>
    </row>
    <row r="1178" spans="1:8" x14ac:dyDescent="0.2">
      <c r="A1178" s="11" t="s">
        <v>7909</v>
      </c>
      <c r="B1178" s="4" t="s">
        <v>7911</v>
      </c>
      <c r="C1178" s="5">
        <f t="shared" si="22"/>
        <v>-1.3336275814878285E-2</v>
      </c>
      <c r="D1178" s="5"/>
      <c r="E1178" s="5"/>
      <c r="F1178" s="5">
        <f>IF(Tabela3[[#This Row],[Retorno_Diário]]&gt;0,1,-1)</f>
        <v>-1</v>
      </c>
      <c r="G1178" s="5">
        <f>Tabela3[[#This Row],[Sinal_TSMOM]]*(0.4*Tabela3[[#This Row],[Volatilidade]])</f>
        <v>0</v>
      </c>
      <c r="H1178" s="5">
        <f>Tabela3[[#This Row],[Position_Size]]*Tabela3[[#This Row],[Retorno_Diário]]</f>
        <v>0</v>
      </c>
    </row>
    <row r="1179" spans="1:8" x14ac:dyDescent="0.2">
      <c r="A1179" s="11" t="s">
        <v>7916</v>
      </c>
      <c r="B1179" s="4" t="s">
        <v>7918</v>
      </c>
      <c r="C1179" s="5">
        <f t="shared" si="22"/>
        <v>1.8492357431889594E-2</v>
      </c>
      <c r="D1179" s="5"/>
      <c r="E1179" s="5"/>
      <c r="F1179" s="5">
        <f>IF(Tabela3[[#This Row],[Retorno_Diário]]&gt;0,1,-1)</f>
        <v>1</v>
      </c>
      <c r="G1179" s="5">
        <f>Tabela3[[#This Row],[Sinal_TSMOM]]*(0.4*Tabela3[[#This Row],[Volatilidade]])</f>
        <v>0</v>
      </c>
      <c r="H1179" s="5">
        <f>Tabela3[[#This Row],[Position_Size]]*Tabela3[[#This Row],[Retorno_Diário]]</f>
        <v>0</v>
      </c>
    </row>
    <row r="1180" spans="1:8" x14ac:dyDescent="0.2">
      <c r="A1180" s="11" t="s">
        <v>7923</v>
      </c>
      <c r="B1180" s="4" t="s">
        <v>7925</v>
      </c>
      <c r="C1180" s="5">
        <f t="shared" si="22"/>
        <v>2.0125421318009318E-2</v>
      </c>
      <c r="D1180" s="5"/>
      <c r="E1180" s="5"/>
      <c r="F1180" s="5">
        <f>IF(Tabela3[[#This Row],[Retorno_Diário]]&gt;0,1,-1)</f>
        <v>1</v>
      </c>
      <c r="G1180" s="5">
        <f>Tabela3[[#This Row],[Sinal_TSMOM]]*(0.4*Tabela3[[#This Row],[Volatilidade]])</f>
        <v>0</v>
      </c>
      <c r="H1180" s="5">
        <f>Tabela3[[#This Row],[Position_Size]]*Tabela3[[#This Row],[Retorno_Diário]]</f>
        <v>0</v>
      </c>
    </row>
    <row r="1181" spans="1:8" x14ac:dyDescent="0.2">
      <c r="A1181" s="11" t="s">
        <v>7929</v>
      </c>
      <c r="B1181" s="4" t="s">
        <v>7931</v>
      </c>
      <c r="C1181" s="5">
        <f t="shared" si="22"/>
        <v>2.8377435260920736E-2</v>
      </c>
      <c r="D1181" s="5"/>
      <c r="E1181" s="5"/>
      <c r="F1181" s="5">
        <f>IF(Tabela3[[#This Row],[Retorno_Diário]]&gt;0,1,-1)</f>
        <v>1</v>
      </c>
      <c r="G1181" s="5">
        <f>Tabela3[[#This Row],[Sinal_TSMOM]]*(0.4*Tabela3[[#This Row],[Volatilidade]])</f>
        <v>0</v>
      </c>
      <c r="H1181" s="5">
        <f>Tabela3[[#This Row],[Position_Size]]*Tabela3[[#This Row],[Retorno_Diário]]</f>
        <v>0</v>
      </c>
    </row>
    <row r="1182" spans="1:8" x14ac:dyDescent="0.2">
      <c r="A1182" s="11" t="s">
        <v>7935</v>
      </c>
      <c r="B1182" s="4" t="s">
        <v>7937</v>
      </c>
      <c r="C1182" s="5">
        <f t="shared" si="22"/>
        <v>8.2018509647092674E-3</v>
      </c>
      <c r="D1182" s="5"/>
      <c r="E1182" s="5"/>
      <c r="F1182" s="5">
        <f>IF(Tabela3[[#This Row],[Retorno_Diário]]&gt;0,1,-1)</f>
        <v>1</v>
      </c>
      <c r="G1182" s="5">
        <f>Tabela3[[#This Row],[Sinal_TSMOM]]*(0.4*Tabela3[[#This Row],[Volatilidade]])</f>
        <v>0</v>
      </c>
      <c r="H1182" s="5">
        <f>Tabela3[[#This Row],[Position_Size]]*Tabela3[[#This Row],[Retorno_Diário]]</f>
        <v>0</v>
      </c>
    </row>
    <row r="1183" spans="1:8" x14ac:dyDescent="0.2">
      <c r="A1183" s="11" t="s">
        <v>7942</v>
      </c>
      <c r="B1183" s="4" t="s">
        <v>7944</v>
      </c>
      <c r="C1183" s="5">
        <f t="shared" si="22"/>
        <v>-9.4725993690166987E-2</v>
      </c>
      <c r="D1183" s="5"/>
      <c r="E1183" s="5"/>
      <c r="F1183" s="5">
        <f>IF(Tabela3[[#This Row],[Retorno_Diário]]&gt;0,1,-1)</f>
        <v>-1</v>
      </c>
      <c r="G1183" s="5">
        <f>Tabela3[[#This Row],[Sinal_TSMOM]]*(0.4*Tabela3[[#This Row],[Volatilidade]])</f>
        <v>0</v>
      </c>
      <c r="H1183" s="5">
        <f>Tabela3[[#This Row],[Position_Size]]*Tabela3[[#This Row],[Retorno_Diário]]</f>
        <v>0</v>
      </c>
    </row>
    <row r="1184" spans="1:8" x14ac:dyDescent="0.2">
      <c r="A1184" s="11" t="s">
        <v>7949</v>
      </c>
      <c r="B1184" s="4" t="s">
        <v>7951</v>
      </c>
      <c r="C1184" s="5">
        <f t="shared" si="22"/>
        <v>-2.2841412112029058E-4</v>
      </c>
      <c r="D1184" s="5"/>
      <c r="E1184" s="5"/>
      <c r="F1184" s="5">
        <f>IF(Tabela3[[#This Row],[Retorno_Diário]]&gt;0,1,-1)</f>
        <v>-1</v>
      </c>
      <c r="G1184" s="5">
        <f>Tabela3[[#This Row],[Sinal_TSMOM]]*(0.4*Tabela3[[#This Row],[Volatilidade]])</f>
        <v>0</v>
      </c>
      <c r="H1184" s="5">
        <f>Tabela3[[#This Row],[Position_Size]]*Tabela3[[#This Row],[Retorno_Diário]]</f>
        <v>0</v>
      </c>
    </row>
    <row r="1185" spans="1:8" x14ac:dyDescent="0.2">
      <c r="A1185" s="11" t="s">
        <v>7956</v>
      </c>
      <c r="B1185" s="4" t="s">
        <v>7958</v>
      </c>
      <c r="C1185" s="5">
        <f t="shared" si="22"/>
        <v>-1.5158466990364272E-2</v>
      </c>
      <c r="D1185" s="5"/>
      <c r="E1185" s="5"/>
      <c r="F1185" s="5">
        <f>IF(Tabela3[[#This Row],[Retorno_Diário]]&gt;0,1,-1)</f>
        <v>-1</v>
      </c>
      <c r="G1185" s="5">
        <f>Tabela3[[#This Row],[Sinal_TSMOM]]*(0.4*Tabela3[[#This Row],[Volatilidade]])</f>
        <v>0</v>
      </c>
      <c r="H1185" s="5">
        <f>Tabela3[[#This Row],[Position_Size]]*Tabela3[[#This Row],[Retorno_Diário]]</f>
        <v>0</v>
      </c>
    </row>
    <row r="1186" spans="1:8" x14ac:dyDescent="0.2">
      <c r="A1186" s="11" t="s">
        <v>7963</v>
      </c>
      <c r="B1186" s="4" t="s">
        <v>4734</v>
      </c>
      <c r="C1186" s="5">
        <f t="shared" si="22"/>
        <v>2.0805944424888256E-2</v>
      </c>
      <c r="D1186" s="5"/>
      <c r="E1186" s="5"/>
      <c r="F1186" s="5">
        <f>IF(Tabela3[[#This Row],[Retorno_Diário]]&gt;0,1,-1)</f>
        <v>1</v>
      </c>
      <c r="G1186" s="5">
        <f>Tabela3[[#This Row],[Sinal_TSMOM]]*(0.4*Tabela3[[#This Row],[Volatilidade]])</f>
        <v>0</v>
      </c>
      <c r="H1186" s="5">
        <f>Tabela3[[#This Row],[Position_Size]]*Tabela3[[#This Row],[Retorno_Diário]]</f>
        <v>0</v>
      </c>
    </row>
    <row r="1187" spans="1:8" x14ac:dyDescent="0.2">
      <c r="A1187" s="11" t="s">
        <v>7969</v>
      </c>
      <c r="B1187" s="4" t="s">
        <v>7971</v>
      </c>
      <c r="C1187" s="5">
        <f t="shared" si="22"/>
        <v>1.3941507493331784E-2</v>
      </c>
      <c r="D1187" s="5"/>
      <c r="E1187" s="5"/>
      <c r="F1187" s="5">
        <f>IF(Tabela3[[#This Row],[Retorno_Diário]]&gt;0,1,-1)</f>
        <v>1</v>
      </c>
      <c r="G1187" s="5">
        <f>Tabela3[[#This Row],[Sinal_TSMOM]]*(0.4*Tabela3[[#This Row],[Volatilidade]])</f>
        <v>0</v>
      </c>
      <c r="H1187" s="5">
        <f>Tabela3[[#This Row],[Position_Size]]*Tabela3[[#This Row],[Retorno_Diário]]</f>
        <v>0</v>
      </c>
    </row>
    <row r="1188" spans="1:8" x14ac:dyDescent="0.2">
      <c r="A1188" s="11" t="s">
        <v>7976</v>
      </c>
      <c r="B1188" s="4" t="s">
        <v>7978</v>
      </c>
      <c r="C1188" s="5">
        <f t="shared" si="22"/>
        <v>-1.5393837134492827E-2</v>
      </c>
      <c r="D1188" s="5"/>
      <c r="E1188" s="5"/>
      <c r="F1188" s="5">
        <f>IF(Tabela3[[#This Row],[Retorno_Diário]]&gt;0,1,-1)</f>
        <v>-1</v>
      </c>
      <c r="G1188" s="5">
        <f>Tabela3[[#This Row],[Sinal_TSMOM]]*(0.4*Tabela3[[#This Row],[Volatilidade]])</f>
        <v>0</v>
      </c>
      <c r="H1188" s="5">
        <f>Tabela3[[#This Row],[Position_Size]]*Tabela3[[#This Row],[Retorno_Diário]]</f>
        <v>0</v>
      </c>
    </row>
    <row r="1189" spans="1:8" x14ac:dyDescent="0.2">
      <c r="A1189" s="11" t="s">
        <v>7983</v>
      </c>
      <c r="B1189" s="4" t="s">
        <v>7985</v>
      </c>
      <c r="C1189" s="5">
        <f t="shared" si="22"/>
        <v>6.4511263251558759E-3</v>
      </c>
      <c r="D1189" s="5"/>
      <c r="E1189" s="5"/>
      <c r="F1189" s="5">
        <f>IF(Tabela3[[#This Row],[Retorno_Diário]]&gt;0,1,-1)</f>
        <v>1</v>
      </c>
      <c r="G1189" s="5">
        <f>Tabela3[[#This Row],[Sinal_TSMOM]]*(0.4*Tabela3[[#This Row],[Volatilidade]])</f>
        <v>0</v>
      </c>
      <c r="H1189" s="5">
        <f>Tabela3[[#This Row],[Position_Size]]*Tabela3[[#This Row],[Retorno_Diário]]</f>
        <v>0</v>
      </c>
    </row>
    <row r="1190" spans="1:8" x14ac:dyDescent="0.2">
      <c r="A1190" s="11" t="s">
        <v>7990</v>
      </c>
      <c r="B1190" s="4" t="s">
        <v>7992</v>
      </c>
      <c r="C1190" s="5">
        <f t="shared" si="22"/>
        <v>-5.2786352928117952E-2</v>
      </c>
      <c r="D1190" s="5"/>
      <c r="E1190" s="5"/>
      <c r="F1190" s="5">
        <f>IF(Tabela3[[#This Row],[Retorno_Diário]]&gt;0,1,-1)</f>
        <v>-1</v>
      </c>
      <c r="G1190" s="5">
        <f>Tabela3[[#This Row],[Sinal_TSMOM]]*(0.4*Tabela3[[#This Row],[Volatilidade]])</f>
        <v>0</v>
      </c>
      <c r="H1190" s="5">
        <f>Tabela3[[#This Row],[Position_Size]]*Tabela3[[#This Row],[Retorno_Diário]]</f>
        <v>0</v>
      </c>
    </row>
    <row r="1191" spans="1:8" x14ac:dyDescent="0.2">
      <c r="A1191" s="11" t="s">
        <v>7997</v>
      </c>
      <c r="B1191" s="4" t="s">
        <v>7999</v>
      </c>
      <c r="C1191" s="5">
        <f t="shared" si="22"/>
        <v>-3.5825234263636707E-3</v>
      </c>
      <c r="D1191" s="5"/>
      <c r="E1191" s="5"/>
      <c r="F1191" s="5">
        <f>IF(Tabela3[[#This Row],[Retorno_Diário]]&gt;0,1,-1)</f>
        <v>-1</v>
      </c>
      <c r="G1191" s="5">
        <f>Tabela3[[#This Row],[Sinal_TSMOM]]*(0.4*Tabela3[[#This Row],[Volatilidade]])</f>
        <v>0</v>
      </c>
      <c r="H1191" s="5">
        <f>Tabela3[[#This Row],[Position_Size]]*Tabela3[[#This Row],[Retorno_Diário]]</f>
        <v>0</v>
      </c>
    </row>
    <row r="1192" spans="1:8" x14ac:dyDescent="0.2">
      <c r="A1192" s="11" t="s">
        <v>8004</v>
      </c>
      <c r="B1192" s="4" t="s">
        <v>8006</v>
      </c>
      <c r="C1192" s="5">
        <f t="shared" si="22"/>
        <v>-2.3010555413193523E-2</v>
      </c>
      <c r="D1192" s="5"/>
      <c r="E1192" s="5"/>
      <c r="F1192" s="5">
        <f>IF(Tabela3[[#This Row],[Retorno_Diário]]&gt;0,1,-1)</f>
        <v>-1</v>
      </c>
      <c r="G1192" s="5">
        <f>Tabela3[[#This Row],[Sinal_TSMOM]]*(0.4*Tabela3[[#This Row],[Volatilidade]])</f>
        <v>0</v>
      </c>
      <c r="H1192" s="5">
        <f>Tabela3[[#This Row],[Position_Size]]*Tabela3[[#This Row],[Retorno_Diário]]</f>
        <v>0</v>
      </c>
    </row>
    <row r="1193" spans="1:8" x14ac:dyDescent="0.2">
      <c r="A1193" s="11" t="s">
        <v>8011</v>
      </c>
      <c r="B1193" s="4" t="s">
        <v>8013</v>
      </c>
      <c r="C1193" s="5">
        <f t="shared" si="22"/>
        <v>1.5129246348479564E-2</v>
      </c>
      <c r="D1193" s="5"/>
      <c r="E1193" s="5"/>
      <c r="F1193" s="5">
        <f>IF(Tabela3[[#This Row],[Retorno_Diário]]&gt;0,1,-1)</f>
        <v>1</v>
      </c>
      <c r="G1193" s="5">
        <f>Tabela3[[#This Row],[Sinal_TSMOM]]*(0.4*Tabela3[[#This Row],[Volatilidade]])</f>
        <v>0</v>
      </c>
      <c r="H1193" s="5">
        <f>Tabela3[[#This Row],[Position_Size]]*Tabela3[[#This Row],[Retorno_Diário]]</f>
        <v>0</v>
      </c>
    </row>
    <row r="1194" spans="1:8" x14ac:dyDescent="0.2">
      <c r="A1194" s="11" t="s">
        <v>8018</v>
      </c>
      <c r="B1194" s="4" t="s">
        <v>8014</v>
      </c>
      <c r="C1194" s="5">
        <f t="shared" si="22"/>
        <v>2.6021102992366485E-2</v>
      </c>
      <c r="D1194" s="5"/>
      <c r="E1194" s="5"/>
      <c r="F1194" s="5">
        <f>IF(Tabela3[[#This Row],[Retorno_Diário]]&gt;0,1,-1)</f>
        <v>1</v>
      </c>
      <c r="G1194" s="5">
        <f>Tabela3[[#This Row],[Sinal_TSMOM]]*(0.4*Tabela3[[#This Row],[Volatilidade]])</f>
        <v>0</v>
      </c>
      <c r="H1194" s="5">
        <f>Tabela3[[#This Row],[Position_Size]]*Tabela3[[#This Row],[Retorno_Diário]]</f>
        <v>0</v>
      </c>
    </row>
    <row r="1195" spans="1:8" x14ac:dyDescent="0.2">
      <c r="A1195" s="11" t="s">
        <v>8023</v>
      </c>
      <c r="B1195" s="4" t="s">
        <v>8025</v>
      </c>
      <c r="C1195" s="5">
        <f t="shared" si="22"/>
        <v>-4.0515059008594423E-2</v>
      </c>
      <c r="D1195" s="5"/>
      <c r="E1195" s="5"/>
      <c r="F1195" s="5">
        <f>IF(Tabela3[[#This Row],[Retorno_Diário]]&gt;0,1,-1)</f>
        <v>-1</v>
      </c>
      <c r="G1195" s="5">
        <f>Tabela3[[#This Row],[Sinal_TSMOM]]*(0.4*Tabela3[[#This Row],[Volatilidade]])</f>
        <v>0</v>
      </c>
      <c r="H1195" s="5">
        <f>Tabela3[[#This Row],[Position_Size]]*Tabela3[[#This Row],[Retorno_Diário]]</f>
        <v>0</v>
      </c>
    </row>
    <row r="1196" spans="1:8" x14ac:dyDescent="0.2">
      <c r="A1196" s="11" t="s">
        <v>8030</v>
      </c>
      <c r="B1196" s="4" t="s">
        <v>8032</v>
      </c>
      <c r="C1196" s="5">
        <f t="shared" si="22"/>
        <v>-6.6285046067101616E-3</v>
      </c>
      <c r="D1196" s="5"/>
      <c r="E1196" s="5"/>
      <c r="F1196" s="5">
        <f>IF(Tabela3[[#This Row],[Retorno_Diário]]&gt;0,1,-1)</f>
        <v>-1</v>
      </c>
      <c r="G1196" s="5">
        <f>Tabela3[[#This Row],[Sinal_TSMOM]]*(0.4*Tabela3[[#This Row],[Volatilidade]])</f>
        <v>0</v>
      </c>
      <c r="H1196" s="5">
        <f>Tabela3[[#This Row],[Position_Size]]*Tabela3[[#This Row],[Retorno_Diário]]</f>
        <v>0</v>
      </c>
    </row>
    <row r="1197" spans="1:8" x14ac:dyDescent="0.2">
      <c r="A1197" s="11" t="s">
        <v>8037</v>
      </c>
      <c r="B1197" s="4" t="s">
        <v>8039</v>
      </c>
      <c r="C1197" s="5">
        <f t="shared" si="22"/>
        <v>3.0727419625500962E-2</v>
      </c>
      <c r="D1197" s="5"/>
      <c r="E1197" s="5"/>
      <c r="F1197" s="5">
        <f>IF(Tabela3[[#This Row],[Retorno_Diário]]&gt;0,1,-1)</f>
        <v>1</v>
      </c>
      <c r="G1197" s="5">
        <f>Tabela3[[#This Row],[Sinal_TSMOM]]*(0.4*Tabela3[[#This Row],[Volatilidade]])</f>
        <v>0</v>
      </c>
      <c r="H1197" s="5">
        <f>Tabela3[[#This Row],[Position_Size]]*Tabela3[[#This Row],[Retorno_Diário]]</f>
        <v>0</v>
      </c>
    </row>
    <row r="1198" spans="1:8" x14ac:dyDescent="0.2">
      <c r="A1198" s="11" t="s">
        <v>8044</v>
      </c>
      <c r="B1198" s="4" t="s">
        <v>8046</v>
      </c>
      <c r="C1198" s="5">
        <f t="shared" si="22"/>
        <v>5.2349722552576416E-2</v>
      </c>
      <c r="D1198" s="5"/>
      <c r="E1198" s="5"/>
      <c r="F1198" s="5">
        <f>IF(Tabela3[[#This Row],[Retorno_Diário]]&gt;0,1,-1)</f>
        <v>1</v>
      </c>
      <c r="G1198" s="5">
        <f>Tabela3[[#This Row],[Sinal_TSMOM]]*(0.4*Tabela3[[#This Row],[Volatilidade]])</f>
        <v>0</v>
      </c>
      <c r="H1198" s="5">
        <f>Tabela3[[#This Row],[Position_Size]]*Tabela3[[#This Row],[Retorno_Diário]]</f>
        <v>0</v>
      </c>
    </row>
    <row r="1199" spans="1:8" x14ac:dyDescent="0.2">
      <c r="A1199" s="11" t="s">
        <v>8050</v>
      </c>
      <c r="B1199" s="4" t="s">
        <v>8052</v>
      </c>
      <c r="C1199" s="5">
        <f t="shared" si="22"/>
        <v>3.189778801440557E-3</v>
      </c>
      <c r="D1199" s="5"/>
      <c r="E1199" s="5"/>
      <c r="F1199" s="5">
        <f>IF(Tabela3[[#This Row],[Retorno_Diário]]&gt;0,1,-1)</f>
        <v>1</v>
      </c>
      <c r="G1199" s="5">
        <f>Tabela3[[#This Row],[Sinal_TSMOM]]*(0.4*Tabela3[[#This Row],[Volatilidade]])</f>
        <v>0</v>
      </c>
      <c r="H1199" s="5">
        <f>Tabela3[[#This Row],[Position_Size]]*Tabela3[[#This Row],[Retorno_Diário]]</f>
        <v>0</v>
      </c>
    </row>
    <row r="1200" spans="1:8" x14ac:dyDescent="0.2">
      <c r="A1200" s="11" t="s">
        <v>8057</v>
      </c>
      <c r="B1200" s="4" t="s">
        <v>8059</v>
      </c>
      <c r="C1200" s="5">
        <f t="shared" si="22"/>
        <v>-5.9807344642525129E-3</v>
      </c>
      <c r="D1200" s="5"/>
      <c r="E1200" s="5"/>
      <c r="F1200" s="5">
        <f>IF(Tabela3[[#This Row],[Retorno_Diário]]&gt;0,1,-1)</f>
        <v>-1</v>
      </c>
      <c r="G1200" s="5">
        <f>Tabela3[[#This Row],[Sinal_TSMOM]]*(0.4*Tabela3[[#This Row],[Volatilidade]])</f>
        <v>0</v>
      </c>
      <c r="H1200" s="5">
        <f>Tabela3[[#This Row],[Position_Size]]*Tabela3[[#This Row],[Retorno_Diário]]</f>
        <v>0</v>
      </c>
    </row>
    <row r="1201" spans="1:8" x14ac:dyDescent="0.2">
      <c r="A1201" s="11" t="s">
        <v>8063</v>
      </c>
      <c r="B1201" s="4" t="s">
        <v>8065</v>
      </c>
      <c r="C1201" s="5">
        <f t="shared" si="22"/>
        <v>-8.0274173010757899E-2</v>
      </c>
      <c r="D1201" s="5"/>
      <c r="E1201" s="5"/>
      <c r="F1201" s="5">
        <f>IF(Tabela3[[#This Row],[Retorno_Diário]]&gt;0,1,-1)</f>
        <v>-1</v>
      </c>
      <c r="G1201" s="5">
        <f>Tabela3[[#This Row],[Sinal_TSMOM]]*(0.4*Tabela3[[#This Row],[Volatilidade]])</f>
        <v>0</v>
      </c>
      <c r="H1201" s="5">
        <f>Tabela3[[#This Row],[Position_Size]]*Tabela3[[#This Row],[Retorno_Diário]]</f>
        <v>0</v>
      </c>
    </row>
    <row r="1202" spans="1:8" x14ac:dyDescent="0.2">
      <c r="A1202" s="11" t="s">
        <v>8070</v>
      </c>
      <c r="B1202" s="4" t="s">
        <v>8072</v>
      </c>
      <c r="C1202" s="5">
        <f t="shared" si="22"/>
        <v>-3.3620414884647842E-2</v>
      </c>
      <c r="D1202" s="5"/>
      <c r="E1202" s="5"/>
      <c r="F1202" s="5">
        <f>IF(Tabela3[[#This Row],[Retorno_Diário]]&gt;0,1,-1)</f>
        <v>-1</v>
      </c>
      <c r="G1202" s="5">
        <f>Tabela3[[#This Row],[Sinal_TSMOM]]*(0.4*Tabela3[[#This Row],[Volatilidade]])</f>
        <v>0</v>
      </c>
      <c r="H1202" s="5">
        <f>Tabela3[[#This Row],[Position_Size]]*Tabela3[[#This Row],[Retorno_Diário]]</f>
        <v>0</v>
      </c>
    </row>
    <row r="1203" spans="1:8" x14ac:dyDescent="0.2">
      <c r="A1203" s="11" t="s">
        <v>8077</v>
      </c>
      <c r="B1203" s="4" t="s">
        <v>8079</v>
      </c>
      <c r="C1203" s="5">
        <f t="shared" si="22"/>
        <v>-7.1979120171330457E-3</v>
      </c>
      <c r="D1203" s="5"/>
      <c r="E1203" s="5"/>
      <c r="F1203" s="5">
        <f>IF(Tabela3[[#This Row],[Retorno_Diário]]&gt;0,1,-1)</f>
        <v>-1</v>
      </c>
      <c r="G1203" s="5">
        <f>Tabela3[[#This Row],[Sinal_TSMOM]]*(0.4*Tabela3[[#This Row],[Volatilidade]])</f>
        <v>0</v>
      </c>
      <c r="H1203" s="5">
        <f>Tabela3[[#This Row],[Position_Size]]*Tabela3[[#This Row],[Retorno_Diário]]</f>
        <v>0</v>
      </c>
    </row>
    <row r="1204" spans="1:8" x14ac:dyDescent="0.2">
      <c r="A1204" s="11" t="s">
        <v>8084</v>
      </c>
      <c r="B1204" s="4" t="s">
        <v>8086</v>
      </c>
      <c r="C1204" s="5">
        <f t="shared" si="22"/>
        <v>-7.4227895063161409E-3</v>
      </c>
      <c r="D1204" s="5"/>
      <c r="E1204" s="5"/>
      <c r="F1204" s="5">
        <f>IF(Tabela3[[#This Row],[Retorno_Diário]]&gt;0,1,-1)</f>
        <v>-1</v>
      </c>
      <c r="G1204" s="5">
        <f>Tabela3[[#This Row],[Sinal_TSMOM]]*(0.4*Tabela3[[#This Row],[Volatilidade]])</f>
        <v>0</v>
      </c>
      <c r="H1204" s="5">
        <f>Tabela3[[#This Row],[Position_Size]]*Tabela3[[#This Row],[Retorno_Diário]]</f>
        <v>0</v>
      </c>
    </row>
    <row r="1205" spans="1:8" x14ac:dyDescent="0.2">
      <c r="A1205" s="11" t="s">
        <v>8091</v>
      </c>
      <c r="B1205" s="4" t="s">
        <v>8093</v>
      </c>
      <c r="C1205" s="5">
        <f t="shared" si="22"/>
        <v>4.0000003317121724E-2</v>
      </c>
      <c r="D1205" s="5"/>
      <c r="E1205" s="5"/>
      <c r="F1205" s="5">
        <f>IF(Tabela3[[#This Row],[Retorno_Diário]]&gt;0,1,-1)</f>
        <v>1</v>
      </c>
      <c r="G1205" s="5">
        <f>Tabela3[[#This Row],[Sinal_TSMOM]]*(0.4*Tabela3[[#This Row],[Volatilidade]])</f>
        <v>0</v>
      </c>
      <c r="H1205" s="5">
        <f>Tabela3[[#This Row],[Position_Size]]*Tabela3[[#This Row],[Retorno_Diário]]</f>
        <v>0</v>
      </c>
    </row>
    <row r="1206" spans="1:8" x14ac:dyDescent="0.2">
      <c r="A1206" s="11" t="s">
        <v>8098</v>
      </c>
      <c r="B1206" s="4" t="s">
        <v>8100</v>
      </c>
      <c r="C1206" s="5">
        <f t="shared" si="22"/>
        <v>-6.1287608636937052E-2</v>
      </c>
      <c r="D1206" s="5"/>
      <c r="E1206" s="5"/>
      <c r="F1206" s="5">
        <f>IF(Tabela3[[#This Row],[Retorno_Diário]]&gt;0,1,-1)</f>
        <v>-1</v>
      </c>
      <c r="G1206" s="5">
        <f>Tabela3[[#This Row],[Sinal_TSMOM]]*(0.4*Tabela3[[#This Row],[Volatilidade]])</f>
        <v>0</v>
      </c>
      <c r="H1206" s="5">
        <f>Tabela3[[#This Row],[Position_Size]]*Tabela3[[#This Row],[Retorno_Diário]]</f>
        <v>0</v>
      </c>
    </row>
    <row r="1207" spans="1:8" x14ac:dyDescent="0.2">
      <c r="A1207" s="11" t="s">
        <v>8105</v>
      </c>
      <c r="B1207" s="4" t="s">
        <v>8107</v>
      </c>
      <c r="C1207" s="5">
        <f t="shared" si="22"/>
        <v>5.8875860351910392E-2</v>
      </c>
      <c r="D1207" s="5"/>
      <c r="E1207" s="5"/>
      <c r="F1207" s="5">
        <f>IF(Tabela3[[#This Row],[Retorno_Diário]]&gt;0,1,-1)</f>
        <v>1</v>
      </c>
      <c r="G1207" s="5">
        <f>Tabela3[[#This Row],[Sinal_TSMOM]]*(0.4*Tabela3[[#This Row],[Volatilidade]])</f>
        <v>0</v>
      </c>
      <c r="H1207" s="5">
        <f>Tabela3[[#This Row],[Position_Size]]*Tabela3[[#This Row],[Retorno_Diário]]</f>
        <v>0</v>
      </c>
    </row>
    <row r="1208" spans="1:8" x14ac:dyDescent="0.2">
      <c r="A1208" s="11" t="s">
        <v>8112</v>
      </c>
      <c r="B1208" s="4" t="s">
        <v>8114</v>
      </c>
      <c r="C1208" s="5">
        <f t="shared" si="22"/>
        <v>6.6453967122410695E-3</v>
      </c>
      <c r="D1208" s="5"/>
      <c r="E1208" s="5"/>
      <c r="F1208" s="5">
        <f>IF(Tabela3[[#This Row],[Retorno_Diário]]&gt;0,1,-1)</f>
        <v>1</v>
      </c>
      <c r="G1208" s="5">
        <f>Tabela3[[#This Row],[Sinal_TSMOM]]*(0.4*Tabela3[[#This Row],[Volatilidade]])</f>
        <v>0</v>
      </c>
      <c r="H1208" s="5">
        <f>Tabela3[[#This Row],[Position_Size]]*Tabela3[[#This Row],[Retorno_Diário]]</f>
        <v>0</v>
      </c>
    </row>
    <row r="1209" spans="1:8" x14ac:dyDescent="0.2">
      <c r="A1209" s="11" t="s">
        <v>8119</v>
      </c>
      <c r="B1209" s="4" t="s">
        <v>8121</v>
      </c>
      <c r="C1209" s="5">
        <f t="shared" si="22"/>
        <v>7.0192724772748516E-3</v>
      </c>
      <c r="D1209" s="5"/>
      <c r="E1209" s="5"/>
      <c r="F1209" s="5">
        <f>IF(Tabela3[[#This Row],[Retorno_Diário]]&gt;0,1,-1)</f>
        <v>1</v>
      </c>
      <c r="G1209" s="5">
        <f>Tabela3[[#This Row],[Sinal_TSMOM]]*(0.4*Tabela3[[#This Row],[Volatilidade]])</f>
        <v>0</v>
      </c>
      <c r="H1209" s="5">
        <f>Tabela3[[#This Row],[Position_Size]]*Tabela3[[#This Row],[Retorno_Diário]]</f>
        <v>0</v>
      </c>
    </row>
    <row r="1210" spans="1:8" x14ac:dyDescent="0.2">
      <c r="A1210" s="11" t="s">
        <v>8126</v>
      </c>
      <c r="B1210" s="4" t="s">
        <v>8128</v>
      </c>
      <c r="C1210" s="5">
        <f t="shared" si="22"/>
        <v>1.1866285534580578E-2</v>
      </c>
      <c r="D1210" s="5"/>
      <c r="E1210" s="5"/>
      <c r="F1210" s="5">
        <f>IF(Tabela3[[#This Row],[Retorno_Diário]]&gt;0,1,-1)</f>
        <v>1</v>
      </c>
      <c r="G1210" s="5">
        <f>Tabela3[[#This Row],[Sinal_TSMOM]]*(0.4*Tabela3[[#This Row],[Volatilidade]])</f>
        <v>0</v>
      </c>
      <c r="H1210" s="5">
        <f>Tabela3[[#This Row],[Position_Size]]*Tabela3[[#This Row],[Retorno_Diário]]</f>
        <v>0</v>
      </c>
    </row>
    <row r="1211" spans="1:8" x14ac:dyDescent="0.2">
      <c r="A1211" s="11" t="s">
        <v>8132</v>
      </c>
      <c r="B1211" s="4" t="s">
        <v>8134</v>
      </c>
      <c r="C1211" s="5">
        <f t="shared" si="22"/>
        <v>2.2305999154092149E-2</v>
      </c>
      <c r="D1211" s="5"/>
      <c r="E1211" s="5"/>
      <c r="F1211" s="5">
        <f>IF(Tabela3[[#This Row],[Retorno_Diário]]&gt;0,1,-1)</f>
        <v>1</v>
      </c>
      <c r="G1211" s="5">
        <f>Tabela3[[#This Row],[Sinal_TSMOM]]*(0.4*Tabela3[[#This Row],[Volatilidade]])</f>
        <v>0</v>
      </c>
      <c r="H1211" s="5">
        <f>Tabela3[[#This Row],[Position_Size]]*Tabela3[[#This Row],[Retorno_Diário]]</f>
        <v>0</v>
      </c>
    </row>
    <row r="1212" spans="1:8" x14ac:dyDescent="0.2">
      <c r="A1212" s="11" t="s">
        <v>8138</v>
      </c>
      <c r="B1212" s="4" t="s">
        <v>8140</v>
      </c>
      <c r="C1212" s="5">
        <f t="shared" si="22"/>
        <v>1.0669050062018126E-2</v>
      </c>
      <c r="D1212" s="5"/>
      <c r="E1212" s="5"/>
      <c r="F1212" s="5">
        <f>IF(Tabela3[[#This Row],[Retorno_Diário]]&gt;0,1,-1)</f>
        <v>1</v>
      </c>
      <c r="G1212" s="5">
        <f>Tabela3[[#This Row],[Sinal_TSMOM]]*(0.4*Tabela3[[#This Row],[Volatilidade]])</f>
        <v>0</v>
      </c>
      <c r="H1212" s="5">
        <f>Tabela3[[#This Row],[Position_Size]]*Tabela3[[#This Row],[Retorno_Diário]]</f>
        <v>0</v>
      </c>
    </row>
    <row r="1213" spans="1:8" x14ac:dyDescent="0.2">
      <c r="A1213" s="11" t="s">
        <v>8145</v>
      </c>
      <c r="B1213" s="4" t="s">
        <v>7985</v>
      </c>
      <c r="C1213" s="5">
        <f t="shared" si="22"/>
        <v>5.2543829165507816E-2</v>
      </c>
      <c r="D1213" s="5"/>
      <c r="E1213" s="5"/>
      <c r="F1213" s="5">
        <f>IF(Tabela3[[#This Row],[Retorno_Diário]]&gt;0,1,-1)</f>
        <v>1</v>
      </c>
      <c r="G1213" s="5">
        <f>Tabela3[[#This Row],[Sinal_TSMOM]]*(0.4*Tabela3[[#This Row],[Volatilidade]])</f>
        <v>0</v>
      </c>
      <c r="H1213" s="5">
        <f>Tabela3[[#This Row],[Position_Size]]*Tabela3[[#This Row],[Retorno_Diário]]</f>
        <v>0</v>
      </c>
    </row>
    <row r="1214" spans="1:8" x14ac:dyDescent="0.2">
      <c r="A1214" s="11" t="s">
        <v>8150</v>
      </c>
      <c r="B1214" s="4" t="s">
        <v>8152</v>
      </c>
      <c r="C1214" s="5">
        <f t="shared" si="22"/>
        <v>-2.7524302838242809E-2</v>
      </c>
      <c r="D1214" s="5"/>
      <c r="E1214" s="5"/>
      <c r="F1214" s="5">
        <f>IF(Tabela3[[#This Row],[Retorno_Diário]]&gt;0,1,-1)</f>
        <v>-1</v>
      </c>
      <c r="G1214" s="5">
        <f>Tabela3[[#This Row],[Sinal_TSMOM]]*(0.4*Tabela3[[#This Row],[Volatilidade]])</f>
        <v>0</v>
      </c>
      <c r="H1214" s="5">
        <f>Tabela3[[#This Row],[Position_Size]]*Tabela3[[#This Row],[Retorno_Diário]]</f>
        <v>0</v>
      </c>
    </row>
    <row r="1215" spans="1:8" x14ac:dyDescent="0.2">
      <c r="A1215" s="11" t="s">
        <v>8156</v>
      </c>
      <c r="B1215" s="4" t="s">
        <v>7978</v>
      </c>
      <c r="C1215" s="5">
        <f t="shared" si="22"/>
        <v>2.1712138256746893E-2</v>
      </c>
      <c r="D1215" s="5"/>
      <c r="E1215" s="5"/>
      <c r="F1215" s="5">
        <f>IF(Tabela3[[#This Row],[Retorno_Diário]]&gt;0,1,-1)</f>
        <v>1</v>
      </c>
      <c r="G1215" s="5">
        <f>Tabela3[[#This Row],[Sinal_TSMOM]]*(0.4*Tabela3[[#This Row],[Volatilidade]])</f>
        <v>0</v>
      </c>
      <c r="H1215" s="5">
        <f>Tabela3[[#This Row],[Position_Size]]*Tabela3[[#This Row],[Retorno_Diário]]</f>
        <v>0</v>
      </c>
    </row>
    <row r="1216" spans="1:8" x14ac:dyDescent="0.2">
      <c r="A1216" s="11" t="s">
        <v>8160</v>
      </c>
      <c r="B1216" s="4" t="s">
        <v>8162</v>
      </c>
      <c r="C1216" s="5">
        <f t="shared" si="22"/>
        <v>4.9939284325888567E-2</v>
      </c>
      <c r="D1216" s="5"/>
      <c r="E1216" s="5"/>
      <c r="F1216" s="5">
        <f>IF(Tabela3[[#This Row],[Retorno_Diário]]&gt;0,1,-1)</f>
        <v>1</v>
      </c>
      <c r="G1216" s="5">
        <f>Tabela3[[#This Row],[Sinal_TSMOM]]*(0.4*Tabela3[[#This Row],[Volatilidade]])</f>
        <v>0</v>
      </c>
      <c r="H1216" s="5">
        <f>Tabela3[[#This Row],[Position_Size]]*Tabela3[[#This Row],[Retorno_Diário]]</f>
        <v>0</v>
      </c>
    </row>
    <row r="1217" spans="1:8" x14ac:dyDescent="0.2">
      <c r="A1217" s="11" t="s">
        <v>8167</v>
      </c>
      <c r="B1217" s="4" t="s">
        <v>8169</v>
      </c>
      <c r="C1217" s="5">
        <f t="shared" si="22"/>
        <v>-2.4360264718049529E-2</v>
      </c>
      <c r="D1217" s="5"/>
      <c r="E1217" s="5"/>
      <c r="F1217" s="5">
        <f>IF(Tabela3[[#This Row],[Retorno_Diário]]&gt;0,1,-1)</f>
        <v>-1</v>
      </c>
      <c r="G1217" s="5">
        <f>Tabela3[[#This Row],[Sinal_TSMOM]]*(0.4*Tabela3[[#This Row],[Volatilidade]])</f>
        <v>0</v>
      </c>
      <c r="H1217" s="5">
        <f>Tabela3[[#This Row],[Position_Size]]*Tabela3[[#This Row],[Retorno_Diário]]</f>
        <v>0</v>
      </c>
    </row>
    <row r="1218" spans="1:8" x14ac:dyDescent="0.2">
      <c r="A1218" s="11" t="s">
        <v>8172</v>
      </c>
      <c r="B1218" s="4" t="s">
        <v>8174</v>
      </c>
      <c r="C1218" s="5">
        <f t="shared" si="22"/>
        <v>3.4082004546185374E-3</v>
      </c>
      <c r="D1218" s="5"/>
      <c r="E1218" s="5"/>
      <c r="F1218" s="5">
        <f>IF(Tabela3[[#This Row],[Retorno_Diário]]&gt;0,1,-1)</f>
        <v>1</v>
      </c>
      <c r="G1218" s="5">
        <f>Tabela3[[#This Row],[Sinal_TSMOM]]*(0.4*Tabela3[[#This Row],[Volatilidade]])</f>
        <v>0</v>
      </c>
      <c r="H1218" s="5">
        <f>Tabela3[[#This Row],[Position_Size]]*Tabela3[[#This Row],[Retorno_Diário]]</f>
        <v>0</v>
      </c>
    </row>
    <row r="1219" spans="1:8" x14ac:dyDescent="0.2">
      <c r="A1219" s="11" t="s">
        <v>8178</v>
      </c>
      <c r="B1219" s="4" t="s">
        <v>8180</v>
      </c>
      <c r="C1219" s="5">
        <f t="shared" ref="C1219:C1282" si="23">B1219/B1218-1</f>
        <v>-2.3923824358590862E-2</v>
      </c>
      <c r="D1219" s="5"/>
      <c r="E1219" s="5"/>
      <c r="F1219" s="5">
        <f>IF(Tabela3[[#This Row],[Retorno_Diário]]&gt;0,1,-1)</f>
        <v>-1</v>
      </c>
      <c r="G1219" s="5">
        <f>Tabela3[[#This Row],[Sinal_TSMOM]]*(0.4*Tabela3[[#This Row],[Volatilidade]])</f>
        <v>0</v>
      </c>
      <c r="H1219" s="5">
        <f>Tabela3[[#This Row],[Position_Size]]*Tabela3[[#This Row],[Retorno_Diário]]</f>
        <v>0</v>
      </c>
    </row>
    <row r="1220" spans="1:8" x14ac:dyDescent="0.2">
      <c r="A1220" s="11" t="s">
        <v>8184</v>
      </c>
      <c r="B1220" s="4" t="s">
        <v>5065</v>
      </c>
      <c r="C1220" s="5">
        <f t="shared" si="23"/>
        <v>1.5281009638038245E-2</v>
      </c>
      <c r="D1220" s="5"/>
      <c r="E1220" s="5"/>
      <c r="F1220" s="5">
        <f>IF(Tabela3[[#This Row],[Retorno_Diário]]&gt;0,1,-1)</f>
        <v>1</v>
      </c>
      <c r="G1220" s="5">
        <f>Tabela3[[#This Row],[Sinal_TSMOM]]*(0.4*Tabela3[[#This Row],[Volatilidade]])</f>
        <v>0</v>
      </c>
      <c r="H1220" s="5">
        <f>Tabela3[[#This Row],[Position_Size]]*Tabela3[[#This Row],[Retorno_Diário]]</f>
        <v>0</v>
      </c>
    </row>
    <row r="1221" spans="1:8" x14ac:dyDescent="0.2">
      <c r="A1221" s="11" t="s">
        <v>8190</v>
      </c>
      <c r="B1221" s="4" t="s">
        <v>8192</v>
      </c>
      <c r="C1221" s="5">
        <f t="shared" si="23"/>
        <v>5.4764968054292762E-2</v>
      </c>
      <c r="D1221" s="5"/>
      <c r="E1221" s="5"/>
      <c r="F1221" s="5">
        <f>IF(Tabela3[[#This Row],[Retorno_Diário]]&gt;0,1,-1)</f>
        <v>1</v>
      </c>
      <c r="G1221" s="5">
        <f>Tabela3[[#This Row],[Sinal_TSMOM]]*(0.4*Tabela3[[#This Row],[Volatilidade]])</f>
        <v>0</v>
      </c>
      <c r="H1221" s="5">
        <f>Tabela3[[#This Row],[Position_Size]]*Tabela3[[#This Row],[Retorno_Diário]]</f>
        <v>0</v>
      </c>
    </row>
    <row r="1222" spans="1:8" x14ac:dyDescent="0.2">
      <c r="A1222" s="11" t="s">
        <v>8197</v>
      </c>
      <c r="B1222" s="4" t="s">
        <v>8199</v>
      </c>
      <c r="C1222" s="5">
        <f t="shared" si="23"/>
        <v>1.0242971367804721E-2</v>
      </c>
      <c r="D1222" s="5"/>
      <c r="E1222" s="5"/>
      <c r="F1222" s="5">
        <f>IF(Tabela3[[#This Row],[Retorno_Diário]]&gt;0,1,-1)</f>
        <v>1</v>
      </c>
      <c r="G1222" s="5">
        <f>Tabela3[[#This Row],[Sinal_TSMOM]]*(0.4*Tabela3[[#This Row],[Volatilidade]])</f>
        <v>0</v>
      </c>
      <c r="H1222" s="5">
        <f>Tabela3[[#This Row],[Position_Size]]*Tabela3[[#This Row],[Retorno_Diário]]</f>
        <v>0</v>
      </c>
    </row>
    <row r="1223" spans="1:8" x14ac:dyDescent="0.2">
      <c r="A1223" s="11" t="s">
        <v>8204</v>
      </c>
      <c r="B1223" s="4" t="s">
        <v>8206</v>
      </c>
      <c r="C1223" s="5">
        <f t="shared" si="23"/>
        <v>2.1047521336973185E-2</v>
      </c>
      <c r="D1223" s="5"/>
      <c r="E1223" s="5"/>
      <c r="F1223" s="5">
        <f>IF(Tabela3[[#This Row],[Retorno_Diário]]&gt;0,1,-1)</f>
        <v>1</v>
      </c>
      <c r="G1223" s="5">
        <f>Tabela3[[#This Row],[Sinal_TSMOM]]*(0.4*Tabela3[[#This Row],[Volatilidade]])</f>
        <v>0</v>
      </c>
      <c r="H1223" s="5">
        <f>Tabela3[[#This Row],[Position_Size]]*Tabela3[[#This Row],[Retorno_Diário]]</f>
        <v>0</v>
      </c>
    </row>
    <row r="1224" spans="1:8" x14ac:dyDescent="0.2">
      <c r="A1224" s="11" t="s">
        <v>8211</v>
      </c>
      <c r="B1224" s="4" t="s">
        <v>8213</v>
      </c>
      <c r="C1224" s="5">
        <f t="shared" si="23"/>
        <v>-5.6567607193824698E-2</v>
      </c>
      <c r="D1224" s="5"/>
      <c r="E1224" s="5"/>
      <c r="F1224" s="5">
        <f>IF(Tabela3[[#This Row],[Retorno_Diário]]&gt;0,1,-1)</f>
        <v>-1</v>
      </c>
      <c r="G1224" s="5">
        <f>Tabela3[[#This Row],[Sinal_TSMOM]]*(0.4*Tabela3[[#This Row],[Volatilidade]])</f>
        <v>0</v>
      </c>
      <c r="H1224" s="5">
        <f>Tabela3[[#This Row],[Position_Size]]*Tabela3[[#This Row],[Retorno_Diário]]</f>
        <v>0</v>
      </c>
    </row>
    <row r="1225" spans="1:8" x14ac:dyDescent="0.2">
      <c r="A1225" s="11" t="s">
        <v>8218</v>
      </c>
      <c r="B1225" s="4" t="s">
        <v>5709</v>
      </c>
      <c r="C1225" s="5">
        <f t="shared" si="23"/>
        <v>0.14329268102730852</v>
      </c>
      <c r="D1225" s="5"/>
      <c r="E1225" s="5"/>
      <c r="F1225" s="5">
        <f>IF(Tabela3[[#This Row],[Retorno_Diário]]&gt;0,1,-1)</f>
        <v>1</v>
      </c>
      <c r="G1225" s="5">
        <f>Tabela3[[#This Row],[Sinal_TSMOM]]*(0.4*Tabela3[[#This Row],[Volatilidade]])</f>
        <v>0</v>
      </c>
      <c r="H1225" s="5">
        <f>Tabela3[[#This Row],[Position_Size]]*Tabela3[[#This Row],[Retorno_Diário]]</f>
        <v>0</v>
      </c>
    </row>
    <row r="1226" spans="1:8" x14ac:dyDescent="0.2">
      <c r="A1226" s="11" t="s">
        <v>8223</v>
      </c>
      <c r="B1226" s="4" t="s">
        <v>8225</v>
      </c>
      <c r="C1226" s="5">
        <f t="shared" si="23"/>
        <v>3.6634899321054126E-2</v>
      </c>
      <c r="D1226" s="5"/>
      <c r="E1226" s="5"/>
      <c r="F1226" s="5">
        <f>IF(Tabela3[[#This Row],[Retorno_Diário]]&gt;0,1,-1)</f>
        <v>1</v>
      </c>
      <c r="G1226" s="5">
        <f>Tabela3[[#This Row],[Sinal_TSMOM]]*(0.4*Tabela3[[#This Row],[Volatilidade]])</f>
        <v>0</v>
      </c>
      <c r="H1226" s="5">
        <f>Tabela3[[#This Row],[Position_Size]]*Tabela3[[#This Row],[Retorno_Diário]]</f>
        <v>0</v>
      </c>
    </row>
    <row r="1227" spans="1:8" x14ac:dyDescent="0.2">
      <c r="A1227" s="11" t="s">
        <v>8230</v>
      </c>
      <c r="B1227" s="4" t="s">
        <v>8232</v>
      </c>
      <c r="C1227" s="5">
        <f t="shared" si="23"/>
        <v>-1.9599184584206952E-3</v>
      </c>
      <c r="D1227" s="5"/>
      <c r="E1227" s="5"/>
      <c r="F1227" s="5">
        <f>IF(Tabela3[[#This Row],[Retorno_Diário]]&gt;0,1,-1)</f>
        <v>-1</v>
      </c>
      <c r="G1227" s="5">
        <f>Tabela3[[#This Row],[Sinal_TSMOM]]*(0.4*Tabela3[[#This Row],[Volatilidade]])</f>
        <v>0</v>
      </c>
      <c r="H1227" s="5">
        <f>Tabela3[[#This Row],[Position_Size]]*Tabela3[[#This Row],[Retorno_Diário]]</f>
        <v>0</v>
      </c>
    </row>
    <row r="1228" spans="1:8" x14ac:dyDescent="0.2">
      <c r="A1228" s="11" t="s">
        <v>8237</v>
      </c>
      <c r="B1228" s="4" t="s">
        <v>8239</v>
      </c>
      <c r="C1228" s="5">
        <f t="shared" si="23"/>
        <v>2.2767737844735292E-2</v>
      </c>
      <c r="D1228" s="5"/>
      <c r="E1228" s="5"/>
      <c r="F1228" s="5">
        <f>IF(Tabela3[[#This Row],[Retorno_Diário]]&gt;0,1,-1)</f>
        <v>1</v>
      </c>
      <c r="G1228" s="5">
        <f>Tabela3[[#This Row],[Sinal_TSMOM]]*(0.4*Tabela3[[#This Row],[Volatilidade]])</f>
        <v>0</v>
      </c>
      <c r="H1228" s="5">
        <f>Tabela3[[#This Row],[Position_Size]]*Tabela3[[#This Row],[Retorno_Diário]]</f>
        <v>0</v>
      </c>
    </row>
    <row r="1229" spans="1:8" x14ac:dyDescent="0.2">
      <c r="A1229" s="11" t="s">
        <v>8244</v>
      </c>
      <c r="B1229" s="4" t="s">
        <v>8246</v>
      </c>
      <c r="C1229" s="5">
        <f t="shared" si="23"/>
        <v>-4.536184460499193E-2</v>
      </c>
      <c r="D1229" s="5"/>
      <c r="E1229" s="5"/>
      <c r="F1229" s="5">
        <f>IF(Tabela3[[#This Row],[Retorno_Diário]]&gt;0,1,-1)</f>
        <v>-1</v>
      </c>
      <c r="G1229" s="5">
        <f>Tabela3[[#This Row],[Sinal_TSMOM]]*(0.4*Tabela3[[#This Row],[Volatilidade]])</f>
        <v>0</v>
      </c>
      <c r="H1229" s="5">
        <f>Tabela3[[#This Row],[Position_Size]]*Tabela3[[#This Row],[Retorno_Diário]]</f>
        <v>0</v>
      </c>
    </row>
    <row r="1230" spans="1:8" x14ac:dyDescent="0.2">
      <c r="A1230" s="11" t="s">
        <v>8251</v>
      </c>
      <c r="B1230" s="4" t="s">
        <v>8253</v>
      </c>
      <c r="C1230" s="5">
        <f t="shared" si="23"/>
        <v>-1.4644865108135119E-2</v>
      </c>
      <c r="D1230" s="5"/>
      <c r="E1230" s="5"/>
      <c r="F1230" s="5">
        <f>IF(Tabela3[[#This Row],[Retorno_Diário]]&gt;0,1,-1)</f>
        <v>-1</v>
      </c>
      <c r="G1230" s="5">
        <f>Tabela3[[#This Row],[Sinal_TSMOM]]*(0.4*Tabela3[[#This Row],[Volatilidade]])</f>
        <v>0</v>
      </c>
      <c r="H1230" s="5">
        <f>Tabela3[[#This Row],[Position_Size]]*Tabela3[[#This Row],[Retorno_Diário]]</f>
        <v>0</v>
      </c>
    </row>
    <row r="1231" spans="1:8" x14ac:dyDescent="0.2">
      <c r="A1231" s="11" t="s">
        <v>8258</v>
      </c>
      <c r="B1231" s="4" t="s">
        <v>8260</v>
      </c>
      <c r="C1231" s="5">
        <f t="shared" si="23"/>
        <v>-1.7095085045943148E-2</v>
      </c>
      <c r="D1231" s="5"/>
      <c r="E1231" s="5"/>
      <c r="F1231" s="5">
        <f>IF(Tabela3[[#This Row],[Retorno_Diário]]&gt;0,1,-1)</f>
        <v>-1</v>
      </c>
      <c r="G1231" s="5">
        <f>Tabela3[[#This Row],[Sinal_TSMOM]]*(0.4*Tabela3[[#This Row],[Volatilidade]])</f>
        <v>0</v>
      </c>
      <c r="H1231" s="5">
        <f>Tabela3[[#This Row],[Position_Size]]*Tabela3[[#This Row],[Retorno_Diário]]</f>
        <v>0</v>
      </c>
    </row>
    <row r="1232" spans="1:8" x14ac:dyDescent="0.2">
      <c r="A1232" s="11" t="s">
        <v>8264</v>
      </c>
      <c r="B1232" s="4" t="s">
        <v>8266</v>
      </c>
      <c r="C1232" s="5">
        <f t="shared" si="23"/>
        <v>-5.9705370407371339E-3</v>
      </c>
      <c r="D1232" s="5"/>
      <c r="E1232" s="5"/>
      <c r="F1232" s="5">
        <f>IF(Tabela3[[#This Row],[Retorno_Diário]]&gt;0,1,-1)</f>
        <v>-1</v>
      </c>
      <c r="G1232" s="5">
        <f>Tabela3[[#This Row],[Sinal_TSMOM]]*(0.4*Tabela3[[#This Row],[Volatilidade]])</f>
        <v>0</v>
      </c>
      <c r="H1232" s="5">
        <f>Tabela3[[#This Row],[Position_Size]]*Tabela3[[#This Row],[Retorno_Diário]]</f>
        <v>0</v>
      </c>
    </row>
    <row r="1233" spans="1:8" x14ac:dyDescent="0.2">
      <c r="A1233" s="11" t="s">
        <v>8271</v>
      </c>
      <c r="B1233" s="4" t="s">
        <v>8273</v>
      </c>
      <c r="C1233" s="5">
        <f t="shared" si="23"/>
        <v>4.7071861291165362E-2</v>
      </c>
      <c r="D1233" s="5"/>
      <c r="E1233" s="5"/>
      <c r="F1233" s="5">
        <f>IF(Tabela3[[#This Row],[Retorno_Diário]]&gt;0,1,-1)</f>
        <v>1</v>
      </c>
      <c r="G1233" s="5">
        <f>Tabela3[[#This Row],[Sinal_TSMOM]]*(0.4*Tabela3[[#This Row],[Volatilidade]])</f>
        <v>0</v>
      </c>
      <c r="H1233" s="5">
        <f>Tabela3[[#This Row],[Position_Size]]*Tabela3[[#This Row],[Retorno_Diário]]</f>
        <v>0</v>
      </c>
    </row>
    <row r="1234" spans="1:8" x14ac:dyDescent="0.2">
      <c r="A1234" s="11" t="s">
        <v>8277</v>
      </c>
      <c r="B1234" s="4" t="s">
        <v>7572</v>
      </c>
      <c r="C1234" s="5">
        <f t="shared" si="23"/>
        <v>2.9991207738901071E-2</v>
      </c>
      <c r="D1234" s="5"/>
      <c r="E1234" s="5"/>
      <c r="F1234" s="5">
        <f>IF(Tabela3[[#This Row],[Retorno_Diário]]&gt;0,1,-1)</f>
        <v>1</v>
      </c>
      <c r="G1234" s="5">
        <f>Tabela3[[#This Row],[Sinal_TSMOM]]*(0.4*Tabela3[[#This Row],[Volatilidade]])</f>
        <v>0</v>
      </c>
      <c r="H1234" s="5">
        <f>Tabela3[[#This Row],[Position_Size]]*Tabela3[[#This Row],[Retorno_Diário]]</f>
        <v>0</v>
      </c>
    </row>
    <row r="1235" spans="1:8" x14ac:dyDescent="0.2">
      <c r="A1235" s="11" t="s">
        <v>8282</v>
      </c>
      <c r="B1235" s="4" t="s">
        <v>5724</v>
      </c>
      <c r="C1235" s="5">
        <f t="shared" si="23"/>
        <v>-1.5073470278949674E-2</v>
      </c>
      <c r="D1235" s="5"/>
      <c r="E1235" s="5"/>
      <c r="F1235" s="5">
        <f>IF(Tabela3[[#This Row],[Retorno_Diário]]&gt;0,1,-1)</f>
        <v>-1</v>
      </c>
      <c r="G1235" s="5">
        <f>Tabela3[[#This Row],[Sinal_TSMOM]]*(0.4*Tabela3[[#This Row],[Volatilidade]])</f>
        <v>0</v>
      </c>
      <c r="H1235" s="5">
        <f>Tabela3[[#This Row],[Position_Size]]*Tabela3[[#This Row],[Retorno_Diário]]</f>
        <v>0</v>
      </c>
    </row>
    <row r="1236" spans="1:8" x14ac:dyDescent="0.2">
      <c r="A1236" s="11" t="s">
        <v>8287</v>
      </c>
      <c r="B1236" s="4" t="s">
        <v>8289</v>
      </c>
      <c r="C1236" s="5">
        <f t="shared" si="23"/>
        <v>-2.7228075045665601E-2</v>
      </c>
      <c r="D1236" s="5"/>
      <c r="E1236" s="5"/>
      <c r="F1236" s="5">
        <f>IF(Tabela3[[#This Row],[Retorno_Diário]]&gt;0,1,-1)</f>
        <v>-1</v>
      </c>
      <c r="G1236" s="5">
        <f>Tabela3[[#This Row],[Sinal_TSMOM]]*(0.4*Tabela3[[#This Row],[Volatilidade]])</f>
        <v>0</v>
      </c>
      <c r="H1236" s="5">
        <f>Tabela3[[#This Row],[Position_Size]]*Tabela3[[#This Row],[Retorno_Diário]]</f>
        <v>0</v>
      </c>
    </row>
    <row r="1237" spans="1:8" x14ac:dyDescent="0.2">
      <c r="A1237" s="11" t="s">
        <v>8294</v>
      </c>
      <c r="B1237" s="4" t="s">
        <v>8296</v>
      </c>
      <c r="C1237" s="5">
        <f t="shared" si="23"/>
        <v>-1.1878418482928366E-2</v>
      </c>
      <c r="D1237" s="5"/>
      <c r="E1237" s="5"/>
      <c r="F1237" s="5">
        <f>IF(Tabela3[[#This Row],[Retorno_Diário]]&gt;0,1,-1)</f>
        <v>-1</v>
      </c>
      <c r="G1237" s="5">
        <f>Tabela3[[#This Row],[Sinal_TSMOM]]*(0.4*Tabela3[[#This Row],[Volatilidade]])</f>
        <v>0</v>
      </c>
      <c r="H1237" s="5">
        <f>Tabela3[[#This Row],[Position_Size]]*Tabela3[[#This Row],[Retorno_Diário]]</f>
        <v>0</v>
      </c>
    </row>
    <row r="1238" spans="1:8" x14ac:dyDescent="0.2">
      <c r="A1238" s="11" t="s">
        <v>8300</v>
      </c>
      <c r="B1238" s="4" t="s">
        <v>8302</v>
      </c>
      <c r="C1238" s="5">
        <f t="shared" si="23"/>
        <v>8.2102461905469548E-2</v>
      </c>
      <c r="D1238" s="5"/>
      <c r="E1238" s="5"/>
      <c r="F1238" s="5">
        <f>IF(Tabela3[[#This Row],[Retorno_Diário]]&gt;0,1,-1)</f>
        <v>1</v>
      </c>
      <c r="G1238" s="5">
        <f>Tabela3[[#This Row],[Sinal_TSMOM]]*(0.4*Tabela3[[#This Row],[Volatilidade]])</f>
        <v>0</v>
      </c>
      <c r="H1238" s="5">
        <f>Tabela3[[#This Row],[Position_Size]]*Tabela3[[#This Row],[Retorno_Diário]]</f>
        <v>0</v>
      </c>
    </row>
    <row r="1239" spans="1:8" x14ac:dyDescent="0.2">
      <c r="A1239" s="11" t="s">
        <v>8307</v>
      </c>
      <c r="B1239" s="4" t="s">
        <v>8309</v>
      </c>
      <c r="C1239" s="5">
        <f t="shared" si="23"/>
        <v>1.2527323109564614E-2</v>
      </c>
      <c r="D1239" s="5"/>
      <c r="E1239" s="5"/>
      <c r="F1239" s="5">
        <f>IF(Tabela3[[#This Row],[Retorno_Diário]]&gt;0,1,-1)</f>
        <v>1</v>
      </c>
      <c r="G1239" s="5">
        <f>Tabela3[[#This Row],[Sinal_TSMOM]]*(0.4*Tabela3[[#This Row],[Volatilidade]])</f>
        <v>0</v>
      </c>
      <c r="H1239" s="5">
        <f>Tabela3[[#This Row],[Position_Size]]*Tabela3[[#This Row],[Retorno_Diário]]</f>
        <v>0</v>
      </c>
    </row>
    <row r="1240" spans="1:8" x14ac:dyDescent="0.2">
      <c r="A1240" s="11" t="s">
        <v>8314</v>
      </c>
      <c r="B1240" s="4" t="s">
        <v>8316</v>
      </c>
      <c r="C1240" s="5">
        <f t="shared" si="23"/>
        <v>-1.5115306375178328E-2</v>
      </c>
      <c r="D1240" s="5"/>
      <c r="E1240" s="5"/>
      <c r="F1240" s="5">
        <f>IF(Tabela3[[#This Row],[Retorno_Diário]]&gt;0,1,-1)</f>
        <v>-1</v>
      </c>
      <c r="G1240" s="5">
        <f>Tabela3[[#This Row],[Sinal_TSMOM]]*(0.4*Tabela3[[#This Row],[Volatilidade]])</f>
        <v>0</v>
      </c>
      <c r="H1240" s="5">
        <f>Tabela3[[#This Row],[Position_Size]]*Tabela3[[#This Row],[Retorno_Diário]]</f>
        <v>0</v>
      </c>
    </row>
    <row r="1241" spans="1:8" x14ac:dyDescent="0.2">
      <c r="A1241" s="11" t="s">
        <v>8321</v>
      </c>
      <c r="B1241" s="4" t="s">
        <v>8323</v>
      </c>
      <c r="C1241" s="5">
        <f t="shared" si="23"/>
        <v>-1.5761960712864842E-2</v>
      </c>
      <c r="D1241" s="5"/>
      <c r="E1241" s="5"/>
      <c r="F1241" s="5">
        <f>IF(Tabela3[[#This Row],[Retorno_Diário]]&gt;0,1,-1)</f>
        <v>-1</v>
      </c>
      <c r="G1241" s="5">
        <f>Tabela3[[#This Row],[Sinal_TSMOM]]*(0.4*Tabela3[[#This Row],[Volatilidade]])</f>
        <v>0</v>
      </c>
      <c r="H1241" s="5">
        <f>Tabela3[[#This Row],[Position_Size]]*Tabela3[[#This Row],[Retorno_Diário]]</f>
        <v>0</v>
      </c>
    </row>
    <row r="1242" spans="1:8" x14ac:dyDescent="0.2">
      <c r="A1242" s="11" t="s">
        <v>8328</v>
      </c>
      <c r="B1242" s="4" t="s">
        <v>8330</v>
      </c>
      <c r="C1242" s="5">
        <f t="shared" si="23"/>
        <v>-3.7507532935925236E-2</v>
      </c>
      <c r="D1242" s="5"/>
      <c r="E1242" s="5"/>
      <c r="F1242" s="5">
        <f>IF(Tabela3[[#This Row],[Retorno_Diário]]&gt;0,1,-1)</f>
        <v>-1</v>
      </c>
      <c r="G1242" s="5">
        <f>Tabela3[[#This Row],[Sinal_TSMOM]]*(0.4*Tabela3[[#This Row],[Volatilidade]])</f>
        <v>0</v>
      </c>
      <c r="H1242" s="5">
        <f>Tabela3[[#This Row],[Position_Size]]*Tabela3[[#This Row],[Retorno_Diário]]</f>
        <v>0</v>
      </c>
    </row>
    <row r="1243" spans="1:8" x14ac:dyDescent="0.2">
      <c r="A1243" s="11" t="s">
        <v>8335</v>
      </c>
      <c r="B1243" s="4" t="s">
        <v>8337</v>
      </c>
      <c r="C1243" s="5">
        <f t="shared" si="23"/>
        <v>8.3192825401052772E-3</v>
      </c>
      <c r="D1243" s="5"/>
      <c r="E1243" s="5"/>
      <c r="F1243" s="5">
        <f>IF(Tabela3[[#This Row],[Retorno_Diário]]&gt;0,1,-1)</f>
        <v>1</v>
      </c>
      <c r="G1243" s="5">
        <f>Tabela3[[#This Row],[Sinal_TSMOM]]*(0.4*Tabela3[[#This Row],[Volatilidade]])</f>
        <v>0</v>
      </c>
      <c r="H1243" s="5">
        <f>Tabela3[[#This Row],[Position_Size]]*Tabela3[[#This Row],[Retorno_Diário]]</f>
        <v>0</v>
      </c>
    </row>
    <row r="1244" spans="1:8" x14ac:dyDescent="0.2">
      <c r="A1244" s="11" t="s">
        <v>8342</v>
      </c>
      <c r="B1244" s="4" t="s">
        <v>8344</v>
      </c>
      <c r="C1244" s="5">
        <f t="shared" si="23"/>
        <v>6.5074425047411122E-2</v>
      </c>
      <c r="D1244" s="5"/>
      <c r="E1244" s="5"/>
      <c r="F1244" s="5">
        <f>IF(Tabela3[[#This Row],[Retorno_Diário]]&gt;0,1,-1)</f>
        <v>1</v>
      </c>
      <c r="G1244" s="5">
        <f>Tabela3[[#This Row],[Sinal_TSMOM]]*(0.4*Tabela3[[#This Row],[Volatilidade]])</f>
        <v>0</v>
      </c>
      <c r="H1244" s="5">
        <f>Tabela3[[#This Row],[Position_Size]]*Tabela3[[#This Row],[Retorno_Diário]]</f>
        <v>0</v>
      </c>
    </row>
    <row r="1245" spans="1:8" x14ac:dyDescent="0.2">
      <c r="A1245" s="11" t="s">
        <v>8349</v>
      </c>
      <c r="B1245" s="4" t="s">
        <v>8351</v>
      </c>
      <c r="C1245" s="5">
        <f t="shared" si="23"/>
        <v>-9.7851458329027974E-3</v>
      </c>
      <c r="D1245" s="5"/>
      <c r="E1245" s="5"/>
      <c r="F1245" s="5">
        <f>IF(Tabela3[[#This Row],[Retorno_Diário]]&gt;0,1,-1)</f>
        <v>-1</v>
      </c>
      <c r="G1245" s="5">
        <f>Tabela3[[#This Row],[Sinal_TSMOM]]*(0.4*Tabela3[[#This Row],[Volatilidade]])</f>
        <v>0</v>
      </c>
      <c r="H1245" s="5">
        <f>Tabela3[[#This Row],[Position_Size]]*Tabela3[[#This Row],[Retorno_Diário]]</f>
        <v>0</v>
      </c>
    </row>
    <row r="1246" spans="1:8" x14ac:dyDescent="0.2">
      <c r="A1246" s="11" t="s">
        <v>8355</v>
      </c>
      <c r="B1246" s="4" t="s">
        <v>8357</v>
      </c>
      <c r="C1246" s="5">
        <f t="shared" si="23"/>
        <v>3.1409941414187292E-2</v>
      </c>
      <c r="D1246" s="5"/>
      <c r="E1246" s="5"/>
      <c r="F1246" s="5">
        <f>IF(Tabela3[[#This Row],[Retorno_Diário]]&gt;0,1,-1)</f>
        <v>1</v>
      </c>
      <c r="G1246" s="5">
        <f>Tabela3[[#This Row],[Sinal_TSMOM]]*(0.4*Tabela3[[#This Row],[Volatilidade]])</f>
        <v>0</v>
      </c>
      <c r="H1246" s="5">
        <f>Tabela3[[#This Row],[Position_Size]]*Tabela3[[#This Row],[Retorno_Diário]]</f>
        <v>0</v>
      </c>
    </row>
    <row r="1247" spans="1:8" x14ac:dyDescent="0.2">
      <c r="A1247" s="11" t="s">
        <v>8362</v>
      </c>
      <c r="B1247" s="4" t="s">
        <v>8364</v>
      </c>
      <c r="C1247" s="5">
        <f t="shared" si="23"/>
        <v>3.0624503039682338E-2</v>
      </c>
      <c r="D1247" s="5"/>
      <c r="E1247" s="5"/>
      <c r="F1247" s="5">
        <f>IF(Tabela3[[#This Row],[Retorno_Diário]]&gt;0,1,-1)</f>
        <v>1</v>
      </c>
      <c r="G1247" s="5">
        <f>Tabela3[[#This Row],[Sinal_TSMOM]]*(0.4*Tabela3[[#This Row],[Volatilidade]])</f>
        <v>0</v>
      </c>
      <c r="H1247" s="5">
        <f>Tabela3[[#This Row],[Position_Size]]*Tabela3[[#This Row],[Retorno_Diário]]</f>
        <v>0</v>
      </c>
    </row>
    <row r="1248" spans="1:8" x14ac:dyDescent="0.2">
      <c r="A1248" s="11" t="s">
        <v>8369</v>
      </c>
      <c r="B1248" s="4" t="s">
        <v>8371</v>
      </c>
      <c r="C1248" s="5">
        <f t="shared" si="23"/>
        <v>-2.2023058105002713E-2</v>
      </c>
      <c r="D1248" s="5"/>
      <c r="E1248" s="5"/>
      <c r="F1248" s="5">
        <f>IF(Tabela3[[#This Row],[Retorno_Diário]]&gt;0,1,-1)</f>
        <v>-1</v>
      </c>
      <c r="G1248" s="5">
        <f>Tabela3[[#This Row],[Sinal_TSMOM]]*(0.4*Tabela3[[#This Row],[Volatilidade]])</f>
        <v>0</v>
      </c>
      <c r="H1248" s="5">
        <f>Tabela3[[#This Row],[Position_Size]]*Tabela3[[#This Row],[Retorno_Diário]]</f>
        <v>0</v>
      </c>
    </row>
    <row r="1249" spans="1:8" x14ac:dyDescent="0.2">
      <c r="A1249" s="11" t="s">
        <v>8376</v>
      </c>
      <c r="B1249" s="4" t="s">
        <v>8378</v>
      </c>
      <c r="C1249" s="5">
        <f t="shared" si="23"/>
        <v>-4.085097492344747E-2</v>
      </c>
      <c r="D1249" s="5"/>
      <c r="E1249" s="5"/>
      <c r="F1249" s="5">
        <f>IF(Tabela3[[#This Row],[Retorno_Diário]]&gt;0,1,-1)</f>
        <v>-1</v>
      </c>
      <c r="G1249" s="5">
        <f>Tabela3[[#This Row],[Sinal_TSMOM]]*(0.4*Tabela3[[#This Row],[Volatilidade]])</f>
        <v>0</v>
      </c>
      <c r="H1249" s="5">
        <f>Tabela3[[#This Row],[Position_Size]]*Tabela3[[#This Row],[Retorno_Diário]]</f>
        <v>0</v>
      </c>
    </row>
    <row r="1250" spans="1:8" x14ac:dyDescent="0.2">
      <c r="A1250" s="11" t="s">
        <v>8383</v>
      </c>
      <c r="B1250" s="4" t="s">
        <v>8385</v>
      </c>
      <c r="C1250" s="5">
        <f t="shared" si="23"/>
        <v>-2.2475255211396816E-2</v>
      </c>
      <c r="D1250" s="5"/>
      <c r="E1250" s="5"/>
      <c r="F1250" s="5">
        <f>IF(Tabela3[[#This Row],[Retorno_Diário]]&gt;0,1,-1)</f>
        <v>-1</v>
      </c>
      <c r="G1250" s="5">
        <f>Tabela3[[#This Row],[Sinal_TSMOM]]*(0.4*Tabela3[[#This Row],[Volatilidade]])</f>
        <v>0</v>
      </c>
      <c r="H1250" s="5">
        <f>Tabela3[[#This Row],[Position_Size]]*Tabela3[[#This Row],[Retorno_Diário]]</f>
        <v>0</v>
      </c>
    </row>
    <row r="1251" spans="1:8" x14ac:dyDescent="0.2">
      <c r="A1251" s="11" t="s">
        <v>8389</v>
      </c>
      <c r="B1251" s="4" t="s">
        <v>8391</v>
      </c>
      <c r="C1251" s="5">
        <f t="shared" si="23"/>
        <v>-1.9129771997528078E-2</v>
      </c>
      <c r="D1251" s="5"/>
      <c r="E1251" s="5"/>
      <c r="F1251" s="5">
        <f>IF(Tabela3[[#This Row],[Retorno_Diário]]&gt;0,1,-1)</f>
        <v>-1</v>
      </c>
      <c r="G1251" s="5">
        <f>Tabela3[[#This Row],[Sinal_TSMOM]]*(0.4*Tabela3[[#This Row],[Volatilidade]])</f>
        <v>0</v>
      </c>
      <c r="H1251" s="5">
        <f>Tabela3[[#This Row],[Position_Size]]*Tabela3[[#This Row],[Retorno_Diário]]</f>
        <v>0</v>
      </c>
    </row>
    <row r="1252" spans="1:8" x14ac:dyDescent="0.2">
      <c r="A1252" s="11" t="s">
        <v>8396</v>
      </c>
      <c r="B1252" s="4" t="s">
        <v>8398</v>
      </c>
      <c r="C1252" s="5">
        <f t="shared" si="23"/>
        <v>-1.039747930508228E-2</v>
      </c>
      <c r="D1252" s="5"/>
      <c r="E1252" s="5"/>
      <c r="F1252" s="5">
        <f>IF(Tabela3[[#This Row],[Retorno_Diário]]&gt;0,1,-1)</f>
        <v>-1</v>
      </c>
      <c r="G1252" s="5">
        <f>Tabela3[[#This Row],[Sinal_TSMOM]]*(0.4*Tabela3[[#This Row],[Volatilidade]])</f>
        <v>0</v>
      </c>
      <c r="H1252" s="5">
        <f>Tabela3[[#This Row],[Position_Size]]*Tabela3[[#This Row],[Retorno_Diário]]</f>
        <v>0</v>
      </c>
    </row>
    <row r="1253" spans="1:8" x14ac:dyDescent="0.2">
      <c r="A1253" s="11" t="s">
        <v>8402</v>
      </c>
      <c r="B1253" s="4" t="s">
        <v>8404</v>
      </c>
      <c r="C1253" s="5">
        <f t="shared" si="23"/>
        <v>2.5862629150690042E-2</v>
      </c>
      <c r="D1253" s="5"/>
      <c r="E1253" s="5"/>
      <c r="F1253" s="5">
        <f>IF(Tabela3[[#This Row],[Retorno_Diário]]&gt;0,1,-1)</f>
        <v>1</v>
      </c>
      <c r="G1253" s="5">
        <f>Tabela3[[#This Row],[Sinal_TSMOM]]*(0.4*Tabela3[[#This Row],[Volatilidade]])</f>
        <v>0</v>
      </c>
      <c r="H1253" s="5">
        <f>Tabela3[[#This Row],[Position_Size]]*Tabela3[[#This Row],[Retorno_Diário]]</f>
        <v>0</v>
      </c>
    </row>
    <row r="1254" spans="1:8" x14ac:dyDescent="0.2">
      <c r="A1254" s="11" t="s">
        <v>8409</v>
      </c>
      <c r="B1254" s="4" t="s">
        <v>8411</v>
      </c>
      <c r="C1254" s="5">
        <f t="shared" si="23"/>
        <v>-7.0419958859247678E-2</v>
      </c>
      <c r="D1254" s="5"/>
      <c r="E1254" s="5"/>
      <c r="F1254" s="5">
        <f>IF(Tabela3[[#This Row],[Retorno_Diário]]&gt;0,1,-1)</f>
        <v>-1</v>
      </c>
      <c r="G1254" s="5">
        <f>Tabela3[[#This Row],[Sinal_TSMOM]]*(0.4*Tabela3[[#This Row],[Volatilidade]])</f>
        <v>0</v>
      </c>
      <c r="H1254" s="5">
        <f>Tabela3[[#This Row],[Position_Size]]*Tabela3[[#This Row],[Retorno_Diário]]</f>
        <v>0</v>
      </c>
    </row>
    <row r="1255" spans="1:8" x14ac:dyDescent="0.2">
      <c r="A1255" s="11" t="s">
        <v>8416</v>
      </c>
      <c r="B1255" s="4" t="s">
        <v>8418</v>
      </c>
      <c r="C1255" s="5">
        <f t="shared" si="23"/>
        <v>-8.6706709921778868E-3</v>
      </c>
      <c r="D1255" s="5"/>
      <c r="E1255" s="5"/>
      <c r="F1255" s="5">
        <f>IF(Tabela3[[#This Row],[Retorno_Diário]]&gt;0,1,-1)</f>
        <v>-1</v>
      </c>
      <c r="G1255" s="5">
        <f>Tabela3[[#This Row],[Sinal_TSMOM]]*(0.4*Tabela3[[#This Row],[Volatilidade]])</f>
        <v>0</v>
      </c>
      <c r="H1255" s="5">
        <f>Tabela3[[#This Row],[Position_Size]]*Tabela3[[#This Row],[Retorno_Diário]]</f>
        <v>0</v>
      </c>
    </row>
    <row r="1256" spans="1:8" x14ac:dyDescent="0.2">
      <c r="A1256" s="11" t="s">
        <v>8422</v>
      </c>
      <c r="B1256" s="4" t="s">
        <v>8424</v>
      </c>
      <c r="C1256" s="5">
        <f t="shared" si="23"/>
        <v>-7.1353414095654322E-2</v>
      </c>
      <c r="D1256" s="5"/>
      <c r="E1256" s="5"/>
      <c r="F1256" s="5">
        <f>IF(Tabela3[[#This Row],[Retorno_Diário]]&gt;0,1,-1)</f>
        <v>-1</v>
      </c>
      <c r="G1256" s="5">
        <f>Tabela3[[#This Row],[Sinal_TSMOM]]*(0.4*Tabela3[[#This Row],[Volatilidade]])</f>
        <v>0</v>
      </c>
      <c r="H1256" s="5">
        <f>Tabela3[[#This Row],[Position_Size]]*Tabela3[[#This Row],[Retorno_Diário]]</f>
        <v>0</v>
      </c>
    </row>
    <row r="1257" spans="1:8" x14ac:dyDescent="0.2">
      <c r="A1257" s="11" t="s">
        <v>8429</v>
      </c>
      <c r="B1257" s="4" t="s">
        <v>8431</v>
      </c>
      <c r="C1257" s="5">
        <f t="shared" si="23"/>
        <v>-6.0194063027952938E-3</v>
      </c>
      <c r="D1257" s="5"/>
      <c r="E1257" s="5"/>
      <c r="F1257" s="5">
        <f>IF(Tabela3[[#This Row],[Retorno_Diário]]&gt;0,1,-1)</f>
        <v>-1</v>
      </c>
      <c r="G1257" s="5">
        <f>Tabela3[[#This Row],[Sinal_TSMOM]]*(0.4*Tabela3[[#This Row],[Volatilidade]])</f>
        <v>0</v>
      </c>
      <c r="H1257" s="5">
        <f>Tabela3[[#This Row],[Position_Size]]*Tabela3[[#This Row],[Retorno_Diário]]</f>
        <v>0</v>
      </c>
    </row>
    <row r="1258" spans="1:8" x14ac:dyDescent="0.2">
      <c r="A1258" s="11" t="s">
        <v>8436</v>
      </c>
      <c r="B1258" s="4" t="s">
        <v>8438</v>
      </c>
      <c r="C1258" s="5">
        <f t="shared" si="23"/>
        <v>4.0396083303952501E-2</v>
      </c>
      <c r="D1258" s="5"/>
      <c r="E1258" s="5"/>
      <c r="F1258" s="5">
        <f>IF(Tabela3[[#This Row],[Retorno_Diário]]&gt;0,1,-1)</f>
        <v>1</v>
      </c>
      <c r="G1258" s="5">
        <f>Tabela3[[#This Row],[Sinal_TSMOM]]*(0.4*Tabela3[[#This Row],[Volatilidade]])</f>
        <v>0</v>
      </c>
      <c r="H1258" s="5">
        <f>Tabela3[[#This Row],[Position_Size]]*Tabela3[[#This Row],[Retorno_Diário]]</f>
        <v>0</v>
      </c>
    </row>
    <row r="1259" spans="1:8" x14ac:dyDescent="0.2">
      <c r="A1259" s="12" t="s">
        <v>8443</v>
      </c>
      <c r="B1259" s="13" t="s">
        <v>8445</v>
      </c>
      <c r="C1259" s="14">
        <f t="shared" si="23"/>
        <v>7.5331325586103226E-4</v>
      </c>
      <c r="D1259" s="14">
        <f>Tabela3[[#This Row],[Preço_Fecho]]/B1009-1</f>
        <v>-0.51482353906664313</v>
      </c>
      <c r="E1259" s="14">
        <f>_xlfn.STDEV.P(C1009:C1259)*SQRT(251)</f>
        <v>0.62961036202376586</v>
      </c>
      <c r="F1259" s="14">
        <f>IF(Tabela3[[#This Row],[Retorno_Diário]]&gt;0,1,-1)</f>
        <v>1</v>
      </c>
      <c r="G1259" s="14">
        <f>Tabela3[[#This Row],[Sinal_TSMOM]]*(0.4*Tabela3[[#This Row],[Volatilidade]])</f>
        <v>0.25184414480950634</v>
      </c>
      <c r="H1259" s="14">
        <f>Tabela3[[#This Row],[Position_Size]]*Tabela3[[#This Row],[Retorno_Diário]]</f>
        <v>1.8971753269598652E-4</v>
      </c>
    </row>
    <row r="1260" spans="1:8" x14ac:dyDescent="0.2">
      <c r="A1260" s="11" t="s">
        <v>8450</v>
      </c>
      <c r="B1260" s="4" t="s">
        <v>8452</v>
      </c>
      <c r="C1260" s="5">
        <f t="shared" si="23"/>
        <v>-2.0459883228079012E-2</v>
      </c>
      <c r="D1260" s="5"/>
      <c r="E1260" s="5"/>
      <c r="F1260" s="5">
        <f>IF(Tabela3[[#This Row],[Retorno_Diário]]&gt;0,1,-1)</f>
        <v>-1</v>
      </c>
      <c r="G1260" s="5">
        <f>Tabela3[[#This Row],[Sinal_TSMOM]]*(0.4*Tabela3[[#This Row],[Volatilidade]])</f>
        <v>0</v>
      </c>
      <c r="H1260" s="5">
        <f>Tabela3[[#This Row],[Position_Size]]*Tabela3[[#This Row],[Retorno_Diário]]</f>
        <v>0</v>
      </c>
    </row>
    <row r="1261" spans="1:8" x14ac:dyDescent="0.2">
      <c r="A1261" s="11" t="s">
        <v>8457</v>
      </c>
      <c r="B1261" s="4" t="s">
        <v>8459</v>
      </c>
      <c r="C1261" s="5">
        <f t="shared" si="23"/>
        <v>3.0317850365391141E-2</v>
      </c>
      <c r="D1261" s="5"/>
      <c r="E1261" s="5"/>
      <c r="F1261" s="5">
        <f>IF(Tabela3[[#This Row],[Retorno_Diário]]&gt;0,1,-1)</f>
        <v>1</v>
      </c>
      <c r="G1261" s="5">
        <f>Tabela3[[#This Row],[Sinal_TSMOM]]*(0.4*Tabela3[[#This Row],[Volatilidade]])</f>
        <v>0</v>
      </c>
      <c r="H1261" s="5">
        <f>Tabela3[[#This Row],[Position_Size]]*Tabela3[[#This Row],[Retorno_Diário]]</f>
        <v>0</v>
      </c>
    </row>
    <row r="1262" spans="1:8" x14ac:dyDescent="0.2">
      <c r="A1262" s="11" t="s">
        <v>8464</v>
      </c>
      <c r="B1262" s="4" t="s">
        <v>8466</v>
      </c>
      <c r="C1262" s="5">
        <f t="shared" si="23"/>
        <v>-3.2815734326978374E-2</v>
      </c>
      <c r="D1262" s="5"/>
      <c r="E1262" s="5"/>
      <c r="F1262" s="5">
        <f>IF(Tabela3[[#This Row],[Retorno_Diário]]&gt;0,1,-1)</f>
        <v>-1</v>
      </c>
      <c r="G1262" s="5">
        <f>Tabela3[[#This Row],[Sinal_TSMOM]]*(0.4*Tabela3[[#This Row],[Volatilidade]])</f>
        <v>0</v>
      </c>
      <c r="H1262" s="5">
        <f>Tabela3[[#This Row],[Position_Size]]*Tabela3[[#This Row],[Retorno_Diário]]</f>
        <v>0</v>
      </c>
    </row>
    <row r="1263" spans="1:8" x14ac:dyDescent="0.2">
      <c r="A1263" s="11" t="s">
        <v>8471</v>
      </c>
      <c r="B1263" s="4" t="s">
        <v>8473</v>
      </c>
      <c r="C1263" s="5">
        <f t="shared" si="23"/>
        <v>4.1640367919720811E-2</v>
      </c>
      <c r="D1263" s="5"/>
      <c r="E1263" s="5"/>
      <c r="F1263" s="5">
        <f>IF(Tabela3[[#This Row],[Retorno_Diário]]&gt;0,1,-1)</f>
        <v>1</v>
      </c>
      <c r="G1263" s="5">
        <f>Tabela3[[#This Row],[Sinal_TSMOM]]*(0.4*Tabela3[[#This Row],[Volatilidade]])</f>
        <v>0</v>
      </c>
      <c r="H1263" s="5">
        <f>Tabela3[[#This Row],[Position_Size]]*Tabela3[[#This Row],[Retorno_Diário]]</f>
        <v>0</v>
      </c>
    </row>
    <row r="1264" spans="1:8" x14ac:dyDescent="0.2">
      <c r="A1264" s="11" t="s">
        <v>8476</v>
      </c>
      <c r="B1264" s="4" t="s">
        <v>8478</v>
      </c>
      <c r="C1264" s="5">
        <f t="shared" si="23"/>
        <v>5.175314911804163E-2</v>
      </c>
      <c r="D1264" s="5"/>
      <c r="E1264" s="5"/>
      <c r="F1264" s="5">
        <f>IF(Tabela3[[#This Row],[Retorno_Diário]]&gt;0,1,-1)</f>
        <v>1</v>
      </c>
      <c r="G1264" s="5">
        <f>Tabela3[[#This Row],[Sinal_TSMOM]]*(0.4*Tabela3[[#This Row],[Volatilidade]])</f>
        <v>0</v>
      </c>
      <c r="H1264" s="5">
        <f>Tabela3[[#This Row],[Position_Size]]*Tabela3[[#This Row],[Retorno_Diário]]</f>
        <v>0</v>
      </c>
    </row>
    <row r="1265" spans="1:8" x14ac:dyDescent="0.2">
      <c r="A1265" s="11" t="s">
        <v>8483</v>
      </c>
      <c r="B1265" s="4" t="s">
        <v>8485</v>
      </c>
      <c r="C1265" s="5">
        <f t="shared" si="23"/>
        <v>1.7980556223762045E-2</v>
      </c>
      <c r="D1265" s="5"/>
      <c r="E1265" s="5"/>
      <c r="F1265" s="5">
        <f>IF(Tabela3[[#This Row],[Retorno_Diário]]&gt;0,1,-1)</f>
        <v>1</v>
      </c>
      <c r="G1265" s="5">
        <f>Tabela3[[#This Row],[Sinal_TSMOM]]*(0.4*Tabela3[[#This Row],[Volatilidade]])</f>
        <v>0</v>
      </c>
      <c r="H1265" s="5">
        <f>Tabela3[[#This Row],[Position_Size]]*Tabela3[[#This Row],[Retorno_Diário]]</f>
        <v>0</v>
      </c>
    </row>
    <row r="1266" spans="1:8" x14ac:dyDescent="0.2">
      <c r="A1266" s="11" t="s">
        <v>8490</v>
      </c>
      <c r="B1266" s="4" t="s">
        <v>8492</v>
      </c>
      <c r="C1266" s="5">
        <f t="shared" si="23"/>
        <v>5.7828305777098965E-3</v>
      </c>
      <c r="D1266" s="5"/>
      <c r="E1266" s="5"/>
      <c r="F1266" s="5">
        <f>IF(Tabela3[[#This Row],[Retorno_Diário]]&gt;0,1,-1)</f>
        <v>1</v>
      </c>
      <c r="G1266" s="5">
        <f>Tabela3[[#This Row],[Sinal_TSMOM]]*(0.4*Tabela3[[#This Row],[Volatilidade]])</f>
        <v>0</v>
      </c>
      <c r="H1266" s="5">
        <f>Tabela3[[#This Row],[Position_Size]]*Tabela3[[#This Row],[Retorno_Diário]]</f>
        <v>0</v>
      </c>
    </row>
    <row r="1267" spans="1:8" x14ac:dyDescent="0.2">
      <c r="A1267" s="11" t="s">
        <v>8497</v>
      </c>
      <c r="B1267" s="4" t="s">
        <v>8499</v>
      </c>
      <c r="C1267" s="5">
        <f t="shared" si="23"/>
        <v>3.1873023335433848E-2</v>
      </c>
      <c r="D1267" s="5"/>
      <c r="E1267" s="5"/>
      <c r="F1267" s="5">
        <f>IF(Tabela3[[#This Row],[Retorno_Diário]]&gt;0,1,-1)</f>
        <v>1</v>
      </c>
      <c r="G1267" s="5">
        <f>Tabela3[[#This Row],[Sinal_TSMOM]]*(0.4*Tabela3[[#This Row],[Volatilidade]])</f>
        <v>0</v>
      </c>
      <c r="H1267" s="5">
        <f>Tabela3[[#This Row],[Position_Size]]*Tabela3[[#This Row],[Retorno_Diário]]</f>
        <v>0</v>
      </c>
    </row>
    <row r="1268" spans="1:8" x14ac:dyDescent="0.2">
      <c r="A1268" s="11" t="s">
        <v>8504</v>
      </c>
      <c r="B1268" s="4" t="s">
        <v>8506</v>
      </c>
      <c r="C1268" s="5">
        <f t="shared" si="23"/>
        <v>2.3499515220838152E-2</v>
      </c>
      <c r="D1268" s="5"/>
      <c r="E1268" s="5"/>
      <c r="F1268" s="5">
        <f>IF(Tabela3[[#This Row],[Retorno_Diário]]&gt;0,1,-1)</f>
        <v>1</v>
      </c>
      <c r="G1268" s="5">
        <f>Tabela3[[#This Row],[Sinal_TSMOM]]*(0.4*Tabela3[[#This Row],[Volatilidade]])</f>
        <v>0</v>
      </c>
      <c r="H1268" s="5">
        <f>Tabela3[[#This Row],[Position_Size]]*Tabela3[[#This Row],[Retorno_Diário]]</f>
        <v>0</v>
      </c>
    </row>
    <row r="1269" spans="1:8" x14ac:dyDescent="0.2">
      <c r="A1269" s="11" t="s">
        <v>8511</v>
      </c>
      <c r="B1269" s="4" t="s">
        <v>8513</v>
      </c>
      <c r="C1269" s="5">
        <f t="shared" si="23"/>
        <v>4.7517574322997636E-2</v>
      </c>
      <c r="D1269" s="5"/>
      <c r="E1269" s="5"/>
      <c r="F1269" s="5">
        <f>IF(Tabela3[[#This Row],[Retorno_Diário]]&gt;0,1,-1)</f>
        <v>1</v>
      </c>
      <c r="G1269" s="5">
        <f>Tabela3[[#This Row],[Sinal_TSMOM]]*(0.4*Tabela3[[#This Row],[Volatilidade]])</f>
        <v>0</v>
      </c>
      <c r="H1269" s="5">
        <f>Tabela3[[#This Row],[Position_Size]]*Tabela3[[#This Row],[Retorno_Diário]]</f>
        <v>0</v>
      </c>
    </row>
    <row r="1270" spans="1:8" x14ac:dyDescent="0.2">
      <c r="A1270" s="11" t="s">
        <v>8515</v>
      </c>
      <c r="B1270" s="4" t="s">
        <v>8517</v>
      </c>
      <c r="C1270" s="5">
        <f t="shared" si="23"/>
        <v>-1.8359443099872697E-2</v>
      </c>
      <c r="D1270" s="5"/>
      <c r="E1270" s="5"/>
      <c r="F1270" s="5">
        <f>IF(Tabela3[[#This Row],[Retorno_Diário]]&gt;0,1,-1)</f>
        <v>-1</v>
      </c>
      <c r="G1270" s="5">
        <f>Tabela3[[#This Row],[Sinal_TSMOM]]*(0.4*Tabela3[[#This Row],[Volatilidade]])</f>
        <v>0</v>
      </c>
      <c r="H1270" s="5">
        <f>Tabela3[[#This Row],[Position_Size]]*Tabela3[[#This Row],[Retorno_Diário]]</f>
        <v>0</v>
      </c>
    </row>
    <row r="1271" spans="1:8" x14ac:dyDescent="0.2">
      <c r="A1271" s="11" t="s">
        <v>8522</v>
      </c>
      <c r="B1271" s="4" t="s">
        <v>8524</v>
      </c>
      <c r="C1271" s="5">
        <f t="shared" si="23"/>
        <v>-3.5219047625320798E-2</v>
      </c>
      <c r="D1271" s="5"/>
      <c r="E1271" s="5"/>
      <c r="F1271" s="5">
        <f>IF(Tabela3[[#This Row],[Retorno_Diário]]&gt;0,1,-1)</f>
        <v>-1</v>
      </c>
      <c r="G1271" s="5">
        <f>Tabela3[[#This Row],[Sinal_TSMOM]]*(0.4*Tabela3[[#This Row],[Volatilidade]])</f>
        <v>0</v>
      </c>
      <c r="H1271" s="5">
        <f>Tabela3[[#This Row],[Position_Size]]*Tabela3[[#This Row],[Retorno_Diário]]</f>
        <v>0</v>
      </c>
    </row>
    <row r="1272" spans="1:8" x14ac:dyDescent="0.2">
      <c r="A1272" s="11" t="s">
        <v>8529</v>
      </c>
      <c r="B1272" s="4" t="s">
        <v>8531</v>
      </c>
      <c r="C1272" s="5">
        <f t="shared" si="23"/>
        <v>6.4062114605202281E-2</v>
      </c>
      <c r="D1272" s="5"/>
      <c r="E1272" s="5"/>
      <c r="F1272" s="5">
        <f>IF(Tabela3[[#This Row],[Retorno_Diário]]&gt;0,1,-1)</f>
        <v>1</v>
      </c>
      <c r="G1272" s="5">
        <f>Tabela3[[#This Row],[Sinal_TSMOM]]*(0.4*Tabela3[[#This Row],[Volatilidade]])</f>
        <v>0</v>
      </c>
      <c r="H1272" s="5">
        <f>Tabela3[[#This Row],[Position_Size]]*Tabela3[[#This Row],[Retorno_Diário]]</f>
        <v>0</v>
      </c>
    </row>
    <row r="1273" spans="1:8" x14ac:dyDescent="0.2">
      <c r="A1273" s="11" t="s">
        <v>8536</v>
      </c>
      <c r="B1273" s="4" t="s">
        <v>8538</v>
      </c>
      <c r="C1273" s="5">
        <f t="shared" si="23"/>
        <v>7.5901117679101127E-2</v>
      </c>
      <c r="D1273" s="5"/>
      <c r="E1273" s="5"/>
      <c r="F1273" s="5">
        <f>IF(Tabela3[[#This Row],[Retorno_Diário]]&gt;0,1,-1)</f>
        <v>1</v>
      </c>
      <c r="G1273" s="5">
        <f>Tabela3[[#This Row],[Sinal_TSMOM]]*(0.4*Tabela3[[#This Row],[Volatilidade]])</f>
        <v>0</v>
      </c>
      <c r="H1273" s="5">
        <f>Tabela3[[#This Row],[Position_Size]]*Tabela3[[#This Row],[Retorno_Diário]]</f>
        <v>0</v>
      </c>
    </row>
    <row r="1274" spans="1:8" x14ac:dyDescent="0.2">
      <c r="A1274" s="11" t="s">
        <v>8543</v>
      </c>
      <c r="B1274" s="4" t="s">
        <v>5997</v>
      </c>
      <c r="C1274" s="5">
        <f t="shared" si="23"/>
        <v>3.7512943893558415E-3</v>
      </c>
      <c r="D1274" s="5"/>
      <c r="E1274" s="5"/>
      <c r="F1274" s="5">
        <f>IF(Tabela3[[#This Row],[Retorno_Diário]]&gt;0,1,-1)</f>
        <v>1</v>
      </c>
      <c r="G1274" s="5">
        <f>Tabela3[[#This Row],[Sinal_TSMOM]]*(0.4*Tabela3[[#This Row],[Volatilidade]])</f>
        <v>0</v>
      </c>
      <c r="H1274" s="5">
        <f>Tabela3[[#This Row],[Position_Size]]*Tabela3[[#This Row],[Retorno_Diário]]</f>
        <v>0</v>
      </c>
    </row>
    <row r="1275" spans="1:8" x14ac:dyDescent="0.2">
      <c r="A1275" s="11" t="s">
        <v>8549</v>
      </c>
      <c r="B1275" s="4" t="s">
        <v>8551</v>
      </c>
      <c r="C1275" s="5">
        <f t="shared" si="23"/>
        <v>3.0106704600452172E-3</v>
      </c>
      <c r="D1275" s="5"/>
      <c r="E1275" s="5"/>
      <c r="F1275" s="5">
        <f>IF(Tabela3[[#This Row],[Retorno_Diário]]&gt;0,1,-1)</f>
        <v>1</v>
      </c>
      <c r="G1275" s="5">
        <f>Tabela3[[#This Row],[Sinal_TSMOM]]*(0.4*Tabela3[[#This Row],[Volatilidade]])</f>
        <v>0</v>
      </c>
      <c r="H1275" s="5">
        <f>Tabela3[[#This Row],[Position_Size]]*Tabela3[[#This Row],[Retorno_Diário]]</f>
        <v>0</v>
      </c>
    </row>
    <row r="1276" spans="1:8" x14ac:dyDescent="0.2">
      <c r="A1276" s="11" t="s">
        <v>8556</v>
      </c>
      <c r="B1276" s="4" t="s">
        <v>8558</v>
      </c>
      <c r="C1276" s="5">
        <f t="shared" si="23"/>
        <v>2.4789116218364438E-2</v>
      </c>
      <c r="D1276" s="5"/>
      <c r="E1276" s="5"/>
      <c r="F1276" s="5">
        <f>IF(Tabela3[[#This Row],[Retorno_Diário]]&gt;0,1,-1)</f>
        <v>1</v>
      </c>
      <c r="G1276" s="5">
        <f>Tabela3[[#This Row],[Sinal_TSMOM]]*(0.4*Tabela3[[#This Row],[Volatilidade]])</f>
        <v>0</v>
      </c>
      <c r="H1276" s="5">
        <f>Tabela3[[#This Row],[Position_Size]]*Tabela3[[#This Row],[Retorno_Diário]]</f>
        <v>0</v>
      </c>
    </row>
    <row r="1277" spans="1:8" x14ac:dyDescent="0.2">
      <c r="A1277" s="11" t="s">
        <v>8563</v>
      </c>
      <c r="B1277" s="4" t="s">
        <v>8565</v>
      </c>
      <c r="C1277" s="5">
        <f t="shared" si="23"/>
        <v>2.843145763257815E-2</v>
      </c>
      <c r="D1277" s="5"/>
      <c r="E1277" s="5"/>
      <c r="F1277" s="5">
        <f>IF(Tabela3[[#This Row],[Retorno_Diário]]&gt;0,1,-1)</f>
        <v>1</v>
      </c>
      <c r="G1277" s="5">
        <f>Tabela3[[#This Row],[Sinal_TSMOM]]*(0.4*Tabela3[[#This Row],[Volatilidade]])</f>
        <v>0</v>
      </c>
      <c r="H1277" s="5">
        <f>Tabela3[[#This Row],[Position_Size]]*Tabela3[[#This Row],[Retorno_Diário]]</f>
        <v>0</v>
      </c>
    </row>
    <row r="1278" spans="1:8" x14ac:dyDescent="0.2">
      <c r="A1278" s="11" t="s">
        <v>8570</v>
      </c>
      <c r="B1278" s="4" t="s">
        <v>8572</v>
      </c>
      <c r="C1278" s="5">
        <f t="shared" si="23"/>
        <v>-5.90718943535814E-2</v>
      </c>
      <c r="D1278" s="5"/>
      <c r="E1278" s="5"/>
      <c r="F1278" s="5">
        <f>IF(Tabela3[[#This Row],[Retorno_Diário]]&gt;0,1,-1)</f>
        <v>-1</v>
      </c>
      <c r="G1278" s="5">
        <f>Tabela3[[#This Row],[Sinal_TSMOM]]*(0.4*Tabela3[[#This Row],[Volatilidade]])</f>
        <v>0</v>
      </c>
      <c r="H1278" s="5">
        <f>Tabela3[[#This Row],[Position_Size]]*Tabela3[[#This Row],[Retorno_Diário]]</f>
        <v>0</v>
      </c>
    </row>
    <row r="1279" spans="1:8" x14ac:dyDescent="0.2">
      <c r="A1279" s="11" t="s">
        <v>8576</v>
      </c>
      <c r="B1279" s="4" t="s">
        <v>8578</v>
      </c>
      <c r="C1279" s="5">
        <f t="shared" si="23"/>
        <v>1.9569981586451846E-2</v>
      </c>
      <c r="D1279" s="5"/>
      <c r="E1279" s="5"/>
      <c r="F1279" s="5">
        <f>IF(Tabela3[[#This Row],[Retorno_Diário]]&gt;0,1,-1)</f>
        <v>1</v>
      </c>
      <c r="G1279" s="5">
        <f>Tabela3[[#This Row],[Sinal_TSMOM]]*(0.4*Tabela3[[#This Row],[Volatilidade]])</f>
        <v>0</v>
      </c>
      <c r="H1279" s="5">
        <f>Tabela3[[#This Row],[Position_Size]]*Tabela3[[#This Row],[Retorno_Diário]]</f>
        <v>0</v>
      </c>
    </row>
    <row r="1280" spans="1:8" x14ac:dyDescent="0.2">
      <c r="A1280" s="11" t="s">
        <v>8583</v>
      </c>
      <c r="B1280" s="4" t="s">
        <v>8585</v>
      </c>
      <c r="C1280" s="5">
        <f t="shared" si="23"/>
        <v>7.1966017817995942E-2</v>
      </c>
      <c r="D1280" s="5"/>
      <c r="E1280" s="5"/>
      <c r="F1280" s="5">
        <f>IF(Tabela3[[#This Row],[Retorno_Diário]]&gt;0,1,-1)</f>
        <v>1</v>
      </c>
      <c r="G1280" s="5">
        <f>Tabela3[[#This Row],[Sinal_TSMOM]]*(0.4*Tabela3[[#This Row],[Volatilidade]])</f>
        <v>0</v>
      </c>
      <c r="H1280" s="5">
        <f>Tabela3[[#This Row],[Position_Size]]*Tabela3[[#This Row],[Retorno_Diário]]</f>
        <v>0</v>
      </c>
    </row>
    <row r="1281" spans="1:8" x14ac:dyDescent="0.2">
      <c r="A1281" s="11" t="s">
        <v>8590</v>
      </c>
      <c r="B1281" s="4" t="s">
        <v>7276</v>
      </c>
      <c r="C1281" s="5">
        <f t="shared" si="23"/>
        <v>3.6575409984767493E-2</v>
      </c>
      <c r="D1281" s="5"/>
      <c r="E1281" s="5"/>
      <c r="F1281" s="5">
        <f>IF(Tabela3[[#This Row],[Retorno_Diário]]&gt;0,1,-1)</f>
        <v>1</v>
      </c>
      <c r="G1281" s="5">
        <f>Tabela3[[#This Row],[Sinal_TSMOM]]*(0.4*Tabela3[[#This Row],[Volatilidade]])</f>
        <v>0</v>
      </c>
      <c r="H1281" s="5">
        <f>Tabela3[[#This Row],[Position_Size]]*Tabela3[[#This Row],[Retorno_Diário]]</f>
        <v>0</v>
      </c>
    </row>
    <row r="1282" spans="1:8" x14ac:dyDescent="0.2">
      <c r="A1282" s="11" t="s">
        <v>8595</v>
      </c>
      <c r="B1282" s="4" t="s">
        <v>8597</v>
      </c>
      <c r="C1282" s="5">
        <f t="shared" si="23"/>
        <v>-2.8052847325651054E-2</v>
      </c>
      <c r="D1282" s="5"/>
      <c r="E1282" s="5"/>
      <c r="F1282" s="5">
        <f>IF(Tabela3[[#This Row],[Retorno_Diário]]&gt;0,1,-1)</f>
        <v>-1</v>
      </c>
      <c r="G1282" s="5">
        <f>Tabela3[[#This Row],[Sinal_TSMOM]]*(0.4*Tabela3[[#This Row],[Volatilidade]])</f>
        <v>0</v>
      </c>
      <c r="H1282" s="5">
        <f>Tabela3[[#This Row],[Position_Size]]*Tabela3[[#This Row],[Retorno_Diário]]</f>
        <v>0</v>
      </c>
    </row>
    <row r="1283" spans="1:8" x14ac:dyDescent="0.2">
      <c r="A1283" s="11" t="s">
        <v>8601</v>
      </c>
      <c r="B1283" s="4" t="s">
        <v>8603</v>
      </c>
      <c r="C1283" s="5">
        <f t="shared" ref="C1283:C1346" si="24">B1283/B1282-1</f>
        <v>-5.2131181832393292E-4</v>
      </c>
      <c r="D1283" s="5"/>
      <c r="E1283" s="5"/>
      <c r="F1283" s="5">
        <f>IF(Tabela3[[#This Row],[Retorno_Diário]]&gt;0,1,-1)</f>
        <v>-1</v>
      </c>
      <c r="G1283" s="5">
        <f>Tabela3[[#This Row],[Sinal_TSMOM]]*(0.4*Tabela3[[#This Row],[Volatilidade]])</f>
        <v>0</v>
      </c>
      <c r="H1283" s="5">
        <f>Tabela3[[#This Row],[Position_Size]]*Tabela3[[#This Row],[Retorno_Diário]]</f>
        <v>0</v>
      </c>
    </row>
    <row r="1284" spans="1:8" x14ac:dyDescent="0.2">
      <c r="A1284" s="11" t="s">
        <v>8608</v>
      </c>
      <c r="B1284" s="4" t="s">
        <v>8610</v>
      </c>
      <c r="C1284" s="5">
        <f t="shared" si="24"/>
        <v>5.1401185343562528E-2</v>
      </c>
      <c r="D1284" s="5"/>
      <c r="E1284" s="5"/>
      <c r="F1284" s="5">
        <f>IF(Tabela3[[#This Row],[Retorno_Diário]]&gt;0,1,-1)</f>
        <v>1</v>
      </c>
      <c r="G1284" s="5">
        <f>Tabela3[[#This Row],[Sinal_TSMOM]]*(0.4*Tabela3[[#This Row],[Volatilidade]])</f>
        <v>0</v>
      </c>
      <c r="H1284" s="5">
        <f>Tabela3[[#This Row],[Position_Size]]*Tabela3[[#This Row],[Retorno_Diário]]</f>
        <v>0</v>
      </c>
    </row>
    <row r="1285" spans="1:8" x14ac:dyDescent="0.2">
      <c r="A1285" s="11" t="s">
        <v>8615</v>
      </c>
      <c r="B1285" s="4" t="s">
        <v>8617</v>
      </c>
      <c r="C1285" s="5">
        <f t="shared" si="24"/>
        <v>1.4431780782138137E-3</v>
      </c>
      <c r="D1285" s="5"/>
      <c r="E1285" s="5"/>
      <c r="F1285" s="5">
        <f>IF(Tabela3[[#This Row],[Retorno_Diário]]&gt;0,1,-1)</f>
        <v>1</v>
      </c>
      <c r="G1285" s="5">
        <f>Tabela3[[#This Row],[Sinal_TSMOM]]*(0.4*Tabela3[[#This Row],[Volatilidade]])</f>
        <v>0</v>
      </c>
      <c r="H1285" s="5">
        <f>Tabela3[[#This Row],[Position_Size]]*Tabela3[[#This Row],[Retorno_Diário]]</f>
        <v>0</v>
      </c>
    </row>
    <row r="1286" spans="1:8" x14ac:dyDescent="0.2">
      <c r="A1286" s="11" t="s">
        <v>8621</v>
      </c>
      <c r="B1286" s="4" t="s">
        <v>8623</v>
      </c>
      <c r="C1286" s="5">
        <f t="shared" si="24"/>
        <v>5.9446057165473132E-3</v>
      </c>
      <c r="D1286" s="5"/>
      <c r="E1286" s="5"/>
      <c r="F1286" s="5">
        <f>IF(Tabela3[[#This Row],[Retorno_Diário]]&gt;0,1,-1)</f>
        <v>1</v>
      </c>
      <c r="G1286" s="5">
        <f>Tabela3[[#This Row],[Sinal_TSMOM]]*(0.4*Tabela3[[#This Row],[Volatilidade]])</f>
        <v>0</v>
      </c>
      <c r="H1286" s="5">
        <f>Tabela3[[#This Row],[Position_Size]]*Tabela3[[#This Row],[Retorno_Diário]]</f>
        <v>0</v>
      </c>
    </row>
    <row r="1287" spans="1:8" x14ac:dyDescent="0.2">
      <c r="A1287" s="11" t="s">
        <v>8627</v>
      </c>
      <c r="B1287" s="4" t="s">
        <v>8629</v>
      </c>
      <c r="C1287" s="5">
        <f t="shared" si="24"/>
        <v>-4.7992143468958082E-2</v>
      </c>
      <c r="D1287" s="5"/>
      <c r="E1287" s="5"/>
      <c r="F1287" s="5">
        <f>IF(Tabela3[[#This Row],[Retorno_Diário]]&gt;0,1,-1)</f>
        <v>-1</v>
      </c>
      <c r="G1287" s="5">
        <f>Tabela3[[#This Row],[Sinal_TSMOM]]*(0.4*Tabela3[[#This Row],[Volatilidade]])</f>
        <v>0</v>
      </c>
      <c r="H1287" s="5">
        <f>Tabela3[[#This Row],[Position_Size]]*Tabela3[[#This Row],[Retorno_Diário]]</f>
        <v>0</v>
      </c>
    </row>
    <row r="1288" spans="1:8" x14ac:dyDescent="0.2">
      <c r="A1288" s="11" t="s">
        <v>8634</v>
      </c>
      <c r="B1288" s="4" t="s">
        <v>8636</v>
      </c>
      <c r="C1288" s="5">
        <f t="shared" si="24"/>
        <v>2.4594438381112305E-2</v>
      </c>
      <c r="D1288" s="5"/>
      <c r="E1288" s="5"/>
      <c r="F1288" s="5">
        <f>IF(Tabela3[[#This Row],[Retorno_Diário]]&gt;0,1,-1)</f>
        <v>1</v>
      </c>
      <c r="G1288" s="5">
        <f>Tabela3[[#This Row],[Sinal_TSMOM]]*(0.4*Tabela3[[#This Row],[Volatilidade]])</f>
        <v>0</v>
      </c>
      <c r="H1288" s="5">
        <f>Tabela3[[#This Row],[Position_Size]]*Tabela3[[#This Row],[Retorno_Diário]]</f>
        <v>0</v>
      </c>
    </row>
    <row r="1289" spans="1:8" x14ac:dyDescent="0.2">
      <c r="A1289" s="11" t="s">
        <v>8641</v>
      </c>
      <c r="B1289" s="4" t="s">
        <v>8643</v>
      </c>
      <c r="C1289" s="5">
        <f t="shared" si="24"/>
        <v>5.4295968366796732E-2</v>
      </c>
      <c r="D1289" s="5"/>
      <c r="E1289" s="5"/>
      <c r="F1289" s="5">
        <f>IF(Tabela3[[#This Row],[Retorno_Diário]]&gt;0,1,-1)</f>
        <v>1</v>
      </c>
      <c r="G1289" s="5">
        <f>Tabela3[[#This Row],[Sinal_TSMOM]]*(0.4*Tabela3[[#This Row],[Volatilidade]])</f>
        <v>0</v>
      </c>
      <c r="H1289" s="5">
        <f>Tabela3[[#This Row],[Position_Size]]*Tabela3[[#This Row],[Retorno_Diário]]</f>
        <v>0</v>
      </c>
    </row>
    <row r="1290" spans="1:8" x14ac:dyDescent="0.2">
      <c r="A1290" s="11" t="s">
        <v>8647</v>
      </c>
      <c r="B1290" s="4" t="s">
        <v>8649</v>
      </c>
      <c r="C1290" s="5">
        <f t="shared" si="24"/>
        <v>-9.0113937735305516E-3</v>
      </c>
      <c r="D1290" s="5"/>
      <c r="E1290" s="5"/>
      <c r="F1290" s="5">
        <f>IF(Tabela3[[#This Row],[Retorno_Diário]]&gt;0,1,-1)</f>
        <v>-1</v>
      </c>
      <c r="G1290" s="5">
        <f>Tabela3[[#This Row],[Sinal_TSMOM]]*(0.4*Tabela3[[#This Row],[Volatilidade]])</f>
        <v>0</v>
      </c>
      <c r="H1290" s="5">
        <f>Tabela3[[#This Row],[Position_Size]]*Tabela3[[#This Row],[Retorno_Diário]]</f>
        <v>0</v>
      </c>
    </row>
    <row r="1291" spans="1:8" x14ac:dyDescent="0.2">
      <c r="A1291" s="11" t="s">
        <v>8654</v>
      </c>
      <c r="B1291" s="4" t="s">
        <v>8656</v>
      </c>
      <c r="C1291" s="5">
        <f t="shared" si="24"/>
        <v>-3.34738680500829E-2</v>
      </c>
      <c r="D1291" s="5"/>
      <c r="E1291" s="5"/>
      <c r="F1291" s="5">
        <f>IF(Tabela3[[#This Row],[Retorno_Diário]]&gt;0,1,-1)</f>
        <v>-1</v>
      </c>
      <c r="G1291" s="5">
        <f>Tabela3[[#This Row],[Sinal_TSMOM]]*(0.4*Tabela3[[#This Row],[Volatilidade]])</f>
        <v>0</v>
      </c>
      <c r="H1291" s="5">
        <f>Tabela3[[#This Row],[Position_Size]]*Tabela3[[#This Row],[Retorno_Diário]]</f>
        <v>0</v>
      </c>
    </row>
    <row r="1292" spans="1:8" x14ac:dyDescent="0.2">
      <c r="A1292" s="11" t="s">
        <v>8660</v>
      </c>
      <c r="B1292" s="4" t="s">
        <v>8662</v>
      </c>
      <c r="C1292" s="5">
        <f t="shared" si="24"/>
        <v>-2.7906567487779088E-2</v>
      </c>
      <c r="D1292" s="5"/>
      <c r="E1292" s="5"/>
      <c r="F1292" s="5">
        <f>IF(Tabela3[[#This Row],[Retorno_Diário]]&gt;0,1,-1)</f>
        <v>-1</v>
      </c>
      <c r="G1292" s="5">
        <f>Tabela3[[#This Row],[Sinal_TSMOM]]*(0.4*Tabela3[[#This Row],[Volatilidade]])</f>
        <v>0</v>
      </c>
      <c r="H1292" s="5">
        <f>Tabela3[[#This Row],[Position_Size]]*Tabela3[[#This Row],[Retorno_Diário]]</f>
        <v>0</v>
      </c>
    </row>
    <row r="1293" spans="1:8" x14ac:dyDescent="0.2">
      <c r="A1293" s="11" t="s">
        <v>8667</v>
      </c>
      <c r="B1293" s="4" t="s">
        <v>8669</v>
      </c>
      <c r="C1293" s="5">
        <f t="shared" si="24"/>
        <v>-3.4271544085540895E-2</v>
      </c>
      <c r="D1293" s="5"/>
      <c r="E1293" s="5"/>
      <c r="F1293" s="5">
        <f>IF(Tabela3[[#This Row],[Retorno_Diário]]&gt;0,1,-1)</f>
        <v>-1</v>
      </c>
      <c r="G1293" s="5">
        <f>Tabela3[[#This Row],[Sinal_TSMOM]]*(0.4*Tabela3[[#This Row],[Volatilidade]])</f>
        <v>0</v>
      </c>
      <c r="H1293" s="5">
        <f>Tabela3[[#This Row],[Position_Size]]*Tabela3[[#This Row],[Retorno_Diário]]</f>
        <v>0</v>
      </c>
    </row>
    <row r="1294" spans="1:8" x14ac:dyDescent="0.2">
      <c r="A1294" s="11" t="s">
        <v>8673</v>
      </c>
      <c r="B1294" s="4" t="s">
        <v>8675</v>
      </c>
      <c r="C1294" s="5">
        <f t="shared" si="24"/>
        <v>4.7929808833899745E-3</v>
      </c>
      <c r="D1294" s="5"/>
      <c r="E1294" s="5"/>
      <c r="F1294" s="5">
        <f>IF(Tabela3[[#This Row],[Retorno_Diário]]&gt;0,1,-1)</f>
        <v>1</v>
      </c>
      <c r="G1294" s="5">
        <f>Tabela3[[#This Row],[Sinal_TSMOM]]*(0.4*Tabela3[[#This Row],[Volatilidade]])</f>
        <v>0</v>
      </c>
      <c r="H1294" s="5">
        <f>Tabela3[[#This Row],[Position_Size]]*Tabela3[[#This Row],[Retorno_Diário]]</f>
        <v>0</v>
      </c>
    </row>
    <row r="1295" spans="1:8" x14ac:dyDescent="0.2">
      <c r="A1295" s="11" t="s">
        <v>8680</v>
      </c>
      <c r="B1295" s="4" t="s">
        <v>8682</v>
      </c>
      <c r="C1295" s="5">
        <f t="shared" si="24"/>
        <v>0.14021392926965892</v>
      </c>
      <c r="D1295" s="5"/>
      <c r="E1295" s="5"/>
      <c r="F1295" s="5">
        <f>IF(Tabela3[[#This Row],[Retorno_Diário]]&gt;0,1,-1)</f>
        <v>1</v>
      </c>
      <c r="G1295" s="5">
        <f>Tabela3[[#This Row],[Sinal_TSMOM]]*(0.4*Tabela3[[#This Row],[Volatilidade]])</f>
        <v>0</v>
      </c>
      <c r="H1295" s="5">
        <f>Tabela3[[#This Row],[Position_Size]]*Tabela3[[#This Row],[Retorno_Diário]]</f>
        <v>0</v>
      </c>
    </row>
    <row r="1296" spans="1:8" x14ac:dyDescent="0.2">
      <c r="A1296" s="11" t="s">
        <v>8687</v>
      </c>
      <c r="B1296" s="4" t="s">
        <v>8689</v>
      </c>
      <c r="C1296" s="5">
        <f t="shared" si="24"/>
        <v>-1.597364209211527E-2</v>
      </c>
      <c r="D1296" s="5"/>
      <c r="E1296" s="5"/>
      <c r="F1296" s="5">
        <f>IF(Tabela3[[#This Row],[Retorno_Diário]]&gt;0,1,-1)</f>
        <v>-1</v>
      </c>
      <c r="G1296" s="5">
        <f>Tabela3[[#This Row],[Sinal_TSMOM]]*(0.4*Tabela3[[#This Row],[Volatilidade]])</f>
        <v>0</v>
      </c>
      <c r="H1296" s="5">
        <f>Tabela3[[#This Row],[Position_Size]]*Tabela3[[#This Row],[Retorno_Diário]]</f>
        <v>0</v>
      </c>
    </row>
    <row r="1297" spans="1:8" x14ac:dyDescent="0.2">
      <c r="A1297" s="11" t="s">
        <v>8694</v>
      </c>
      <c r="B1297" s="4" t="s">
        <v>8696</v>
      </c>
      <c r="C1297" s="5">
        <f t="shared" si="24"/>
        <v>9.2330223769003794E-3</v>
      </c>
      <c r="D1297" s="5"/>
      <c r="E1297" s="5"/>
      <c r="F1297" s="5">
        <f>IF(Tabela3[[#This Row],[Retorno_Diário]]&gt;0,1,-1)</f>
        <v>1</v>
      </c>
      <c r="G1297" s="5">
        <f>Tabela3[[#This Row],[Sinal_TSMOM]]*(0.4*Tabela3[[#This Row],[Volatilidade]])</f>
        <v>0</v>
      </c>
      <c r="H1297" s="5">
        <f>Tabela3[[#This Row],[Position_Size]]*Tabela3[[#This Row],[Retorno_Diário]]</f>
        <v>0</v>
      </c>
    </row>
    <row r="1298" spans="1:8" x14ac:dyDescent="0.2">
      <c r="A1298" s="11" t="s">
        <v>8701</v>
      </c>
      <c r="B1298" s="4" t="s">
        <v>8703</v>
      </c>
      <c r="C1298" s="5">
        <f t="shared" si="24"/>
        <v>-1.2127137316443548E-2</v>
      </c>
      <c r="D1298" s="5"/>
      <c r="E1298" s="5"/>
      <c r="F1298" s="5">
        <f>IF(Tabela3[[#This Row],[Retorno_Diário]]&gt;0,1,-1)</f>
        <v>-1</v>
      </c>
      <c r="G1298" s="5">
        <f>Tabela3[[#This Row],[Sinal_TSMOM]]*(0.4*Tabela3[[#This Row],[Volatilidade]])</f>
        <v>0</v>
      </c>
      <c r="H1298" s="5">
        <f>Tabela3[[#This Row],[Position_Size]]*Tabela3[[#This Row],[Retorno_Diário]]</f>
        <v>0</v>
      </c>
    </row>
    <row r="1299" spans="1:8" x14ac:dyDescent="0.2">
      <c r="A1299" s="11" t="s">
        <v>8707</v>
      </c>
      <c r="B1299" s="4" t="s">
        <v>8709</v>
      </c>
      <c r="C1299" s="5">
        <f t="shared" si="24"/>
        <v>-2.231218374826327E-2</v>
      </c>
      <c r="D1299" s="5"/>
      <c r="E1299" s="5"/>
      <c r="F1299" s="5">
        <f>IF(Tabela3[[#This Row],[Retorno_Diário]]&gt;0,1,-1)</f>
        <v>-1</v>
      </c>
      <c r="G1299" s="5">
        <f>Tabela3[[#This Row],[Sinal_TSMOM]]*(0.4*Tabela3[[#This Row],[Volatilidade]])</f>
        <v>0</v>
      </c>
      <c r="H1299" s="5">
        <f>Tabela3[[#This Row],[Position_Size]]*Tabela3[[#This Row],[Retorno_Diário]]</f>
        <v>0</v>
      </c>
    </row>
    <row r="1300" spans="1:8" x14ac:dyDescent="0.2">
      <c r="A1300" s="11" t="s">
        <v>8714</v>
      </c>
      <c r="B1300" s="4" t="s">
        <v>8716</v>
      </c>
      <c r="C1300" s="5">
        <f t="shared" si="24"/>
        <v>2.7138920743855044E-2</v>
      </c>
      <c r="D1300" s="5"/>
      <c r="E1300" s="5"/>
      <c r="F1300" s="5">
        <f>IF(Tabela3[[#This Row],[Retorno_Diário]]&gt;0,1,-1)</f>
        <v>1</v>
      </c>
      <c r="G1300" s="5">
        <f>Tabela3[[#This Row],[Sinal_TSMOM]]*(0.4*Tabela3[[#This Row],[Volatilidade]])</f>
        <v>0</v>
      </c>
      <c r="H1300" s="5">
        <f>Tabela3[[#This Row],[Position_Size]]*Tabela3[[#This Row],[Retorno_Diário]]</f>
        <v>0</v>
      </c>
    </row>
    <row r="1301" spans="1:8" x14ac:dyDescent="0.2">
      <c r="A1301" s="11" t="s">
        <v>8720</v>
      </c>
      <c r="B1301" s="4" t="s">
        <v>6898</v>
      </c>
      <c r="C1301" s="5">
        <f t="shared" si="24"/>
        <v>2.4706195160863809E-2</v>
      </c>
      <c r="D1301" s="5"/>
      <c r="E1301" s="5"/>
      <c r="F1301" s="5">
        <f>IF(Tabela3[[#This Row],[Retorno_Diário]]&gt;0,1,-1)</f>
        <v>1</v>
      </c>
      <c r="G1301" s="5">
        <f>Tabela3[[#This Row],[Sinal_TSMOM]]*(0.4*Tabela3[[#This Row],[Volatilidade]])</f>
        <v>0</v>
      </c>
      <c r="H1301" s="5">
        <f>Tabela3[[#This Row],[Position_Size]]*Tabela3[[#This Row],[Retorno_Diário]]</f>
        <v>0</v>
      </c>
    </row>
    <row r="1302" spans="1:8" x14ac:dyDescent="0.2">
      <c r="A1302" s="11" t="s">
        <v>8725</v>
      </c>
      <c r="B1302" s="4" t="s">
        <v>8727</v>
      </c>
      <c r="C1302" s="5">
        <f t="shared" si="24"/>
        <v>-1.4064401161177464E-2</v>
      </c>
      <c r="D1302" s="5"/>
      <c r="E1302" s="5"/>
      <c r="F1302" s="5">
        <f>IF(Tabela3[[#This Row],[Retorno_Diário]]&gt;0,1,-1)</f>
        <v>-1</v>
      </c>
      <c r="G1302" s="5">
        <f>Tabela3[[#This Row],[Sinal_TSMOM]]*(0.4*Tabela3[[#This Row],[Volatilidade]])</f>
        <v>0</v>
      </c>
      <c r="H1302" s="5">
        <f>Tabela3[[#This Row],[Position_Size]]*Tabela3[[#This Row],[Retorno_Diário]]</f>
        <v>0</v>
      </c>
    </row>
    <row r="1303" spans="1:8" x14ac:dyDescent="0.2">
      <c r="A1303" s="11" t="s">
        <v>8732</v>
      </c>
      <c r="B1303" s="4" t="s">
        <v>8734</v>
      </c>
      <c r="C1303" s="5">
        <f t="shared" si="24"/>
        <v>-1.1293229941013228E-2</v>
      </c>
      <c r="D1303" s="5"/>
      <c r="E1303" s="5"/>
      <c r="F1303" s="5">
        <f>IF(Tabela3[[#This Row],[Retorno_Diário]]&gt;0,1,-1)</f>
        <v>-1</v>
      </c>
      <c r="G1303" s="5">
        <f>Tabela3[[#This Row],[Sinal_TSMOM]]*(0.4*Tabela3[[#This Row],[Volatilidade]])</f>
        <v>0</v>
      </c>
      <c r="H1303" s="5">
        <f>Tabela3[[#This Row],[Position_Size]]*Tabela3[[#This Row],[Retorno_Diário]]</f>
        <v>0</v>
      </c>
    </row>
    <row r="1304" spans="1:8" x14ac:dyDescent="0.2">
      <c r="A1304" s="11" t="s">
        <v>8739</v>
      </c>
      <c r="B1304" s="4" t="s">
        <v>8741</v>
      </c>
      <c r="C1304" s="5">
        <f t="shared" si="24"/>
        <v>3.8345913987977376E-2</v>
      </c>
      <c r="D1304" s="5"/>
      <c r="E1304" s="5"/>
      <c r="F1304" s="5">
        <f>IF(Tabela3[[#This Row],[Retorno_Diário]]&gt;0,1,-1)</f>
        <v>1</v>
      </c>
      <c r="G1304" s="5">
        <f>Tabela3[[#This Row],[Sinal_TSMOM]]*(0.4*Tabela3[[#This Row],[Volatilidade]])</f>
        <v>0</v>
      </c>
      <c r="H1304" s="5">
        <f>Tabela3[[#This Row],[Position_Size]]*Tabela3[[#This Row],[Retorno_Diário]]</f>
        <v>0</v>
      </c>
    </row>
    <row r="1305" spans="1:8" x14ac:dyDescent="0.2">
      <c r="A1305" s="11" t="s">
        <v>8745</v>
      </c>
      <c r="B1305" s="4" t="s">
        <v>8747</v>
      </c>
      <c r="C1305" s="5">
        <f t="shared" si="24"/>
        <v>-3.0809269236445891E-2</v>
      </c>
      <c r="D1305" s="5"/>
      <c r="E1305" s="5"/>
      <c r="F1305" s="5">
        <f>IF(Tabela3[[#This Row],[Retorno_Diário]]&gt;0,1,-1)</f>
        <v>-1</v>
      </c>
      <c r="G1305" s="5">
        <f>Tabela3[[#This Row],[Sinal_TSMOM]]*(0.4*Tabela3[[#This Row],[Volatilidade]])</f>
        <v>0</v>
      </c>
      <c r="H1305" s="5">
        <f>Tabela3[[#This Row],[Position_Size]]*Tabela3[[#This Row],[Retorno_Diário]]</f>
        <v>0</v>
      </c>
    </row>
    <row r="1306" spans="1:8" x14ac:dyDescent="0.2">
      <c r="A1306" s="11" t="s">
        <v>8752</v>
      </c>
      <c r="B1306" s="4" t="s">
        <v>8754</v>
      </c>
      <c r="C1306" s="5">
        <f t="shared" si="24"/>
        <v>-2.0097314167397351E-2</v>
      </c>
      <c r="D1306" s="5"/>
      <c r="E1306" s="5"/>
      <c r="F1306" s="5">
        <f>IF(Tabela3[[#This Row],[Retorno_Diário]]&gt;0,1,-1)</f>
        <v>-1</v>
      </c>
      <c r="G1306" s="5">
        <f>Tabela3[[#This Row],[Sinal_TSMOM]]*(0.4*Tabela3[[#This Row],[Volatilidade]])</f>
        <v>0</v>
      </c>
      <c r="H1306" s="5">
        <f>Tabela3[[#This Row],[Position_Size]]*Tabela3[[#This Row],[Retorno_Diário]]</f>
        <v>0</v>
      </c>
    </row>
    <row r="1307" spans="1:8" x14ac:dyDescent="0.2">
      <c r="A1307" s="11" t="s">
        <v>8758</v>
      </c>
      <c r="B1307" s="4" t="s">
        <v>8760</v>
      </c>
      <c r="C1307" s="5">
        <f t="shared" si="24"/>
        <v>4.3520604265712137E-5</v>
      </c>
      <c r="D1307" s="5"/>
      <c r="E1307" s="5"/>
      <c r="F1307" s="5">
        <f>IF(Tabela3[[#This Row],[Retorno_Diário]]&gt;0,1,-1)</f>
        <v>1</v>
      </c>
      <c r="G1307" s="5">
        <f>Tabela3[[#This Row],[Sinal_TSMOM]]*(0.4*Tabela3[[#This Row],[Volatilidade]])</f>
        <v>0</v>
      </c>
      <c r="H1307" s="5">
        <f>Tabela3[[#This Row],[Position_Size]]*Tabela3[[#This Row],[Retorno_Diário]]</f>
        <v>0</v>
      </c>
    </row>
    <row r="1308" spans="1:8" x14ac:dyDescent="0.2">
      <c r="A1308" s="11" t="s">
        <v>8765</v>
      </c>
      <c r="B1308" s="4" t="s">
        <v>8767</v>
      </c>
      <c r="C1308" s="5">
        <f t="shared" si="24"/>
        <v>4.7766269312050191E-2</v>
      </c>
      <c r="D1308" s="5"/>
      <c r="E1308" s="5"/>
      <c r="F1308" s="5">
        <f>IF(Tabela3[[#This Row],[Retorno_Diário]]&gt;0,1,-1)</f>
        <v>1</v>
      </c>
      <c r="G1308" s="5">
        <f>Tabela3[[#This Row],[Sinal_TSMOM]]*(0.4*Tabela3[[#This Row],[Volatilidade]])</f>
        <v>0</v>
      </c>
      <c r="H1308" s="5">
        <f>Tabela3[[#This Row],[Position_Size]]*Tabela3[[#This Row],[Retorno_Diário]]</f>
        <v>0</v>
      </c>
    </row>
    <row r="1309" spans="1:8" x14ac:dyDescent="0.2">
      <c r="A1309" s="11" t="s">
        <v>8772</v>
      </c>
      <c r="B1309" s="4" t="s">
        <v>8774</v>
      </c>
      <c r="C1309" s="5">
        <f t="shared" si="24"/>
        <v>6.8570384993866806E-3</v>
      </c>
      <c r="D1309" s="5"/>
      <c r="E1309" s="5"/>
      <c r="F1309" s="5">
        <f>IF(Tabela3[[#This Row],[Retorno_Diário]]&gt;0,1,-1)</f>
        <v>1</v>
      </c>
      <c r="G1309" s="5">
        <f>Tabela3[[#This Row],[Sinal_TSMOM]]*(0.4*Tabela3[[#This Row],[Volatilidade]])</f>
        <v>0</v>
      </c>
      <c r="H1309" s="5">
        <f>Tabela3[[#This Row],[Position_Size]]*Tabela3[[#This Row],[Retorno_Diário]]</f>
        <v>0</v>
      </c>
    </row>
    <row r="1310" spans="1:8" x14ac:dyDescent="0.2">
      <c r="A1310" s="11" t="s">
        <v>8779</v>
      </c>
      <c r="B1310" s="4" t="s">
        <v>8781</v>
      </c>
      <c r="C1310" s="5">
        <f t="shared" si="24"/>
        <v>5.4193482359702339E-2</v>
      </c>
      <c r="D1310" s="5"/>
      <c r="E1310" s="5"/>
      <c r="F1310" s="5">
        <f>IF(Tabela3[[#This Row],[Retorno_Diário]]&gt;0,1,-1)</f>
        <v>1</v>
      </c>
      <c r="G1310" s="5">
        <f>Tabela3[[#This Row],[Sinal_TSMOM]]*(0.4*Tabela3[[#This Row],[Volatilidade]])</f>
        <v>0</v>
      </c>
      <c r="H1310" s="5">
        <f>Tabela3[[#This Row],[Position_Size]]*Tabela3[[#This Row],[Retorno_Diário]]</f>
        <v>0</v>
      </c>
    </row>
    <row r="1311" spans="1:8" x14ac:dyDescent="0.2">
      <c r="A1311" s="11" t="s">
        <v>8786</v>
      </c>
      <c r="B1311" s="4" t="s">
        <v>8788</v>
      </c>
      <c r="C1311" s="5">
        <f t="shared" si="24"/>
        <v>7.2041037007393172E-3</v>
      </c>
      <c r="D1311" s="5"/>
      <c r="E1311" s="5"/>
      <c r="F1311" s="5">
        <f>IF(Tabela3[[#This Row],[Retorno_Diário]]&gt;0,1,-1)</f>
        <v>1</v>
      </c>
      <c r="G1311" s="5">
        <f>Tabela3[[#This Row],[Sinal_TSMOM]]*(0.4*Tabela3[[#This Row],[Volatilidade]])</f>
        <v>0</v>
      </c>
      <c r="H1311" s="5">
        <f>Tabela3[[#This Row],[Position_Size]]*Tabela3[[#This Row],[Retorno_Diário]]</f>
        <v>0</v>
      </c>
    </row>
    <row r="1312" spans="1:8" x14ac:dyDescent="0.2">
      <c r="A1312" s="11" t="s">
        <v>8793</v>
      </c>
      <c r="B1312" s="4" t="s">
        <v>8795</v>
      </c>
      <c r="C1312" s="5">
        <f t="shared" si="24"/>
        <v>6.8026913300476277E-3</v>
      </c>
      <c r="D1312" s="5"/>
      <c r="E1312" s="5"/>
      <c r="F1312" s="5">
        <f>IF(Tabela3[[#This Row],[Retorno_Diário]]&gt;0,1,-1)</f>
        <v>1</v>
      </c>
      <c r="G1312" s="5">
        <f>Tabela3[[#This Row],[Sinal_TSMOM]]*(0.4*Tabela3[[#This Row],[Volatilidade]])</f>
        <v>0</v>
      </c>
      <c r="H1312" s="5">
        <f>Tabela3[[#This Row],[Position_Size]]*Tabela3[[#This Row],[Retorno_Diário]]</f>
        <v>0</v>
      </c>
    </row>
    <row r="1313" spans="1:8" x14ac:dyDescent="0.2">
      <c r="A1313" s="11" t="s">
        <v>8800</v>
      </c>
      <c r="B1313" s="4" t="s">
        <v>8802</v>
      </c>
      <c r="C1313" s="5">
        <f t="shared" si="24"/>
        <v>1.1544393466441649E-2</v>
      </c>
      <c r="D1313" s="5"/>
      <c r="E1313" s="5"/>
      <c r="F1313" s="5">
        <f>IF(Tabela3[[#This Row],[Retorno_Diário]]&gt;0,1,-1)</f>
        <v>1</v>
      </c>
      <c r="G1313" s="5">
        <f>Tabela3[[#This Row],[Sinal_TSMOM]]*(0.4*Tabela3[[#This Row],[Volatilidade]])</f>
        <v>0</v>
      </c>
      <c r="H1313" s="5">
        <f>Tabela3[[#This Row],[Position_Size]]*Tabela3[[#This Row],[Retorno_Diário]]</f>
        <v>0</v>
      </c>
    </row>
    <row r="1314" spans="1:8" x14ac:dyDescent="0.2">
      <c r="A1314" s="11" t="s">
        <v>8807</v>
      </c>
      <c r="B1314" s="4" t="s">
        <v>8809</v>
      </c>
      <c r="C1314" s="5">
        <f t="shared" si="24"/>
        <v>1.0267606137267737E-2</v>
      </c>
      <c r="D1314" s="5"/>
      <c r="E1314" s="5"/>
      <c r="F1314" s="5">
        <f>IF(Tabela3[[#This Row],[Retorno_Diário]]&gt;0,1,-1)</f>
        <v>1</v>
      </c>
      <c r="G1314" s="5">
        <f>Tabela3[[#This Row],[Sinal_TSMOM]]*(0.4*Tabela3[[#This Row],[Volatilidade]])</f>
        <v>0</v>
      </c>
      <c r="H1314" s="5">
        <f>Tabela3[[#This Row],[Position_Size]]*Tabela3[[#This Row],[Retorno_Diário]]</f>
        <v>0</v>
      </c>
    </row>
    <row r="1315" spans="1:8" x14ac:dyDescent="0.2">
      <c r="A1315" s="11" t="s">
        <v>8814</v>
      </c>
      <c r="B1315" s="4" t="s">
        <v>8816</v>
      </c>
      <c r="C1315" s="5">
        <f t="shared" si="24"/>
        <v>2.7315987664351615E-2</v>
      </c>
      <c r="D1315" s="5"/>
      <c r="E1315" s="5"/>
      <c r="F1315" s="5">
        <f>IF(Tabela3[[#This Row],[Retorno_Diário]]&gt;0,1,-1)</f>
        <v>1</v>
      </c>
      <c r="G1315" s="5">
        <f>Tabela3[[#This Row],[Sinal_TSMOM]]*(0.4*Tabela3[[#This Row],[Volatilidade]])</f>
        <v>0</v>
      </c>
      <c r="H1315" s="5">
        <f>Tabela3[[#This Row],[Position_Size]]*Tabela3[[#This Row],[Retorno_Diário]]</f>
        <v>0</v>
      </c>
    </row>
    <row r="1316" spans="1:8" x14ac:dyDescent="0.2">
      <c r="A1316" s="11" t="s">
        <v>8821</v>
      </c>
      <c r="B1316" s="4" t="s">
        <v>8823</v>
      </c>
      <c r="C1316" s="5">
        <f t="shared" si="24"/>
        <v>-1.5152096515729574E-2</v>
      </c>
      <c r="D1316" s="5"/>
      <c r="E1316" s="5"/>
      <c r="F1316" s="5">
        <f>IF(Tabela3[[#This Row],[Retorno_Diário]]&gt;0,1,-1)</f>
        <v>-1</v>
      </c>
      <c r="G1316" s="5">
        <f>Tabela3[[#This Row],[Sinal_TSMOM]]*(0.4*Tabela3[[#This Row],[Volatilidade]])</f>
        <v>0</v>
      </c>
      <c r="H1316" s="5">
        <f>Tabela3[[#This Row],[Position_Size]]*Tabela3[[#This Row],[Retorno_Diário]]</f>
        <v>0</v>
      </c>
    </row>
    <row r="1317" spans="1:8" x14ac:dyDescent="0.2">
      <c r="A1317" s="11" t="s">
        <v>8828</v>
      </c>
      <c r="B1317" s="4" t="s">
        <v>8830</v>
      </c>
      <c r="C1317" s="5">
        <f t="shared" si="24"/>
        <v>-9.2609581202354185E-3</v>
      </c>
      <c r="D1317" s="5"/>
      <c r="E1317" s="5"/>
      <c r="F1317" s="5">
        <f>IF(Tabela3[[#This Row],[Retorno_Diário]]&gt;0,1,-1)</f>
        <v>-1</v>
      </c>
      <c r="G1317" s="5">
        <f>Tabela3[[#This Row],[Sinal_TSMOM]]*(0.4*Tabela3[[#This Row],[Volatilidade]])</f>
        <v>0</v>
      </c>
      <c r="H1317" s="5">
        <f>Tabela3[[#This Row],[Position_Size]]*Tabela3[[#This Row],[Retorno_Diário]]</f>
        <v>0</v>
      </c>
    </row>
    <row r="1318" spans="1:8" x14ac:dyDescent="0.2">
      <c r="A1318" s="11" t="s">
        <v>8835</v>
      </c>
      <c r="B1318" s="4" t="s">
        <v>8837</v>
      </c>
      <c r="C1318" s="5">
        <f t="shared" si="24"/>
        <v>-4.5607134782210679E-3</v>
      </c>
      <c r="D1318" s="5"/>
      <c r="E1318" s="5"/>
      <c r="F1318" s="5">
        <f>IF(Tabela3[[#This Row],[Retorno_Diário]]&gt;0,1,-1)</f>
        <v>-1</v>
      </c>
      <c r="G1318" s="5">
        <f>Tabela3[[#This Row],[Sinal_TSMOM]]*(0.4*Tabela3[[#This Row],[Volatilidade]])</f>
        <v>0</v>
      </c>
      <c r="H1318" s="5">
        <f>Tabela3[[#This Row],[Position_Size]]*Tabela3[[#This Row],[Retorno_Diário]]</f>
        <v>0</v>
      </c>
    </row>
    <row r="1319" spans="1:8" x14ac:dyDescent="0.2">
      <c r="A1319" s="11" t="s">
        <v>8842</v>
      </c>
      <c r="B1319" s="4" t="s">
        <v>8844</v>
      </c>
      <c r="C1319" s="5">
        <f t="shared" si="24"/>
        <v>2.1734169186806929E-2</v>
      </c>
      <c r="D1319" s="5"/>
      <c r="E1319" s="5"/>
      <c r="F1319" s="5">
        <f>IF(Tabela3[[#This Row],[Retorno_Diário]]&gt;0,1,-1)</f>
        <v>1</v>
      </c>
      <c r="G1319" s="5">
        <f>Tabela3[[#This Row],[Sinal_TSMOM]]*(0.4*Tabela3[[#This Row],[Volatilidade]])</f>
        <v>0</v>
      </c>
      <c r="H1319" s="5">
        <f>Tabela3[[#This Row],[Position_Size]]*Tabela3[[#This Row],[Retorno_Diário]]</f>
        <v>0</v>
      </c>
    </row>
    <row r="1320" spans="1:8" x14ac:dyDescent="0.2">
      <c r="A1320" s="11" t="s">
        <v>8849</v>
      </c>
      <c r="B1320" s="4" t="s">
        <v>8851</v>
      </c>
      <c r="C1320" s="5">
        <f t="shared" si="24"/>
        <v>1.4786546801894396E-2</v>
      </c>
      <c r="D1320" s="5"/>
      <c r="E1320" s="5"/>
      <c r="F1320" s="5">
        <f>IF(Tabela3[[#This Row],[Retorno_Diário]]&gt;0,1,-1)</f>
        <v>1</v>
      </c>
      <c r="G1320" s="5">
        <f>Tabela3[[#This Row],[Sinal_TSMOM]]*(0.4*Tabela3[[#This Row],[Volatilidade]])</f>
        <v>0</v>
      </c>
      <c r="H1320" s="5">
        <f>Tabela3[[#This Row],[Position_Size]]*Tabela3[[#This Row],[Retorno_Diário]]</f>
        <v>0</v>
      </c>
    </row>
    <row r="1321" spans="1:8" x14ac:dyDescent="0.2">
      <c r="A1321" s="11" t="s">
        <v>8854</v>
      </c>
      <c r="B1321" s="4" t="s">
        <v>8856</v>
      </c>
      <c r="C1321" s="5">
        <f t="shared" si="24"/>
        <v>1.4388526290872283E-2</v>
      </c>
      <c r="D1321" s="5"/>
      <c r="E1321" s="5"/>
      <c r="F1321" s="5">
        <f>IF(Tabela3[[#This Row],[Retorno_Diário]]&gt;0,1,-1)</f>
        <v>1</v>
      </c>
      <c r="G1321" s="5">
        <f>Tabela3[[#This Row],[Sinal_TSMOM]]*(0.4*Tabela3[[#This Row],[Volatilidade]])</f>
        <v>0</v>
      </c>
      <c r="H1321" s="5">
        <f>Tabela3[[#This Row],[Position_Size]]*Tabela3[[#This Row],[Retorno_Diário]]</f>
        <v>0</v>
      </c>
    </row>
    <row r="1322" spans="1:8" x14ac:dyDescent="0.2">
      <c r="A1322" s="11" t="s">
        <v>8861</v>
      </c>
      <c r="B1322" s="4" t="s">
        <v>8863</v>
      </c>
      <c r="C1322" s="5">
        <f t="shared" si="24"/>
        <v>6.7681795172307435E-3</v>
      </c>
      <c r="D1322" s="5"/>
      <c r="E1322" s="5"/>
      <c r="F1322" s="5">
        <f>IF(Tabela3[[#This Row],[Retorno_Diário]]&gt;0,1,-1)</f>
        <v>1</v>
      </c>
      <c r="G1322" s="5">
        <f>Tabela3[[#This Row],[Sinal_TSMOM]]*(0.4*Tabela3[[#This Row],[Volatilidade]])</f>
        <v>0</v>
      </c>
      <c r="H1322" s="5">
        <f>Tabela3[[#This Row],[Position_Size]]*Tabela3[[#This Row],[Retorno_Diário]]</f>
        <v>0</v>
      </c>
    </row>
    <row r="1323" spans="1:8" x14ac:dyDescent="0.2">
      <c r="A1323" s="11" t="s">
        <v>8868</v>
      </c>
      <c r="B1323" s="4" t="s">
        <v>8870</v>
      </c>
      <c r="C1323" s="5">
        <f t="shared" si="24"/>
        <v>-1.8308637039296416E-2</v>
      </c>
      <c r="D1323" s="5"/>
      <c r="E1323" s="5"/>
      <c r="F1323" s="5">
        <f>IF(Tabela3[[#This Row],[Retorno_Diário]]&gt;0,1,-1)</f>
        <v>-1</v>
      </c>
      <c r="G1323" s="5">
        <f>Tabela3[[#This Row],[Sinal_TSMOM]]*(0.4*Tabela3[[#This Row],[Volatilidade]])</f>
        <v>0</v>
      </c>
      <c r="H1323" s="5">
        <f>Tabela3[[#This Row],[Position_Size]]*Tabela3[[#This Row],[Retorno_Diário]]</f>
        <v>0</v>
      </c>
    </row>
    <row r="1324" spans="1:8" x14ac:dyDescent="0.2">
      <c r="A1324" s="11" t="s">
        <v>8874</v>
      </c>
      <c r="B1324" s="4" t="s">
        <v>8876</v>
      </c>
      <c r="C1324" s="5">
        <f t="shared" si="24"/>
        <v>-2.0835559488255329E-2</v>
      </c>
      <c r="D1324" s="5"/>
      <c r="E1324" s="5"/>
      <c r="F1324" s="5">
        <f>IF(Tabela3[[#This Row],[Retorno_Diário]]&gt;0,1,-1)</f>
        <v>-1</v>
      </c>
      <c r="G1324" s="5">
        <f>Tabela3[[#This Row],[Sinal_TSMOM]]*(0.4*Tabela3[[#This Row],[Volatilidade]])</f>
        <v>0</v>
      </c>
      <c r="H1324" s="5">
        <f>Tabela3[[#This Row],[Position_Size]]*Tabela3[[#This Row],[Retorno_Diário]]</f>
        <v>0</v>
      </c>
    </row>
    <row r="1325" spans="1:8" x14ac:dyDescent="0.2">
      <c r="A1325" s="11" t="s">
        <v>8881</v>
      </c>
      <c r="B1325" s="4" t="s">
        <v>8883</v>
      </c>
      <c r="C1325" s="5">
        <f t="shared" si="24"/>
        <v>5.8033605267038268E-3</v>
      </c>
      <c r="D1325" s="5"/>
      <c r="E1325" s="5"/>
      <c r="F1325" s="5">
        <f>IF(Tabela3[[#This Row],[Retorno_Diário]]&gt;0,1,-1)</f>
        <v>1</v>
      </c>
      <c r="G1325" s="5">
        <f>Tabela3[[#This Row],[Sinal_TSMOM]]*(0.4*Tabela3[[#This Row],[Volatilidade]])</f>
        <v>0</v>
      </c>
      <c r="H1325" s="5">
        <f>Tabela3[[#This Row],[Position_Size]]*Tabela3[[#This Row],[Retorno_Diário]]</f>
        <v>0</v>
      </c>
    </row>
    <row r="1326" spans="1:8" x14ac:dyDescent="0.2">
      <c r="A1326" s="11" t="s">
        <v>8888</v>
      </c>
      <c r="B1326" s="4" t="s">
        <v>8890</v>
      </c>
      <c r="C1326" s="5">
        <f t="shared" si="24"/>
        <v>2.0046595544674695E-2</v>
      </c>
      <c r="D1326" s="5"/>
      <c r="E1326" s="5"/>
      <c r="F1326" s="5">
        <f>IF(Tabela3[[#This Row],[Retorno_Diário]]&gt;0,1,-1)</f>
        <v>1</v>
      </c>
      <c r="G1326" s="5">
        <f>Tabela3[[#This Row],[Sinal_TSMOM]]*(0.4*Tabela3[[#This Row],[Volatilidade]])</f>
        <v>0</v>
      </c>
      <c r="H1326" s="5">
        <f>Tabela3[[#This Row],[Position_Size]]*Tabela3[[#This Row],[Retorno_Diário]]</f>
        <v>0</v>
      </c>
    </row>
    <row r="1327" spans="1:8" x14ac:dyDescent="0.2">
      <c r="A1327" s="11" t="s">
        <v>8895</v>
      </c>
      <c r="B1327" s="4" t="s">
        <v>8897</v>
      </c>
      <c r="C1327" s="5">
        <f t="shared" si="24"/>
        <v>-1.4866378055040874E-2</v>
      </c>
      <c r="D1327" s="5"/>
      <c r="E1327" s="5"/>
      <c r="F1327" s="5">
        <f>IF(Tabela3[[#This Row],[Retorno_Diário]]&gt;0,1,-1)</f>
        <v>-1</v>
      </c>
      <c r="G1327" s="5">
        <f>Tabela3[[#This Row],[Sinal_TSMOM]]*(0.4*Tabela3[[#This Row],[Volatilidade]])</f>
        <v>0</v>
      </c>
      <c r="H1327" s="5">
        <f>Tabela3[[#This Row],[Position_Size]]*Tabela3[[#This Row],[Retorno_Diário]]</f>
        <v>0</v>
      </c>
    </row>
    <row r="1328" spans="1:8" x14ac:dyDescent="0.2">
      <c r="A1328" s="11" t="s">
        <v>8902</v>
      </c>
      <c r="B1328" s="4" t="s">
        <v>6966</v>
      </c>
      <c r="C1328" s="5">
        <f t="shared" si="24"/>
        <v>-2.4807676795500777E-2</v>
      </c>
      <c r="D1328" s="5"/>
      <c r="E1328" s="5"/>
      <c r="F1328" s="5">
        <f>IF(Tabela3[[#This Row],[Retorno_Diário]]&gt;0,1,-1)</f>
        <v>-1</v>
      </c>
      <c r="G1328" s="5">
        <f>Tabela3[[#This Row],[Sinal_TSMOM]]*(0.4*Tabela3[[#This Row],[Volatilidade]])</f>
        <v>0</v>
      </c>
      <c r="H1328" s="5">
        <f>Tabela3[[#This Row],[Position_Size]]*Tabela3[[#This Row],[Retorno_Diário]]</f>
        <v>0</v>
      </c>
    </row>
    <row r="1329" spans="1:8" x14ac:dyDescent="0.2">
      <c r="A1329" s="11" t="s">
        <v>8908</v>
      </c>
      <c r="B1329" s="4" t="s">
        <v>8910</v>
      </c>
      <c r="C1329" s="5">
        <f t="shared" si="24"/>
        <v>-1.2078314530192813E-3</v>
      </c>
      <c r="D1329" s="5"/>
      <c r="E1329" s="5"/>
      <c r="F1329" s="5">
        <f>IF(Tabela3[[#This Row],[Retorno_Diário]]&gt;0,1,-1)</f>
        <v>-1</v>
      </c>
      <c r="G1329" s="5">
        <f>Tabela3[[#This Row],[Sinal_TSMOM]]*(0.4*Tabela3[[#This Row],[Volatilidade]])</f>
        <v>0</v>
      </c>
      <c r="H1329" s="5">
        <f>Tabela3[[#This Row],[Position_Size]]*Tabela3[[#This Row],[Retorno_Diário]]</f>
        <v>0</v>
      </c>
    </row>
    <row r="1330" spans="1:8" x14ac:dyDescent="0.2">
      <c r="A1330" s="11" t="s">
        <v>8914</v>
      </c>
      <c r="B1330" s="4" t="s">
        <v>8916</v>
      </c>
      <c r="C1330" s="5">
        <f t="shared" si="24"/>
        <v>1.1147643260714268E-2</v>
      </c>
      <c r="D1330" s="5"/>
      <c r="E1330" s="5"/>
      <c r="F1330" s="5">
        <f>IF(Tabela3[[#This Row],[Retorno_Diário]]&gt;0,1,-1)</f>
        <v>1</v>
      </c>
      <c r="G1330" s="5">
        <f>Tabela3[[#This Row],[Sinal_TSMOM]]*(0.4*Tabela3[[#This Row],[Volatilidade]])</f>
        <v>0</v>
      </c>
      <c r="H1330" s="5">
        <f>Tabela3[[#This Row],[Position_Size]]*Tabela3[[#This Row],[Retorno_Diário]]</f>
        <v>0</v>
      </c>
    </row>
    <row r="1331" spans="1:8" x14ac:dyDescent="0.2">
      <c r="A1331" s="11" t="s">
        <v>8921</v>
      </c>
      <c r="B1331" s="4" t="s">
        <v>8923</v>
      </c>
      <c r="C1331" s="5">
        <f t="shared" si="24"/>
        <v>9.1188203093355291E-3</v>
      </c>
      <c r="D1331" s="5"/>
      <c r="E1331" s="5"/>
      <c r="F1331" s="5">
        <f>IF(Tabela3[[#This Row],[Retorno_Diário]]&gt;0,1,-1)</f>
        <v>1</v>
      </c>
      <c r="G1331" s="5">
        <f>Tabela3[[#This Row],[Sinal_TSMOM]]*(0.4*Tabela3[[#This Row],[Volatilidade]])</f>
        <v>0</v>
      </c>
      <c r="H1331" s="5">
        <f>Tabela3[[#This Row],[Position_Size]]*Tabela3[[#This Row],[Retorno_Diário]]</f>
        <v>0</v>
      </c>
    </row>
    <row r="1332" spans="1:8" x14ac:dyDescent="0.2">
      <c r="A1332" s="11" t="s">
        <v>8928</v>
      </c>
      <c r="B1332" s="4" t="s">
        <v>8930</v>
      </c>
      <c r="C1332" s="5">
        <f t="shared" si="24"/>
        <v>2.4627767878743656E-2</v>
      </c>
      <c r="D1332" s="5"/>
      <c r="E1332" s="5"/>
      <c r="F1332" s="5">
        <f>IF(Tabela3[[#This Row],[Retorno_Diário]]&gt;0,1,-1)</f>
        <v>1</v>
      </c>
      <c r="G1332" s="5">
        <f>Tabela3[[#This Row],[Sinal_TSMOM]]*(0.4*Tabela3[[#This Row],[Volatilidade]])</f>
        <v>0</v>
      </c>
      <c r="H1332" s="5">
        <f>Tabela3[[#This Row],[Position_Size]]*Tabela3[[#This Row],[Retorno_Diário]]</f>
        <v>0</v>
      </c>
    </row>
    <row r="1333" spans="1:8" x14ac:dyDescent="0.2">
      <c r="A1333" s="11" t="s">
        <v>8934</v>
      </c>
      <c r="B1333" s="4" t="s">
        <v>8936</v>
      </c>
      <c r="C1333" s="5">
        <f t="shared" si="24"/>
        <v>9.5420515672823836E-3</v>
      </c>
      <c r="D1333" s="5"/>
      <c r="E1333" s="5"/>
      <c r="F1333" s="5">
        <f>IF(Tabela3[[#This Row],[Retorno_Diário]]&gt;0,1,-1)</f>
        <v>1</v>
      </c>
      <c r="G1333" s="5">
        <f>Tabela3[[#This Row],[Sinal_TSMOM]]*(0.4*Tabela3[[#This Row],[Volatilidade]])</f>
        <v>0</v>
      </c>
      <c r="H1333" s="5">
        <f>Tabela3[[#This Row],[Position_Size]]*Tabela3[[#This Row],[Retorno_Diário]]</f>
        <v>0</v>
      </c>
    </row>
    <row r="1334" spans="1:8" x14ac:dyDescent="0.2">
      <c r="A1334" s="11" t="s">
        <v>8940</v>
      </c>
      <c r="B1334" s="4" t="s">
        <v>8942</v>
      </c>
      <c r="C1334" s="5">
        <f t="shared" si="24"/>
        <v>-2.9608666769370351E-2</v>
      </c>
      <c r="D1334" s="5"/>
      <c r="E1334" s="5"/>
      <c r="F1334" s="5">
        <f>IF(Tabela3[[#This Row],[Retorno_Diário]]&gt;0,1,-1)</f>
        <v>-1</v>
      </c>
      <c r="G1334" s="5">
        <f>Tabela3[[#This Row],[Sinal_TSMOM]]*(0.4*Tabela3[[#This Row],[Volatilidade]])</f>
        <v>0</v>
      </c>
      <c r="H1334" s="5">
        <f>Tabela3[[#This Row],[Position_Size]]*Tabela3[[#This Row],[Retorno_Diário]]</f>
        <v>0</v>
      </c>
    </row>
    <row r="1335" spans="1:8" x14ac:dyDescent="0.2">
      <c r="A1335" s="11" t="s">
        <v>8946</v>
      </c>
      <c r="B1335" s="4" t="s">
        <v>8948</v>
      </c>
      <c r="C1335" s="5">
        <f t="shared" si="24"/>
        <v>5.5340132813364029E-4</v>
      </c>
      <c r="D1335" s="5"/>
      <c r="E1335" s="5"/>
      <c r="F1335" s="5">
        <f>IF(Tabela3[[#This Row],[Retorno_Diário]]&gt;0,1,-1)</f>
        <v>1</v>
      </c>
      <c r="G1335" s="5">
        <f>Tabela3[[#This Row],[Sinal_TSMOM]]*(0.4*Tabela3[[#This Row],[Volatilidade]])</f>
        <v>0</v>
      </c>
      <c r="H1335" s="5">
        <f>Tabela3[[#This Row],[Position_Size]]*Tabela3[[#This Row],[Retorno_Diário]]</f>
        <v>0</v>
      </c>
    </row>
    <row r="1336" spans="1:8" x14ac:dyDescent="0.2">
      <c r="A1336" s="11" t="s">
        <v>8953</v>
      </c>
      <c r="B1336" s="4" t="s">
        <v>8955</v>
      </c>
      <c r="C1336" s="5">
        <f t="shared" si="24"/>
        <v>-2.8393254094782883E-3</v>
      </c>
      <c r="D1336" s="5"/>
      <c r="E1336" s="5"/>
      <c r="F1336" s="5">
        <f>IF(Tabela3[[#This Row],[Retorno_Diário]]&gt;0,1,-1)</f>
        <v>-1</v>
      </c>
      <c r="G1336" s="5">
        <f>Tabela3[[#This Row],[Sinal_TSMOM]]*(0.4*Tabela3[[#This Row],[Volatilidade]])</f>
        <v>0</v>
      </c>
      <c r="H1336" s="5">
        <f>Tabela3[[#This Row],[Position_Size]]*Tabela3[[#This Row],[Retorno_Diário]]</f>
        <v>0</v>
      </c>
    </row>
    <row r="1337" spans="1:8" x14ac:dyDescent="0.2">
      <c r="A1337" s="11" t="s">
        <v>8960</v>
      </c>
      <c r="B1337" s="4" t="s">
        <v>8962</v>
      </c>
      <c r="C1337" s="5">
        <f t="shared" si="24"/>
        <v>-2.9620612399840818E-2</v>
      </c>
      <c r="D1337" s="5"/>
      <c r="E1337" s="5"/>
      <c r="F1337" s="5">
        <f>IF(Tabela3[[#This Row],[Retorno_Diário]]&gt;0,1,-1)</f>
        <v>-1</v>
      </c>
      <c r="G1337" s="5">
        <f>Tabela3[[#This Row],[Sinal_TSMOM]]*(0.4*Tabela3[[#This Row],[Volatilidade]])</f>
        <v>0</v>
      </c>
      <c r="H1337" s="5">
        <f>Tabela3[[#This Row],[Position_Size]]*Tabela3[[#This Row],[Retorno_Diário]]</f>
        <v>0</v>
      </c>
    </row>
    <row r="1338" spans="1:8" x14ac:dyDescent="0.2">
      <c r="A1338" s="11" t="s">
        <v>8965</v>
      </c>
      <c r="B1338" s="4" t="s">
        <v>8967</v>
      </c>
      <c r="C1338" s="5">
        <f t="shared" si="24"/>
        <v>2.7247443839480745E-2</v>
      </c>
      <c r="D1338" s="5"/>
      <c r="E1338" s="5"/>
      <c r="F1338" s="5">
        <f>IF(Tabela3[[#This Row],[Retorno_Diário]]&gt;0,1,-1)</f>
        <v>1</v>
      </c>
      <c r="G1338" s="5">
        <f>Tabela3[[#This Row],[Sinal_TSMOM]]*(0.4*Tabela3[[#This Row],[Volatilidade]])</f>
        <v>0</v>
      </c>
      <c r="H1338" s="5">
        <f>Tabela3[[#This Row],[Position_Size]]*Tabela3[[#This Row],[Retorno_Diário]]</f>
        <v>0</v>
      </c>
    </row>
    <row r="1339" spans="1:8" x14ac:dyDescent="0.2">
      <c r="A1339" s="11" t="s">
        <v>8970</v>
      </c>
      <c r="B1339" s="4" t="s">
        <v>8972</v>
      </c>
      <c r="C1339" s="5">
        <f t="shared" si="24"/>
        <v>1.0016340110922561E-2</v>
      </c>
      <c r="D1339" s="5"/>
      <c r="E1339" s="5"/>
      <c r="F1339" s="5">
        <f>IF(Tabela3[[#This Row],[Retorno_Diário]]&gt;0,1,-1)</f>
        <v>1</v>
      </c>
      <c r="G1339" s="5">
        <f>Tabela3[[#This Row],[Sinal_TSMOM]]*(0.4*Tabela3[[#This Row],[Volatilidade]])</f>
        <v>0</v>
      </c>
      <c r="H1339" s="5">
        <f>Tabela3[[#This Row],[Position_Size]]*Tabela3[[#This Row],[Retorno_Diário]]</f>
        <v>0</v>
      </c>
    </row>
    <row r="1340" spans="1:8" x14ac:dyDescent="0.2">
      <c r="A1340" s="11" t="s">
        <v>8977</v>
      </c>
      <c r="B1340" s="4" t="s">
        <v>8979</v>
      </c>
      <c r="C1340" s="5">
        <f t="shared" si="24"/>
        <v>1.9209605538359265E-2</v>
      </c>
      <c r="D1340" s="5"/>
      <c r="E1340" s="5"/>
      <c r="F1340" s="5">
        <f>IF(Tabela3[[#This Row],[Retorno_Diário]]&gt;0,1,-1)</f>
        <v>1</v>
      </c>
      <c r="G1340" s="5">
        <f>Tabela3[[#This Row],[Sinal_TSMOM]]*(0.4*Tabela3[[#This Row],[Volatilidade]])</f>
        <v>0</v>
      </c>
      <c r="H1340" s="5">
        <f>Tabela3[[#This Row],[Position_Size]]*Tabela3[[#This Row],[Retorno_Diário]]</f>
        <v>0</v>
      </c>
    </row>
    <row r="1341" spans="1:8" x14ac:dyDescent="0.2">
      <c r="A1341" s="11" t="s">
        <v>8984</v>
      </c>
      <c r="B1341" s="4" t="s">
        <v>8986</v>
      </c>
      <c r="C1341" s="5">
        <f t="shared" si="24"/>
        <v>4.1839319438995215E-2</v>
      </c>
      <c r="D1341" s="5"/>
      <c r="E1341" s="5"/>
      <c r="F1341" s="5">
        <f>IF(Tabela3[[#This Row],[Retorno_Diário]]&gt;0,1,-1)</f>
        <v>1</v>
      </c>
      <c r="G1341" s="5">
        <f>Tabela3[[#This Row],[Sinal_TSMOM]]*(0.4*Tabela3[[#This Row],[Volatilidade]])</f>
        <v>0</v>
      </c>
      <c r="H1341" s="5">
        <f>Tabela3[[#This Row],[Position_Size]]*Tabela3[[#This Row],[Retorno_Diário]]</f>
        <v>0</v>
      </c>
    </row>
    <row r="1342" spans="1:8" x14ac:dyDescent="0.2">
      <c r="A1342" s="11" t="s">
        <v>8991</v>
      </c>
      <c r="B1342" s="4" t="s">
        <v>8993</v>
      </c>
      <c r="C1342" s="5">
        <f t="shared" si="24"/>
        <v>-2.4213101578489327E-2</v>
      </c>
      <c r="D1342" s="5"/>
      <c r="E1342" s="5"/>
      <c r="F1342" s="5">
        <f>IF(Tabela3[[#This Row],[Retorno_Diário]]&gt;0,1,-1)</f>
        <v>-1</v>
      </c>
      <c r="G1342" s="5">
        <f>Tabela3[[#This Row],[Sinal_TSMOM]]*(0.4*Tabela3[[#This Row],[Volatilidade]])</f>
        <v>0</v>
      </c>
      <c r="H1342" s="5">
        <f>Tabela3[[#This Row],[Position_Size]]*Tabela3[[#This Row],[Retorno_Diário]]</f>
        <v>0</v>
      </c>
    </row>
    <row r="1343" spans="1:8" x14ac:dyDescent="0.2">
      <c r="A1343" s="11" t="s">
        <v>8998</v>
      </c>
      <c r="B1343" s="4" t="s">
        <v>9000</v>
      </c>
      <c r="C1343" s="5">
        <f t="shared" si="24"/>
        <v>-1.446292279112027E-2</v>
      </c>
      <c r="D1343" s="5"/>
      <c r="E1343" s="5"/>
      <c r="F1343" s="5">
        <f>IF(Tabela3[[#This Row],[Retorno_Diário]]&gt;0,1,-1)</f>
        <v>-1</v>
      </c>
      <c r="G1343" s="5">
        <f>Tabela3[[#This Row],[Sinal_TSMOM]]*(0.4*Tabela3[[#This Row],[Volatilidade]])</f>
        <v>0</v>
      </c>
      <c r="H1343" s="5">
        <f>Tabela3[[#This Row],[Position_Size]]*Tabela3[[#This Row],[Retorno_Diário]]</f>
        <v>0</v>
      </c>
    </row>
    <row r="1344" spans="1:8" x14ac:dyDescent="0.2">
      <c r="A1344" s="11" t="s">
        <v>9004</v>
      </c>
      <c r="B1344" s="4" t="s">
        <v>9006</v>
      </c>
      <c r="C1344" s="5">
        <f t="shared" si="24"/>
        <v>-8.6324642372108684E-3</v>
      </c>
      <c r="D1344" s="5"/>
      <c r="E1344" s="5"/>
      <c r="F1344" s="5">
        <f>IF(Tabela3[[#This Row],[Retorno_Diário]]&gt;0,1,-1)</f>
        <v>-1</v>
      </c>
      <c r="G1344" s="5">
        <f>Tabela3[[#This Row],[Sinal_TSMOM]]*(0.4*Tabela3[[#This Row],[Volatilidade]])</f>
        <v>0</v>
      </c>
      <c r="H1344" s="5">
        <f>Tabela3[[#This Row],[Position_Size]]*Tabela3[[#This Row],[Retorno_Diário]]</f>
        <v>0</v>
      </c>
    </row>
    <row r="1345" spans="1:8" x14ac:dyDescent="0.2">
      <c r="A1345" s="11" t="s">
        <v>9011</v>
      </c>
      <c r="B1345" s="4" t="s">
        <v>8996</v>
      </c>
      <c r="C1345" s="5">
        <f t="shared" si="24"/>
        <v>4.0563094818101497E-2</v>
      </c>
      <c r="D1345" s="5"/>
      <c r="E1345" s="5"/>
      <c r="F1345" s="5">
        <f>IF(Tabela3[[#This Row],[Retorno_Diário]]&gt;0,1,-1)</f>
        <v>1</v>
      </c>
      <c r="G1345" s="5">
        <f>Tabela3[[#This Row],[Sinal_TSMOM]]*(0.4*Tabela3[[#This Row],[Volatilidade]])</f>
        <v>0</v>
      </c>
      <c r="H1345" s="5">
        <f>Tabela3[[#This Row],[Position_Size]]*Tabela3[[#This Row],[Retorno_Diário]]</f>
        <v>0</v>
      </c>
    </row>
    <row r="1346" spans="1:8" x14ac:dyDescent="0.2">
      <c r="A1346" s="11" t="s">
        <v>9017</v>
      </c>
      <c r="B1346" s="4" t="s">
        <v>9019</v>
      </c>
      <c r="C1346" s="5">
        <f t="shared" si="24"/>
        <v>1.6422550872605912E-2</v>
      </c>
      <c r="D1346" s="5"/>
      <c r="E1346" s="5"/>
      <c r="F1346" s="5">
        <f>IF(Tabela3[[#This Row],[Retorno_Diário]]&gt;0,1,-1)</f>
        <v>1</v>
      </c>
      <c r="G1346" s="5">
        <f>Tabela3[[#This Row],[Sinal_TSMOM]]*(0.4*Tabela3[[#This Row],[Volatilidade]])</f>
        <v>0</v>
      </c>
      <c r="H1346" s="5">
        <f>Tabela3[[#This Row],[Position_Size]]*Tabela3[[#This Row],[Retorno_Diário]]</f>
        <v>0</v>
      </c>
    </row>
    <row r="1347" spans="1:8" x14ac:dyDescent="0.2">
      <c r="A1347" s="11" t="s">
        <v>9024</v>
      </c>
      <c r="B1347" s="4" t="s">
        <v>9026</v>
      </c>
      <c r="C1347" s="5">
        <f t="shared" ref="C1347:C1410" si="25">B1347/B1346-1</f>
        <v>-1.9896399513748997E-2</v>
      </c>
      <c r="D1347" s="5"/>
      <c r="E1347" s="5"/>
      <c r="F1347" s="5">
        <f>IF(Tabela3[[#This Row],[Retorno_Diário]]&gt;0,1,-1)</f>
        <v>-1</v>
      </c>
      <c r="G1347" s="5">
        <f>Tabela3[[#This Row],[Sinal_TSMOM]]*(0.4*Tabela3[[#This Row],[Volatilidade]])</f>
        <v>0</v>
      </c>
      <c r="H1347" s="5">
        <f>Tabela3[[#This Row],[Position_Size]]*Tabela3[[#This Row],[Retorno_Diário]]</f>
        <v>0</v>
      </c>
    </row>
    <row r="1348" spans="1:8" x14ac:dyDescent="0.2">
      <c r="A1348" s="11" t="s">
        <v>9031</v>
      </c>
      <c r="B1348" s="4" t="s">
        <v>9033</v>
      </c>
      <c r="C1348" s="5">
        <f t="shared" si="25"/>
        <v>1.0990203099823015E-2</v>
      </c>
      <c r="D1348" s="5"/>
      <c r="E1348" s="5"/>
      <c r="F1348" s="5">
        <f>IF(Tabela3[[#This Row],[Retorno_Diário]]&gt;0,1,-1)</f>
        <v>1</v>
      </c>
      <c r="G1348" s="5">
        <f>Tabela3[[#This Row],[Sinal_TSMOM]]*(0.4*Tabela3[[#This Row],[Volatilidade]])</f>
        <v>0</v>
      </c>
      <c r="H1348" s="5">
        <f>Tabela3[[#This Row],[Position_Size]]*Tabela3[[#This Row],[Retorno_Diário]]</f>
        <v>0</v>
      </c>
    </row>
    <row r="1349" spans="1:8" x14ac:dyDescent="0.2">
      <c r="A1349" s="11" t="s">
        <v>9038</v>
      </c>
      <c r="B1349" s="4" t="s">
        <v>9040</v>
      </c>
      <c r="C1349" s="5">
        <f t="shared" si="25"/>
        <v>-1.0628392295619071E-2</v>
      </c>
      <c r="D1349" s="5"/>
      <c r="E1349" s="5"/>
      <c r="F1349" s="5">
        <f>IF(Tabela3[[#This Row],[Retorno_Diário]]&gt;0,1,-1)</f>
        <v>-1</v>
      </c>
      <c r="G1349" s="5">
        <f>Tabela3[[#This Row],[Sinal_TSMOM]]*(0.4*Tabela3[[#This Row],[Volatilidade]])</f>
        <v>0</v>
      </c>
      <c r="H1349" s="5">
        <f>Tabela3[[#This Row],[Position_Size]]*Tabela3[[#This Row],[Retorno_Diário]]</f>
        <v>0</v>
      </c>
    </row>
    <row r="1350" spans="1:8" x14ac:dyDescent="0.2">
      <c r="A1350" s="11" t="s">
        <v>9045</v>
      </c>
      <c r="B1350" s="4" t="s">
        <v>9047</v>
      </c>
      <c r="C1350" s="5">
        <f t="shared" si="25"/>
        <v>-8.3280484908953012E-3</v>
      </c>
      <c r="D1350" s="5"/>
      <c r="E1350" s="5"/>
      <c r="F1350" s="5">
        <f>IF(Tabela3[[#This Row],[Retorno_Diário]]&gt;0,1,-1)</f>
        <v>-1</v>
      </c>
      <c r="G1350" s="5">
        <f>Tabela3[[#This Row],[Sinal_TSMOM]]*(0.4*Tabela3[[#This Row],[Volatilidade]])</f>
        <v>0</v>
      </c>
      <c r="H1350" s="5">
        <f>Tabela3[[#This Row],[Position_Size]]*Tabela3[[#This Row],[Retorno_Diário]]</f>
        <v>0</v>
      </c>
    </row>
    <row r="1351" spans="1:8" x14ac:dyDescent="0.2">
      <c r="A1351" s="11" t="s">
        <v>9052</v>
      </c>
      <c r="B1351" s="4" t="s">
        <v>9054</v>
      </c>
      <c r="C1351" s="5">
        <f t="shared" si="25"/>
        <v>2.1630167928789801E-2</v>
      </c>
      <c r="D1351" s="5"/>
      <c r="E1351" s="5"/>
      <c r="F1351" s="5">
        <f>IF(Tabela3[[#This Row],[Retorno_Diário]]&gt;0,1,-1)</f>
        <v>1</v>
      </c>
      <c r="G1351" s="5">
        <f>Tabela3[[#This Row],[Sinal_TSMOM]]*(0.4*Tabela3[[#This Row],[Volatilidade]])</f>
        <v>0</v>
      </c>
      <c r="H1351" s="5">
        <f>Tabela3[[#This Row],[Position_Size]]*Tabela3[[#This Row],[Retorno_Diário]]</f>
        <v>0</v>
      </c>
    </row>
    <row r="1352" spans="1:8" x14ac:dyDescent="0.2">
      <c r="A1352" s="11" t="s">
        <v>9059</v>
      </c>
      <c r="B1352" s="4" t="s">
        <v>9061</v>
      </c>
      <c r="C1352" s="5">
        <f t="shared" si="25"/>
        <v>8.9800793295775616E-3</v>
      </c>
      <c r="D1352" s="5"/>
      <c r="E1352" s="5"/>
      <c r="F1352" s="5">
        <f>IF(Tabela3[[#This Row],[Retorno_Diário]]&gt;0,1,-1)</f>
        <v>1</v>
      </c>
      <c r="G1352" s="5">
        <f>Tabela3[[#This Row],[Sinal_TSMOM]]*(0.4*Tabela3[[#This Row],[Volatilidade]])</f>
        <v>0</v>
      </c>
      <c r="H1352" s="5">
        <f>Tabela3[[#This Row],[Position_Size]]*Tabela3[[#This Row],[Retorno_Diário]]</f>
        <v>0</v>
      </c>
    </row>
    <row r="1353" spans="1:8" x14ac:dyDescent="0.2">
      <c r="A1353" s="11" t="s">
        <v>9066</v>
      </c>
      <c r="B1353" s="4" t="s">
        <v>9068</v>
      </c>
      <c r="C1353" s="5">
        <f t="shared" si="25"/>
        <v>3.3033244591857747E-2</v>
      </c>
      <c r="D1353" s="5"/>
      <c r="E1353" s="5"/>
      <c r="F1353" s="5">
        <f>IF(Tabela3[[#This Row],[Retorno_Diário]]&gt;0,1,-1)</f>
        <v>1</v>
      </c>
      <c r="G1353" s="5">
        <f>Tabela3[[#This Row],[Sinal_TSMOM]]*(0.4*Tabela3[[#This Row],[Volatilidade]])</f>
        <v>0</v>
      </c>
      <c r="H1353" s="5">
        <f>Tabela3[[#This Row],[Position_Size]]*Tabela3[[#This Row],[Retorno_Diário]]</f>
        <v>0</v>
      </c>
    </row>
    <row r="1354" spans="1:8" x14ac:dyDescent="0.2">
      <c r="A1354" s="11" t="s">
        <v>9073</v>
      </c>
      <c r="B1354" s="4" t="s">
        <v>9075</v>
      </c>
      <c r="C1354" s="5">
        <f t="shared" si="25"/>
        <v>4.9705084002535038E-2</v>
      </c>
      <c r="D1354" s="5"/>
      <c r="E1354" s="5"/>
      <c r="F1354" s="5">
        <f>IF(Tabela3[[#This Row],[Retorno_Diário]]&gt;0,1,-1)</f>
        <v>1</v>
      </c>
      <c r="G1354" s="5">
        <f>Tabela3[[#This Row],[Sinal_TSMOM]]*(0.4*Tabela3[[#This Row],[Volatilidade]])</f>
        <v>0</v>
      </c>
      <c r="H1354" s="5">
        <f>Tabela3[[#This Row],[Position_Size]]*Tabela3[[#This Row],[Retorno_Diário]]</f>
        <v>0</v>
      </c>
    </row>
    <row r="1355" spans="1:8" x14ac:dyDescent="0.2">
      <c r="A1355" s="11" t="s">
        <v>9080</v>
      </c>
      <c r="B1355" s="4" t="s">
        <v>9082</v>
      </c>
      <c r="C1355" s="5">
        <f t="shared" si="25"/>
        <v>-1.3068993120647132E-2</v>
      </c>
      <c r="D1355" s="5"/>
      <c r="E1355" s="5"/>
      <c r="F1355" s="5">
        <f>IF(Tabela3[[#This Row],[Retorno_Diário]]&gt;0,1,-1)</f>
        <v>-1</v>
      </c>
      <c r="G1355" s="5">
        <f>Tabela3[[#This Row],[Sinal_TSMOM]]*(0.4*Tabela3[[#This Row],[Volatilidade]])</f>
        <v>0</v>
      </c>
      <c r="H1355" s="5">
        <f>Tabela3[[#This Row],[Position_Size]]*Tabela3[[#This Row],[Retorno_Diário]]</f>
        <v>0</v>
      </c>
    </row>
    <row r="1356" spans="1:8" x14ac:dyDescent="0.2">
      <c r="A1356" s="11" t="s">
        <v>9087</v>
      </c>
      <c r="B1356" s="4" t="s">
        <v>9089</v>
      </c>
      <c r="C1356" s="5">
        <f t="shared" si="25"/>
        <v>-2.8147180157337415E-3</v>
      </c>
      <c r="D1356" s="5"/>
      <c r="E1356" s="5"/>
      <c r="F1356" s="5">
        <f>IF(Tabela3[[#This Row],[Retorno_Diário]]&gt;0,1,-1)</f>
        <v>-1</v>
      </c>
      <c r="G1356" s="5">
        <f>Tabela3[[#This Row],[Sinal_TSMOM]]*(0.4*Tabela3[[#This Row],[Volatilidade]])</f>
        <v>0</v>
      </c>
      <c r="H1356" s="5">
        <f>Tabela3[[#This Row],[Position_Size]]*Tabela3[[#This Row],[Retorno_Diário]]</f>
        <v>0</v>
      </c>
    </row>
    <row r="1357" spans="1:8" x14ac:dyDescent="0.2">
      <c r="A1357" s="11" t="s">
        <v>9093</v>
      </c>
      <c r="B1357" s="4" t="s">
        <v>9095</v>
      </c>
      <c r="C1357" s="5">
        <f t="shared" si="25"/>
        <v>-1.5653094060686268E-2</v>
      </c>
      <c r="D1357" s="5"/>
      <c r="E1357" s="5"/>
      <c r="F1357" s="5">
        <f>IF(Tabela3[[#This Row],[Retorno_Diário]]&gt;0,1,-1)</f>
        <v>-1</v>
      </c>
      <c r="G1357" s="5">
        <f>Tabela3[[#This Row],[Sinal_TSMOM]]*(0.4*Tabela3[[#This Row],[Volatilidade]])</f>
        <v>0</v>
      </c>
      <c r="H1357" s="5">
        <f>Tabela3[[#This Row],[Position_Size]]*Tabela3[[#This Row],[Retorno_Diário]]</f>
        <v>0</v>
      </c>
    </row>
    <row r="1358" spans="1:8" x14ac:dyDescent="0.2">
      <c r="A1358" s="11" t="s">
        <v>9100</v>
      </c>
      <c r="B1358" s="4" t="s">
        <v>9102</v>
      </c>
      <c r="C1358" s="5">
        <f t="shared" si="25"/>
        <v>-4.8878916798977823E-3</v>
      </c>
      <c r="D1358" s="5"/>
      <c r="E1358" s="5"/>
      <c r="F1358" s="5">
        <f>IF(Tabela3[[#This Row],[Retorno_Diário]]&gt;0,1,-1)</f>
        <v>-1</v>
      </c>
      <c r="G1358" s="5">
        <f>Tabela3[[#This Row],[Sinal_TSMOM]]*(0.4*Tabela3[[#This Row],[Volatilidade]])</f>
        <v>0</v>
      </c>
      <c r="H1358" s="5">
        <f>Tabela3[[#This Row],[Position_Size]]*Tabela3[[#This Row],[Retorno_Diário]]</f>
        <v>0</v>
      </c>
    </row>
    <row r="1359" spans="1:8" x14ac:dyDescent="0.2">
      <c r="A1359" s="11" t="s">
        <v>9107</v>
      </c>
      <c r="B1359" s="4" t="s">
        <v>9109</v>
      </c>
      <c r="C1359" s="5">
        <f t="shared" si="25"/>
        <v>0.24369635894280006</v>
      </c>
      <c r="D1359" s="5"/>
      <c r="E1359" s="5"/>
      <c r="F1359" s="5">
        <f>IF(Tabela3[[#This Row],[Retorno_Diário]]&gt;0,1,-1)</f>
        <v>1</v>
      </c>
      <c r="G1359" s="5">
        <f>Tabela3[[#This Row],[Sinal_TSMOM]]*(0.4*Tabela3[[#This Row],[Volatilidade]])</f>
        <v>0</v>
      </c>
      <c r="H1359" s="5">
        <f>Tabela3[[#This Row],[Position_Size]]*Tabela3[[#This Row],[Retorno_Diário]]</f>
        <v>0</v>
      </c>
    </row>
    <row r="1360" spans="1:8" x14ac:dyDescent="0.2">
      <c r="A1360" s="11" t="s">
        <v>9114</v>
      </c>
      <c r="B1360" s="4" t="s">
        <v>9116</v>
      </c>
      <c r="C1360" s="5">
        <f t="shared" si="25"/>
        <v>2.543442903934845E-2</v>
      </c>
      <c r="D1360" s="5"/>
      <c r="E1360" s="5"/>
      <c r="F1360" s="5">
        <f>IF(Tabela3[[#This Row],[Retorno_Diário]]&gt;0,1,-1)</f>
        <v>1</v>
      </c>
      <c r="G1360" s="5">
        <f>Tabela3[[#This Row],[Sinal_TSMOM]]*(0.4*Tabela3[[#This Row],[Volatilidade]])</f>
        <v>0</v>
      </c>
      <c r="H1360" s="5">
        <f>Tabela3[[#This Row],[Position_Size]]*Tabela3[[#This Row],[Retorno_Diário]]</f>
        <v>0</v>
      </c>
    </row>
    <row r="1361" spans="1:8" x14ac:dyDescent="0.2">
      <c r="A1361" s="11" t="s">
        <v>9121</v>
      </c>
      <c r="B1361" s="4" t="s">
        <v>9123</v>
      </c>
      <c r="C1361" s="5">
        <f t="shared" si="25"/>
        <v>2.9913237330866593E-2</v>
      </c>
      <c r="D1361" s="5"/>
      <c r="E1361" s="5"/>
      <c r="F1361" s="5">
        <f>IF(Tabela3[[#This Row],[Retorno_Diário]]&gt;0,1,-1)</f>
        <v>1</v>
      </c>
      <c r="G1361" s="5">
        <f>Tabela3[[#This Row],[Sinal_TSMOM]]*(0.4*Tabela3[[#This Row],[Volatilidade]])</f>
        <v>0</v>
      </c>
      <c r="H1361" s="5">
        <f>Tabela3[[#This Row],[Position_Size]]*Tabela3[[#This Row],[Retorno_Diário]]</f>
        <v>0</v>
      </c>
    </row>
    <row r="1362" spans="1:8" x14ac:dyDescent="0.2">
      <c r="A1362" s="11" t="s">
        <v>9128</v>
      </c>
      <c r="B1362" s="4" t="s">
        <v>9130</v>
      </c>
      <c r="C1362" s="5">
        <f t="shared" si="25"/>
        <v>-5.6767480835214545E-2</v>
      </c>
      <c r="D1362" s="5"/>
      <c r="E1362" s="5"/>
      <c r="F1362" s="5">
        <f>IF(Tabela3[[#This Row],[Retorno_Diário]]&gt;0,1,-1)</f>
        <v>-1</v>
      </c>
      <c r="G1362" s="5">
        <f>Tabela3[[#This Row],[Sinal_TSMOM]]*(0.4*Tabela3[[#This Row],[Volatilidade]])</f>
        <v>0</v>
      </c>
      <c r="H1362" s="5">
        <f>Tabela3[[#This Row],[Position_Size]]*Tabela3[[#This Row],[Retorno_Diário]]</f>
        <v>0</v>
      </c>
    </row>
    <row r="1363" spans="1:8" x14ac:dyDescent="0.2">
      <c r="A1363" s="11" t="s">
        <v>9135</v>
      </c>
      <c r="B1363" s="4" t="s">
        <v>9137</v>
      </c>
      <c r="C1363" s="5">
        <f t="shared" si="25"/>
        <v>5.1170926751439305E-2</v>
      </c>
      <c r="D1363" s="5"/>
      <c r="E1363" s="5"/>
      <c r="F1363" s="5">
        <f>IF(Tabela3[[#This Row],[Retorno_Diário]]&gt;0,1,-1)</f>
        <v>1</v>
      </c>
      <c r="G1363" s="5">
        <f>Tabela3[[#This Row],[Sinal_TSMOM]]*(0.4*Tabela3[[#This Row],[Volatilidade]])</f>
        <v>0</v>
      </c>
      <c r="H1363" s="5">
        <f>Tabela3[[#This Row],[Position_Size]]*Tabela3[[#This Row],[Retorno_Diário]]</f>
        <v>0</v>
      </c>
    </row>
    <row r="1364" spans="1:8" x14ac:dyDescent="0.2">
      <c r="A1364" s="11" t="s">
        <v>9142</v>
      </c>
      <c r="B1364" s="4" t="s">
        <v>9144</v>
      </c>
      <c r="C1364" s="5">
        <f t="shared" si="25"/>
        <v>-1.113906935775566E-2</v>
      </c>
      <c r="D1364" s="5"/>
      <c r="E1364" s="5"/>
      <c r="F1364" s="5">
        <f>IF(Tabela3[[#This Row],[Retorno_Diário]]&gt;0,1,-1)</f>
        <v>-1</v>
      </c>
      <c r="G1364" s="5">
        <f>Tabela3[[#This Row],[Sinal_TSMOM]]*(0.4*Tabela3[[#This Row],[Volatilidade]])</f>
        <v>0</v>
      </c>
      <c r="H1364" s="5">
        <f>Tabela3[[#This Row],[Position_Size]]*Tabela3[[#This Row],[Retorno_Diário]]</f>
        <v>0</v>
      </c>
    </row>
    <row r="1365" spans="1:8" x14ac:dyDescent="0.2">
      <c r="A1365" s="11" t="s">
        <v>9149</v>
      </c>
      <c r="B1365" s="4" t="s">
        <v>9151</v>
      </c>
      <c r="C1365" s="5">
        <f t="shared" si="25"/>
        <v>-3.9666954334703908E-3</v>
      </c>
      <c r="D1365" s="5"/>
      <c r="E1365" s="5"/>
      <c r="F1365" s="5">
        <f>IF(Tabela3[[#This Row],[Retorno_Diário]]&gt;0,1,-1)</f>
        <v>-1</v>
      </c>
      <c r="G1365" s="5">
        <f>Tabela3[[#This Row],[Sinal_TSMOM]]*(0.4*Tabela3[[#This Row],[Volatilidade]])</f>
        <v>0</v>
      </c>
      <c r="H1365" s="5">
        <f>Tabela3[[#This Row],[Position_Size]]*Tabela3[[#This Row],[Retorno_Diário]]</f>
        <v>0</v>
      </c>
    </row>
    <row r="1366" spans="1:8" x14ac:dyDescent="0.2">
      <c r="A1366" s="11" t="s">
        <v>9156</v>
      </c>
      <c r="B1366" s="4" t="s">
        <v>9158</v>
      </c>
      <c r="C1366" s="5">
        <f t="shared" si="25"/>
        <v>-1.3198593009670745E-2</v>
      </c>
      <c r="D1366" s="5"/>
      <c r="E1366" s="5"/>
      <c r="F1366" s="5">
        <f>IF(Tabela3[[#This Row],[Retorno_Diário]]&gt;0,1,-1)</f>
        <v>-1</v>
      </c>
      <c r="G1366" s="5">
        <f>Tabela3[[#This Row],[Sinal_TSMOM]]*(0.4*Tabela3[[#This Row],[Volatilidade]])</f>
        <v>0</v>
      </c>
      <c r="H1366" s="5">
        <f>Tabela3[[#This Row],[Position_Size]]*Tabela3[[#This Row],[Retorno_Diário]]</f>
        <v>0</v>
      </c>
    </row>
    <row r="1367" spans="1:8" x14ac:dyDescent="0.2">
      <c r="A1367" s="11" t="s">
        <v>9163</v>
      </c>
      <c r="B1367" s="4" t="s">
        <v>9165</v>
      </c>
      <c r="C1367" s="5">
        <f t="shared" si="25"/>
        <v>-3.0501393774782337E-2</v>
      </c>
      <c r="D1367" s="5"/>
      <c r="E1367" s="5"/>
      <c r="F1367" s="5">
        <f>IF(Tabela3[[#This Row],[Retorno_Diário]]&gt;0,1,-1)</f>
        <v>-1</v>
      </c>
      <c r="G1367" s="5">
        <f>Tabela3[[#This Row],[Sinal_TSMOM]]*(0.4*Tabela3[[#This Row],[Volatilidade]])</f>
        <v>0</v>
      </c>
      <c r="H1367" s="5">
        <f>Tabela3[[#This Row],[Position_Size]]*Tabela3[[#This Row],[Retorno_Diário]]</f>
        <v>0</v>
      </c>
    </row>
    <row r="1368" spans="1:8" x14ac:dyDescent="0.2">
      <c r="A1368" s="11" t="s">
        <v>9170</v>
      </c>
      <c r="B1368" s="4" t="s">
        <v>9172</v>
      </c>
      <c r="C1368" s="5">
        <f t="shared" si="25"/>
        <v>2.7618409327673232E-2</v>
      </c>
      <c r="D1368" s="5"/>
      <c r="E1368" s="5"/>
      <c r="F1368" s="5">
        <f>IF(Tabela3[[#This Row],[Retorno_Diário]]&gt;0,1,-1)</f>
        <v>1</v>
      </c>
      <c r="G1368" s="5">
        <f>Tabela3[[#This Row],[Sinal_TSMOM]]*(0.4*Tabela3[[#This Row],[Volatilidade]])</f>
        <v>0</v>
      </c>
      <c r="H1368" s="5">
        <f>Tabela3[[#This Row],[Position_Size]]*Tabela3[[#This Row],[Retorno_Diário]]</f>
        <v>0</v>
      </c>
    </row>
    <row r="1369" spans="1:8" x14ac:dyDescent="0.2">
      <c r="A1369" s="11" t="s">
        <v>9177</v>
      </c>
      <c r="B1369" s="4" t="s">
        <v>9179</v>
      </c>
      <c r="C1369" s="5">
        <f t="shared" si="25"/>
        <v>6.7515488850338201E-3</v>
      </c>
      <c r="D1369" s="5"/>
      <c r="E1369" s="5"/>
      <c r="F1369" s="5">
        <f>IF(Tabela3[[#This Row],[Retorno_Diário]]&gt;0,1,-1)</f>
        <v>1</v>
      </c>
      <c r="G1369" s="5">
        <f>Tabela3[[#This Row],[Sinal_TSMOM]]*(0.4*Tabela3[[#This Row],[Volatilidade]])</f>
        <v>0</v>
      </c>
      <c r="H1369" s="5">
        <f>Tabela3[[#This Row],[Position_Size]]*Tabela3[[#This Row],[Retorno_Diário]]</f>
        <v>0</v>
      </c>
    </row>
    <row r="1370" spans="1:8" x14ac:dyDescent="0.2">
      <c r="A1370" s="11" t="s">
        <v>9184</v>
      </c>
      <c r="B1370" s="4" t="s">
        <v>9186</v>
      </c>
      <c r="C1370" s="5">
        <f t="shared" si="25"/>
        <v>1.8364662817467847E-2</v>
      </c>
      <c r="D1370" s="5"/>
      <c r="E1370" s="5"/>
      <c r="F1370" s="5">
        <f>IF(Tabela3[[#This Row],[Retorno_Diário]]&gt;0,1,-1)</f>
        <v>1</v>
      </c>
      <c r="G1370" s="5">
        <f>Tabela3[[#This Row],[Sinal_TSMOM]]*(0.4*Tabela3[[#This Row],[Volatilidade]])</f>
        <v>0</v>
      </c>
      <c r="H1370" s="5">
        <f>Tabela3[[#This Row],[Position_Size]]*Tabela3[[#This Row],[Retorno_Diário]]</f>
        <v>0</v>
      </c>
    </row>
    <row r="1371" spans="1:8" x14ac:dyDescent="0.2">
      <c r="A1371" s="11" t="s">
        <v>9191</v>
      </c>
      <c r="B1371" s="4" t="s">
        <v>9193</v>
      </c>
      <c r="C1371" s="5">
        <f t="shared" si="25"/>
        <v>3.9005140981580588E-2</v>
      </c>
      <c r="D1371" s="5"/>
      <c r="E1371" s="5"/>
      <c r="F1371" s="5">
        <f>IF(Tabela3[[#This Row],[Retorno_Diário]]&gt;0,1,-1)</f>
        <v>1</v>
      </c>
      <c r="G1371" s="5">
        <f>Tabela3[[#This Row],[Sinal_TSMOM]]*(0.4*Tabela3[[#This Row],[Volatilidade]])</f>
        <v>0</v>
      </c>
      <c r="H1371" s="5">
        <f>Tabela3[[#This Row],[Position_Size]]*Tabela3[[#This Row],[Retorno_Diário]]</f>
        <v>0</v>
      </c>
    </row>
    <row r="1372" spans="1:8" x14ac:dyDescent="0.2">
      <c r="A1372" s="11" t="s">
        <v>9198</v>
      </c>
      <c r="B1372" s="4" t="s">
        <v>9200</v>
      </c>
      <c r="C1372" s="5">
        <f t="shared" si="25"/>
        <v>4.8144954406733387E-2</v>
      </c>
      <c r="D1372" s="5"/>
      <c r="E1372" s="5"/>
      <c r="F1372" s="5">
        <f>IF(Tabela3[[#This Row],[Retorno_Diário]]&gt;0,1,-1)</f>
        <v>1</v>
      </c>
      <c r="G1372" s="5">
        <f>Tabela3[[#This Row],[Sinal_TSMOM]]*(0.4*Tabela3[[#This Row],[Volatilidade]])</f>
        <v>0</v>
      </c>
      <c r="H1372" s="5">
        <f>Tabela3[[#This Row],[Position_Size]]*Tabela3[[#This Row],[Retorno_Diário]]</f>
        <v>0</v>
      </c>
    </row>
    <row r="1373" spans="1:8" x14ac:dyDescent="0.2">
      <c r="A1373" s="11" t="s">
        <v>9205</v>
      </c>
      <c r="B1373" s="4" t="s">
        <v>9207</v>
      </c>
      <c r="C1373" s="5">
        <f t="shared" si="25"/>
        <v>-8.0005990379564684E-3</v>
      </c>
      <c r="D1373" s="5"/>
      <c r="E1373" s="5"/>
      <c r="F1373" s="5">
        <f>IF(Tabela3[[#This Row],[Retorno_Diário]]&gt;0,1,-1)</f>
        <v>-1</v>
      </c>
      <c r="G1373" s="5">
        <f>Tabela3[[#This Row],[Sinal_TSMOM]]*(0.4*Tabela3[[#This Row],[Volatilidade]])</f>
        <v>0</v>
      </c>
      <c r="H1373" s="5">
        <f>Tabela3[[#This Row],[Position_Size]]*Tabela3[[#This Row],[Retorno_Diário]]</f>
        <v>0</v>
      </c>
    </row>
    <row r="1374" spans="1:8" x14ac:dyDescent="0.2">
      <c r="A1374" s="11" t="s">
        <v>9212</v>
      </c>
      <c r="B1374" s="4" t="s">
        <v>9214</v>
      </c>
      <c r="C1374" s="5">
        <f t="shared" si="25"/>
        <v>9.1438972535162755E-4</v>
      </c>
      <c r="D1374" s="5"/>
      <c r="E1374" s="5"/>
      <c r="F1374" s="5">
        <f>IF(Tabela3[[#This Row],[Retorno_Diário]]&gt;0,1,-1)</f>
        <v>1</v>
      </c>
      <c r="G1374" s="5">
        <f>Tabela3[[#This Row],[Sinal_TSMOM]]*(0.4*Tabela3[[#This Row],[Volatilidade]])</f>
        <v>0</v>
      </c>
      <c r="H1374" s="5">
        <f>Tabela3[[#This Row],[Position_Size]]*Tabela3[[#This Row],[Retorno_Diário]]</f>
        <v>0</v>
      </c>
    </row>
    <row r="1375" spans="1:8" x14ac:dyDescent="0.2">
      <c r="A1375" s="11" t="s">
        <v>9219</v>
      </c>
      <c r="B1375" s="4" t="s">
        <v>9221</v>
      </c>
      <c r="C1375" s="5">
        <f t="shared" si="25"/>
        <v>2.6140665214843706E-2</v>
      </c>
      <c r="D1375" s="5"/>
      <c r="E1375" s="5"/>
      <c r="F1375" s="5">
        <f>IF(Tabela3[[#This Row],[Retorno_Diário]]&gt;0,1,-1)</f>
        <v>1</v>
      </c>
      <c r="G1375" s="5">
        <f>Tabela3[[#This Row],[Sinal_TSMOM]]*(0.4*Tabela3[[#This Row],[Volatilidade]])</f>
        <v>0</v>
      </c>
      <c r="H1375" s="5">
        <f>Tabela3[[#This Row],[Position_Size]]*Tabela3[[#This Row],[Retorno_Diário]]</f>
        <v>0</v>
      </c>
    </row>
    <row r="1376" spans="1:8" x14ac:dyDescent="0.2">
      <c r="A1376" s="11" t="s">
        <v>9226</v>
      </c>
      <c r="B1376" s="4" t="s">
        <v>9228</v>
      </c>
      <c r="C1376" s="5">
        <f t="shared" si="25"/>
        <v>-1.7416921833185328E-2</v>
      </c>
      <c r="D1376" s="5"/>
      <c r="E1376" s="5"/>
      <c r="F1376" s="5">
        <f>IF(Tabela3[[#This Row],[Retorno_Diário]]&gt;0,1,-1)</f>
        <v>-1</v>
      </c>
      <c r="G1376" s="5">
        <f>Tabela3[[#This Row],[Sinal_TSMOM]]*(0.4*Tabela3[[#This Row],[Volatilidade]])</f>
        <v>0</v>
      </c>
      <c r="H1376" s="5">
        <f>Tabela3[[#This Row],[Position_Size]]*Tabela3[[#This Row],[Retorno_Diário]]</f>
        <v>0</v>
      </c>
    </row>
    <row r="1377" spans="1:8" x14ac:dyDescent="0.2">
      <c r="A1377" s="11" t="s">
        <v>9233</v>
      </c>
      <c r="B1377" s="4" t="s">
        <v>9235</v>
      </c>
      <c r="C1377" s="5">
        <f t="shared" si="25"/>
        <v>-4.6455207148377031E-4</v>
      </c>
      <c r="D1377" s="5"/>
      <c r="E1377" s="5"/>
      <c r="F1377" s="5">
        <f>IF(Tabela3[[#This Row],[Retorno_Diário]]&gt;0,1,-1)</f>
        <v>-1</v>
      </c>
      <c r="G1377" s="5">
        <f>Tabela3[[#This Row],[Sinal_TSMOM]]*(0.4*Tabela3[[#This Row],[Volatilidade]])</f>
        <v>0</v>
      </c>
      <c r="H1377" s="5">
        <f>Tabela3[[#This Row],[Position_Size]]*Tabela3[[#This Row],[Retorno_Diário]]</f>
        <v>0</v>
      </c>
    </row>
    <row r="1378" spans="1:8" x14ac:dyDescent="0.2">
      <c r="A1378" s="11" t="s">
        <v>9240</v>
      </c>
      <c r="B1378" s="4" t="s">
        <v>9242</v>
      </c>
      <c r="C1378" s="5">
        <f t="shared" si="25"/>
        <v>-1.8965760909946505E-2</v>
      </c>
      <c r="D1378" s="5"/>
      <c r="E1378" s="5"/>
      <c r="F1378" s="5">
        <f>IF(Tabela3[[#This Row],[Retorno_Diário]]&gt;0,1,-1)</f>
        <v>-1</v>
      </c>
      <c r="G1378" s="5">
        <f>Tabela3[[#This Row],[Sinal_TSMOM]]*(0.4*Tabela3[[#This Row],[Volatilidade]])</f>
        <v>0</v>
      </c>
      <c r="H1378" s="5">
        <f>Tabela3[[#This Row],[Position_Size]]*Tabela3[[#This Row],[Retorno_Diário]]</f>
        <v>0</v>
      </c>
    </row>
    <row r="1379" spans="1:8" x14ac:dyDescent="0.2">
      <c r="A1379" s="11" t="s">
        <v>9247</v>
      </c>
      <c r="B1379" s="4" t="s">
        <v>9249</v>
      </c>
      <c r="C1379" s="5">
        <f t="shared" si="25"/>
        <v>-3.736169248238197E-2</v>
      </c>
      <c r="D1379" s="5"/>
      <c r="E1379" s="5"/>
      <c r="F1379" s="5">
        <f>IF(Tabela3[[#This Row],[Retorno_Diário]]&gt;0,1,-1)</f>
        <v>-1</v>
      </c>
      <c r="G1379" s="5">
        <f>Tabela3[[#This Row],[Sinal_TSMOM]]*(0.4*Tabela3[[#This Row],[Volatilidade]])</f>
        <v>0</v>
      </c>
      <c r="H1379" s="5">
        <f>Tabela3[[#This Row],[Position_Size]]*Tabela3[[#This Row],[Retorno_Diário]]</f>
        <v>0</v>
      </c>
    </row>
    <row r="1380" spans="1:8" x14ac:dyDescent="0.2">
      <c r="A1380" s="11" t="s">
        <v>9254</v>
      </c>
      <c r="B1380" s="4" t="s">
        <v>9256</v>
      </c>
      <c r="C1380" s="5">
        <f t="shared" si="25"/>
        <v>3.0616250298666881E-2</v>
      </c>
      <c r="D1380" s="5"/>
      <c r="E1380" s="5"/>
      <c r="F1380" s="5">
        <f>IF(Tabela3[[#This Row],[Retorno_Diário]]&gt;0,1,-1)</f>
        <v>1</v>
      </c>
      <c r="G1380" s="5">
        <f>Tabela3[[#This Row],[Sinal_TSMOM]]*(0.4*Tabela3[[#This Row],[Volatilidade]])</f>
        <v>0</v>
      </c>
      <c r="H1380" s="5">
        <f>Tabela3[[#This Row],[Position_Size]]*Tabela3[[#This Row],[Retorno_Diário]]</f>
        <v>0</v>
      </c>
    </row>
    <row r="1381" spans="1:8" x14ac:dyDescent="0.2">
      <c r="A1381" s="11" t="s">
        <v>9261</v>
      </c>
      <c r="B1381" s="4" t="s">
        <v>9263</v>
      </c>
      <c r="C1381" s="5">
        <f t="shared" si="25"/>
        <v>-1.8124913573548507E-2</v>
      </c>
      <c r="D1381" s="5"/>
      <c r="E1381" s="5"/>
      <c r="F1381" s="5">
        <f>IF(Tabela3[[#This Row],[Retorno_Diário]]&gt;0,1,-1)</f>
        <v>-1</v>
      </c>
      <c r="G1381" s="5">
        <f>Tabela3[[#This Row],[Sinal_TSMOM]]*(0.4*Tabela3[[#This Row],[Volatilidade]])</f>
        <v>0</v>
      </c>
      <c r="H1381" s="5">
        <f>Tabela3[[#This Row],[Position_Size]]*Tabela3[[#This Row],[Retorno_Diário]]</f>
        <v>0</v>
      </c>
    </row>
    <row r="1382" spans="1:8" x14ac:dyDescent="0.2">
      <c r="A1382" s="11" t="s">
        <v>9268</v>
      </c>
      <c r="B1382" s="4" t="s">
        <v>9270</v>
      </c>
      <c r="C1382" s="5">
        <f t="shared" si="25"/>
        <v>-7.1746960985084041E-3</v>
      </c>
      <c r="D1382" s="5"/>
      <c r="E1382" s="5"/>
      <c r="F1382" s="5">
        <f>IF(Tabela3[[#This Row],[Retorno_Diário]]&gt;0,1,-1)</f>
        <v>-1</v>
      </c>
      <c r="G1382" s="5">
        <f>Tabela3[[#This Row],[Sinal_TSMOM]]*(0.4*Tabela3[[#This Row],[Volatilidade]])</f>
        <v>0</v>
      </c>
      <c r="H1382" s="5">
        <f>Tabela3[[#This Row],[Position_Size]]*Tabela3[[#This Row],[Retorno_Diário]]</f>
        <v>0</v>
      </c>
    </row>
    <row r="1383" spans="1:8" x14ac:dyDescent="0.2">
      <c r="A1383" s="11" t="s">
        <v>9275</v>
      </c>
      <c r="B1383" s="4" t="s">
        <v>9277</v>
      </c>
      <c r="C1383" s="5">
        <f t="shared" si="25"/>
        <v>3.6254950593584523E-2</v>
      </c>
      <c r="D1383" s="5"/>
      <c r="E1383" s="5"/>
      <c r="F1383" s="5">
        <f>IF(Tabela3[[#This Row],[Retorno_Diário]]&gt;0,1,-1)</f>
        <v>1</v>
      </c>
      <c r="G1383" s="5">
        <f>Tabela3[[#This Row],[Sinal_TSMOM]]*(0.4*Tabela3[[#This Row],[Volatilidade]])</f>
        <v>0</v>
      </c>
      <c r="H1383" s="5">
        <f>Tabela3[[#This Row],[Position_Size]]*Tabela3[[#This Row],[Retorno_Diário]]</f>
        <v>0</v>
      </c>
    </row>
    <row r="1384" spans="1:8" x14ac:dyDescent="0.2">
      <c r="A1384" s="11" t="s">
        <v>9282</v>
      </c>
      <c r="B1384" s="4" t="s">
        <v>9284</v>
      </c>
      <c r="C1384" s="5">
        <f t="shared" si="25"/>
        <v>2.6239909677994167E-3</v>
      </c>
      <c r="D1384" s="5"/>
      <c r="E1384" s="5"/>
      <c r="F1384" s="5">
        <f>IF(Tabela3[[#This Row],[Retorno_Diário]]&gt;0,1,-1)</f>
        <v>1</v>
      </c>
      <c r="G1384" s="5">
        <f>Tabela3[[#This Row],[Sinal_TSMOM]]*(0.4*Tabela3[[#This Row],[Volatilidade]])</f>
        <v>0</v>
      </c>
      <c r="H1384" s="5">
        <f>Tabela3[[#This Row],[Position_Size]]*Tabela3[[#This Row],[Retorno_Diário]]</f>
        <v>0</v>
      </c>
    </row>
    <row r="1385" spans="1:8" x14ac:dyDescent="0.2">
      <c r="A1385" s="11" t="s">
        <v>9289</v>
      </c>
      <c r="B1385" s="4" t="s">
        <v>9291</v>
      </c>
      <c r="C1385" s="5">
        <f t="shared" si="25"/>
        <v>-2.2633829430764862E-3</v>
      </c>
      <c r="D1385" s="5"/>
      <c r="E1385" s="5"/>
      <c r="F1385" s="5">
        <f>IF(Tabela3[[#This Row],[Retorno_Diário]]&gt;0,1,-1)</f>
        <v>-1</v>
      </c>
      <c r="G1385" s="5">
        <f>Tabela3[[#This Row],[Sinal_TSMOM]]*(0.4*Tabela3[[#This Row],[Volatilidade]])</f>
        <v>0</v>
      </c>
      <c r="H1385" s="5">
        <f>Tabela3[[#This Row],[Position_Size]]*Tabela3[[#This Row],[Retorno_Diário]]</f>
        <v>0</v>
      </c>
    </row>
    <row r="1386" spans="1:8" x14ac:dyDescent="0.2">
      <c r="A1386" s="11" t="s">
        <v>9296</v>
      </c>
      <c r="B1386" s="4" t="s">
        <v>9298</v>
      </c>
      <c r="C1386" s="5">
        <f t="shared" si="25"/>
        <v>-5.0570856892923066E-3</v>
      </c>
      <c r="D1386" s="5"/>
      <c r="E1386" s="5"/>
      <c r="F1386" s="5">
        <f>IF(Tabela3[[#This Row],[Retorno_Diário]]&gt;0,1,-1)</f>
        <v>-1</v>
      </c>
      <c r="G1386" s="5">
        <f>Tabela3[[#This Row],[Sinal_TSMOM]]*(0.4*Tabela3[[#This Row],[Volatilidade]])</f>
        <v>0</v>
      </c>
      <c r="H1386" s="5">
        <f>Tabela3[[#This Row],[Position_Size]]*Tabela3[[#This Row],[Retorno_Diário]]</f>
        <v>0</v>
      </c>
    </row>
    <row r="1387" spans="1:8" x14ac:dyDescent="0.2">
      <c r="A1387" s="11" t="s">
        <v>9303</v>
      </c>
      <c r="B1387" s="4" t="s">
        <v>9305</v>
      </c>
      <c r="C1387" s="5">
        <f t="shared" si="25"/>
        <v>9.500456145477898E-3</v>
      </c>
      <c r="D1387" s="5"/>
      <c r="E1387" s="5"/>
      <c r="F1387" s="5">
        <f>IF(Tabela3[[#This Row],[Retorno_Diário]]&gt;0,1,-1)</f>
        <v>1</v>
      </c>
      <c r="G1387" s="5">
        <f>Tabela3[[#This Row],[Sinal_TSMOM]]*(0.4*Tabela3[[#This Row],[Volatilidade]])</f>
        <v>0</v>
      </c>
      <c r="H1387" s="5">
        <f>Tabela3[[#This Row],[Position_Size]]*Tabela3[[#This Row],[Retorno_Diário]]</f>
        <v>0</v>
      </c>
    </row>
    <row r="1388" spans="1:8" x14ac:dyDescent="0.2">
      <c r="A1388" s="11" t="s">
        <v>9310</v>
      </c>
      <c r="B1388" s="4" t="s">
        <v>9307</v>
      </c>
      <c r="C1388" s="5">
        <f t="shared" si="25"/>
        <v>-7.5994179092877534E-3</v>
      </c>
      <c r="D1388" s="5"/>
      <c r="E1388" s="5"/>
      <c r="F1388" s="5">
        <f>IF(Tabela3[[#This Row],[Retorno_Diário]]&gt;0,1,-1)</f>
        <v>-1</v>
      </c>
      <c r="G1388" s="5">
        <f>Tabela3[[#This Row],[Sinal_TSMOM]]*(0.4*Tabela3[[#This Row],[Volatilidade]])</f>
        <v>0</v>
      </c>
      <c r="H1388" s="5">
        <f>Tabela3[[#This Row],[Position_Size]]*Tabela3[[#This Row],[Retorno_Diário]]</f>
        <v>0</v>
      </c>
    </row>
    <row r="1389" spans="1:8" x14ac:dyDescent="0.2">
      <c r="A1389" s="11" t="s">
        <v>9316</v>
      </c>
      <c r="B1389" s="4" t="s">
        <v>9318</v>
      </c>
      <c r="C1389" s="5">
        <f t="shared" si="25"/>
        <v>5.3342454360647551E-3</v>
      </c>
      <c r="D1389" s="5"/>
      <c r="E1389" s="5"/>
      <c r="F1389" s="5">
        <f>IF(Tabela3[[#This Row],[Retorno_Diário]]&gt;0,1,-1)</f>
        <v>1</v>
      </c>
      <c r="G1389" s="5">
        <f>Tabela3[[#This Row],[Sinal_TSMOM]]*(0.4*Tabela3[[#This Row],[Volatilidade]])</f>
        <v>0</v>
      </c>
      <c r="H1389" s="5">
        <f>Tabela3[[#This Row],[Position_Size]]*Tabela3[[#This Row],[Retorno_Diário]]</f>
        <v>0</v>
      </c>
    </row>
    <row r="1390" spans="1:8" x14ac:dyDescent="0.2">
      <c r="A1390" s="11" t="s">
        <v>9323</v>
      </c>
      <c r="B1390" s="4" t="s">
        <v>9325</v>
      </c>
      <c r="C1390" s="5">
        <f t="shared" si="25"/>
        <v>3.5302480628299771E-2</v>
      </c>
      <c r="D1390" s="5"/>
      <c r="E1390" s="5"/>
      <c r="F1390" s="5">
        <f>IF(Tabela3[[#This Row],[Retorno_Diário]]&gt;0,1,-1)</f>
        <v>1</v>
      </c>
      <c r="G1390" s="5">
        <f>Tabela3[[#This Row],[Sinal_TSMOM]]*(0.4*Tabela3[[#This Row],[Volatilidade]])</f>
        <v>0</v>
      </c>
      <c r="H1390" s="5">
        <f>Tabela3[[#This Row],[Position_Size]]*Tabela3[[#This Row],[Retorno_Diário]]</f>
        <v>0</v>
      </c>
    </row>
    <row r="1391" spans="1:8" x14ac:dyDescent="0.2">
      <c r="A1391" s="11" t="s">
        <v>9330</v>
      </c>
      <c r="B1391" s="4" t="s">
        <v>9332</v>
      </c>
      <c r="C1391" s="5">
        <f t="shared" si="25"/>
        <v>4.7264378450776245E-2</v>
      </c>
      <c r="D1391" s="5"/>
      <c r="E1391" s="5"/>
      <c r="F1391" s="5">
        <f>IF(Tabela3[[#This Row],[Retorno_Diário]]&gt;0,1,-1)</f>
        <v>1</v>
      </c>
      <c r="G1391" s="5">
        <f>Tabela3[[#This Row],[Sinal_TSMOM]]*(0.4*Tabela3[[#This Row],[Volatilidade]])</f>
        <v>0</v>
      </c>
      <c r="H1391" s="5">
        <f>Tabela3[[#This Row],[Position_Size]]*Tabela3[[#This Row],[Retorno_Diário]]</f>
        <v>0</v>
      </c>
    </row>
    <row r="1392" spans="1:8" x14ac:dyDescent="0.2">
      <c r="A1392" s="11" t="s">
        <v>9337</v>
      </c>
      <c r="B1392" s="4" t="s">
        <v>9339</v>
      </c>
      <c r="C1392" s="5">
        <f t="shared" si="25"/>
        <v>-1.1048989864837822E-2</v>
      </c>
      <c r="D1392" s="5"/>
      <c r="E1392" s="5"/>
      <c r="F1392" s="5">
        <f>IF(Tabela3[[#This Row],[Retorno_Diário]]&gt;0,1,-1)</f>
        <v>-1</v>
      </c>
      <c r="G1392" s="5">
        <f>Tabela3[[#This Row],[Sinal_TSMOM]]*(0.4*Tabela3[[#This Row],[Volatilidade]])</f>
        <v>0</v>
      </c>
      <c r="H1392" s="5">
        <f>Tabela3[[#This Row],[Position_Size]]*Tabela3[[#This Row],[Retorno_Diário]]</f>
        <v>0</v>
      </c>
    </row>
    <row r="1393" spans="1:8" x14ac:dyDescent="0.2">
      <c r="A1393" s="11" t="s">
        <v>9344</v>
      </c>
      <c r="B1393" s="4" t="s">
        <v>9346</v>
      </c>
      <c r="C1393" s="5">
        <f t="shared" si="25"/>
        <v>2.1816990180566931E-2</v>
      </c>
      <c r="D1393" s="5"/>
      <c r="E1393" s="5"/>
      <c r="F1393" s="5">
        <f>IF(Tabela3[[#This Row],[Retorno_Diário]]&gt;0,1,-1)</f>
        <v>1</v>
      </c>
      <c r="G1393" s="5">
        <f>Tabela3[[#This Row],[Sinal_TSMOM]]*(0.4*Tabela3[[#This Row],[Volatilidade]])</f>
        <v>0</v>
      </c>
      <c r="H1393" s="5">
        <f>Tabela3[[#This Row],[Position_Size]]*Tabela3[[#This Row],[Retorno_Diário]]</f>
        <v>0</v>
      </c>
    </row>
    <row r="1394" spans="1:8" x14ac:dyDescent="0.2">
      <c r="A1394" s="11" t="s">
        <v>9351</v>
      </c>
      <c r="B1394" s="4" t="s">
        <v>9353</v>
      </c>
      <c r="C1394" s="5">
        <f t="shared" si="25"/>
        <v>2.2233722447080995E-2</v>
      </c>
      <c r="D1394" s="5"/>
      <c r="E1394" s="5"/>
      <c r="F1394" s="5">
        <f>IF(Tabela3[[#This Row],[Retorno_Diário]]&gt;0,1,-1)</f>
        <v>1</v>
      </c>
      <c r="G1394" s="5">
        <f>Tabela3[[#This Row],[Sinal_TSMOM]]*(0.4*Tabela3[[#This Row],[Volatilidade]])</f>
        <v>0</v>
      </c>
      <c r="H1394" s="5">
        <f>Tabela3[[#This Row],[Position_Size]]*Tabela3[[#This Row],[Retorno_Diário]]</f>
        <v>0</v>
      </c>
    </row>
    <row r="1395" spans="1:8" x14ac:dyDescent="0.2">
      <c r="A1395" s="11" t="s">
        <v>9358</v>
      </c>
      <c r="B1395" s="4" t="s">
        <v>9360</v>
      </c>
      <c r="C1395" s="5">
        <f t="shared" si="25"/>
        <v>-8.7800526687493718E-3</v>
      </c>
      <c r="D1395" s="5"/>
      <c r="E1395" s="5"/>
      <c r="F1395" s="5">
        <f>IF(Tabela3[[#This Row],[Retorno_Diário]]&gt;0,1,-1)</f>
        <v>-1</v>
      </c>
      <c r="G1395" s="5">
        <f>Tabela3[[#This Row],[Sinal_TSMOM]]*(0.4*Tabela3[[#This Row],[Volatilidade]])</f>
        <v>0</v>
      </c>
      <c r="H1395" s="5">
        <f>Tabela3[[#This Row],[Position_Size]]*Tabela3[[#This Row],[Retorno_Diário]]</f>
        <v>0</v>
      </c>
    </row>
    <row r="1396" spans="1:8" x14ac:dyDescent="0.2">
      <c r="A1396" s="11" t="s">
        <v>9365</v>
      </c>
      <c r="B1396" s="4" t="s">
        <v>9367</v>
      </c>
      <c r="C1396" s="5">
        <f t="shared" si="25"/>
        <v>-3.3073458751524898E-2</v>
      </c>
      <c r="D1396" s="5"/>
      <c r="E1396" s="5"/>
      <c r="F1396" s="5">
        <f>IF(Tabela3[[#This Row],[Retorno_Diário]]&gt;0,1,-1)</f>
        <v>-1</v>
      </c>
      <c r="G1396" s="5">
        <f>Tabela3[[#This Row],[Sinal_TSMOM]]*(0.4*Tabela3[[#This Row],[Volatilidade]])</f>
        <v>0</v>
      </c>
      <c r="H1396" s="5">
        <f>Tabela3[[#This Row],[Position_Size]]*Tabela3[[#This Row],[Retorno_Diário]]</f>
        <v>0</v>
      </c>
    </row>
    <row r="1397" spans="1:8" x14ac:dyDescent="0.2">
      <c r="A1397" s="11" t="s">
        <v>9372</v>
      </c>
      <c r="B1397" s="4" t="s">
        <v>9374</v>
      </c>
      <c r="C1397" s="5">
        <f t="shared" si="25"/>
        <v>-2.6603742040318012E-2</v>
      </c>
      <c r="D1397" s="5"/>
      <c r="E1397" s="5"/>
      <c r="F1397" s="5">
        <f>IF(Tabela3[[#This Row],[Retorno_Diário]]&gt;0,1,-1)</f>
        <v>-1</v>
      </c>
      <c r="G1397" s="5">
        <f>Tabela3[[#This Row],[Sinal_TSMOM]]*(0.4*Tabela3[[#This Row],[Volatilidade]])</f>
        <v>0</v>
      </c>
      <c r="H1397" s="5">
        <f>Tabela3[[#This Row],[Position_Size]]*Tabela3[[#This Row],[Retorno_Diário]]</f>
        <v>0</v>
      </c>
    </row>
    <row r="1398" spans="1:8" x14ac:dyDescent="0.2">
      <c r="A1398" s="11" t="s">
        <v>9379</v>
      </c>
      <c r="B1398" s="4" t="s">
        <v>9381</v>
      </c>
      <c r="C1398" s="5">
        <f t="shared" si="25"/>
        <v>6.8383718149227501E-3</v>
      </c>
      <c r="D1398" s="5"/>
      <c r="E1398" s="5"/>
      <c r="F1398" s="5">
        <f>IF(Tabela3[[#This Row],[Retorno_Diário]]&gt;0,1,-1)</f>
        <v>1</v>
      </c>
      <c r="G1398" s="5">
        <f>Tabela3[[#This Row],[Sinal_TSMOM]]*(0.4*Tabela3[[#This Row],[Volatilidade]])</f>
        <v>0</v>
      </c>
      <c r="H1398" s="5">
        <f>Tabela3[[#This Row],[Position_Size]]*Tabela3[[#This Row],[Retorno_Diário]]</f>
        <v>0</v>
      </c>
    </row>
    <row r="1399" spans="1:8" x14ac:dyDescent="0.2">
      <c r="A1399" s="11" t="s">
        <v>9386</v>
      </c>
      <c r="B1399" s="4" t="s">
        <v>9388</v>
      </c>
      <c r="C1399" s="5">
        <f t="shared" si="25"/>
        <v>2.3917362020348776E-2</v>
      </c>
      <c r="D1399" s="5"/>
      <c r="E1399" s="5"/>
      <c r="F1399" s="5">
        <f>IF(Tabela3[[#This Row],[Retorno_Diário]]&gt;0,1,-1)</f>
        <v>1</v>
      </c>
      <c r="G1399" s="5">
        <f>Tabela3[[#This Row],[Sinal_TSMOM]]*(0.4*Tabela3[[#This Row],[Volatilidade]])</f>
        <v>0</v>
      </c>
      <c r="H1399" s="5">
        <f>Tabela3[[#This Row],[Position_Size]]*Tabela3[[#This Row],[Retorno_Diário]]</f>
        <v>0</v>
      </c>
    </row>
    <row r="1400" spans="1:8" x14ac:dyDescent="0.2">
      <c r="A1400" s="11" t="s">
        <v>9393</v>
      </c>
      <c r="B1400" s="4" t="s">
        <v>9395</v>
      </c>
      <c r="C1400" s="5">
        <f t="shared" si="25"/>
        <v>-4.9694867650149632E-3</v>
      </c>
      <c r="D1400" s="5"/>
      <c r="E1400" s="5"/>
      <c r="F1400" s="5">
        <f>IF(Tabela3[[#This Row],[Retorno_Diário]]&gt;0,1,-1)</f>
        <v>-1</v>
      </c>
      <c r="G1400" s="5">
        <f>Tabela3[[#This Row],[Sinal_TSMOM]]*(0.4*Tabela3[[#This Row],[Volatilidade]])</f>
        <v>0</v>
      </c>
      <c r="H1400" s="5">
        <f>Tabela3[[#This Row],[Position_Size]]*Tabela3[[#This Row],[Retorno_Diário]]</f>
        <v>0</v>
      </c>
    </row>
    <row r="1401" spans="1:8" x14ac:dyDescent="0.2">
      <c r="A1401" s="11" t="s">
        <v>9400</v>
      </c>
      <c r="B1401" s="4" t="s">
        <v>9402</v>
      </c>
      <c r="C1401" s="5">
        <f t="shared" si="25"/>
        <v>9.8565929965919175E-3</v>
      </c>
      <c r="D1401" s="5"/>
      <c r="E1401" s="5"/>
      <c r="F1401" s="5">
        <f>IF(Tabela3[[#This Row],[Retorno_Diário]]&gt;0,1,-1)</f>
        <v>1</v>
      </c>
      <c r="G1401" s="5">
        <f>Tabela3[[#This Row],[Sinal_TSMOM]]*(0.4*Tabela3[[#This Row],[Volatilidade]])</f>
        <v>0</v>
      </c>
      <c r="H1401" s="5">
        <f>Tabela3[[#This Row],[Position_Size]]*Tabela3[[#This Row],[Retorno_Diário]]</f>
        <v>0</v>
      </c>
    </row>
    <row r="1402" spans="1:8" x14ac:dyDescent="0.2">
      <c r="A1402" s="11" t="s">
        <v>9407</v>
      </c>
      <c r="B1402" s="4" t="s">
        <v>9409</v>
      </c>
      <c r="C1402" s="5">
        <f t="shared" si="25"/>
        <v>1.8518484659349355E-2</v>
      </c>
      <c r="D1402" s="5"/>
      <c r="E1402" s="5"/>
      <c r="F1402" s="5">
        <f>IF(Tabela3[[#This Row],[Retorno_Diário]]&gt;0,1,-1)</f>
        <v>1</v>
      </c>
      <c r="G1402" s="5">
        <f>Tabela3[[#This Row],[Sinal_TSMOM]]*(0.4*Tabela3[[#This Row],[Volatilidade]])</f>
        <v>0</v>
      </c>
      <c r="H1402" s="5">
        <f>Tabela3[[#This Row],[Position_Size]]*Tabela3[[#This Row],[Retorno_Diário]]</f>
        <v>0</v>
      </c>
    </row>
    <row r="1403" spans="1:8" x14ac:dyDescent="0.2">
      <c r="A1403" s="11" t="s">
        <v>9414</v>
      </c>
      <c r="B1403" s="4" t="s">
        <v>9416</v>
      </c>
      <c r="C1403" s="5">
        <f t="shared" si="25"/>
        <v>-4.491959026160508E-4</v>
      </c>
      <c r="D1403" s="5"/>
      <c r="E1403" s="5"/>
      <c r="F1403" s="5">
        <f>IF(Tabela3[[#This Row],[Retorno_Diário]]&gt;0,1,-1)</f>
        <v>-1</v>
      </c>
      <c r="G1403" s="5">
        <f>Tabela3[[#This Row],[Sinal_TSMOM]]*(0.4*Tabela3[[#This Row],[Volatilidade]])</f>
        <v>0</v>
      </c>
      <c r="H1403" s="5">
        <f>Tabela3[[#This Row],[Position_Size]]*Tabela3[[#This Row],[Retorno_Diário]]</f>
        <v>0</v>
      </c>
    </row>
    <row r="1404" spans="1:8" x14ac:dyDescent="0.2">
      <c r="A1404" s="11" t="s">
        <v>9421</v>
      </c>
      <c r="B1404" s="4" t="s">
        <v>9370</v>
      </c>
      <c r="C1404" s="5">
        <f t="shared" si="25"/>
        <v>-4.7507997525166878E-3</v>
      </c>
      <c r="D1404" s="5"/>
      <c r="E1404" s="5"/>
      <c r="F1404" s="5">
        <f>IF(Tabela3[[#This Row],[Retorno_Diário]]&gt;0,1,-1)</f>
        <v>-1</v>
      </c>
      <c r="G1404" s="5">
        <f>Tabela3[[#This Row],[Sinal_TSMOM]]*(0.4*Tabela3[[#This Row],[Volatilidade]])</f>
        <v>0</v>
      </c>
      <c r="H1404" s="5">
        <f>Tabela3[[#This Row],[Position_Size]]*Tabela3[[#This Row],[Retorno_Diário]]</f>
        <v>0</v>
      </c>
    </row>
    <row r="1405" spans="1:8" x14ac:dyDescent="0.2">
      <c r="A1405" s="11" t="s">
        <v>9427</v>
      </c>
      <c r="B1405" s="4" t="s">
        <v>9429</v>
      </c>
      <c r="C1405" s="5">
        <f t="shared" si="25"/>
        <v>-4.8121765838926689E-2</v>
      </c>
      <c r="D1405" s="5"/>
      <c r="E1405" s="5"/>
      <c r="F1405" s="5">
        <f>IF(Tabela3[[#This Row],[Retorno_Diário]]&gt;0,1,-1)</f>
        <v>-1</v>
      </c>
      <c r="G1405" s="5">
        <f>Tabela3[[#This Row],[Sinal_TSMOM]]*(0.4*Tabela3[[#This Row],[Volatilidade]])</f>
        <v>0</v>
      </c>
      <c r="H1405" s="5">
        <f>Tabela3[[#This Row],[Position_Size]]*Tabela3[[#This Row],[Retorno_Diário]]</f>
        <v>0</v>
      </c>
    </row>
    <row r="1406" spans="1:8" x14ac:dyDescent="0.2">
      <c r="A1406" s="11" t="s">
        <v>9434</v>
      </c>
      <c r="B1406" s="4" t="s">
        <v>9436</v>
      </c>
      <c r="C1406" s="5">
        <f t="shared" si="25"/>
        <v>5.5568993420263002E-3</v>
      </c>
      <c r="D1406" s="5"/>
      <c r="E1406" s="5"/>
      <c r="F1406" s="5">
        <f>IF(Tabela3[[#This Row],[Retorno_Diário]]&gt;0,1,-1)</f>
        <v>1</v>
      </c>
      <c r="G1406" s="5">
        <f>Tabela3[[#This Row],[Sinal_TSMOM]]*(0.4*Tabela3[[#This Row],[Volatilidade]])</f>
        <v>0</v>
      </c>
      <c r="H1406" s="5">
        <f>Tabela3[[#This Row],[Position_Size]]*Tabela3[[#This Row],[Retorno_Diário]]</f>
        <v>0</v>
      </c>
    </row>
    <row r="1407" spans="1:8" x14ac:dyDescent="0.2">
      <c r="A1407" s="11" t="s">
        <v>9440</v>
      </c>
      <c r="B1407" s="4" t="s">
        <v>9442</v>
      </c>
      <c r="C1407" s="5">
        <f t="shared" si="25"/>
        <v>3.7066363650377632E-3</v>
      </c>
      <c r="D1407" s="5"/>
      <c r="E1407" s="5"/>
      <c r="F1407" s="5">
        <f>IF(Tabela3[[#This Row],[Retorno_Diário]]&gt;0,1,-1)</f>
        <v>1</v>
      </c>
      <c r="G1407" s="5">
        <f>Tabela3[[#This Row],[Sinal_TSMOM]]*(0.4*Tabela3[[#This Row],[Volatilidade]])</f>
        <v>0</v>
      </c>
      <c r="H1407" s="5">
        <f>Tabela3[[#This Row],[Position_Size]]*Tabela3[[#This Row],[Retorno_Diário]]</f>
        <v>0</v>
      </c>
    </row>
    <row r="1408" spans="1:8" x14ac:dyDescent="0.2">
      <c r="A1408" s="11" t="s">
        <v>9447</v>
      </c>
      <c r="B1408" s="4" t="s">
        <v>9449</v>
      </c>
      <c r="C1408" s="5">
        <f t="shared" si="25"/>
        <v>1.649506505561571E-2</v>
      </c>
      <c r="D1408" s="5"/>
      <c r="E1408" s="5"/>
      <c r="F1408" s="5">
        <f>IF(Tabela3[[#This Row],[Retorno_Diário]]&gt;0,1,-1)</f>
        <v>1</v>
      </c>
      <c r="G1408" s="5">
        <f>Tabela3[[#This Row],[Sinal_TSMOM]]*(0.4*Tabela3[[#This Row],[Volatilidade]])</f>
        <v>0</v>
      </c>
      <c r="H1408" s="5">
        <f>Tabela3[[#This Row],[Position_Size]]*Tabela3[[#This Row],[Retorno_Diário]]</f>
        <v>0</v>
      </c>
    </row>
    <row r="1409" spans="1:8" x14ac:dyDescent="0.2">
      <c r="A1409" s="11" t="s">
        <v>9454</v>
      </c>
      <c r="B1409" s="4" t="s">
        <v>9456</v>
      </c>
      <c r="C1409" s="5">
        <f t="shared" si="25"/>
        <v>-1.6579658609917614E-2</v>
      </c>
      <c r="D1409" s="5"/>
      <c r="E1409" s="5"/>
      <c r="F1409" s="5">
        <f>IF(Tabela3[[#This Row],[Retorno_Diário]]&gt;0,1,-1)</f>
        <v>-1</v>
      </c>
      <c r="G1409" s="5">
        <f>Tabela3[[#This Row],[Sinal_TSMOM]]*(0.4*Tabela3[[#This Row],[Volatilidade]])</f>
        <v>0</v>
      </c>
      <c r="H1409" s="5">
        <f>Tabela3[[#This Row],[Position_Size]]*Tabela3[[#This Row],[Retorno_Diário]]</f>
        <v>0</v>
      </c>
    </row>
    <row r="1410" spans="1:8" x14ac:dyDescent="0.2">
      <c r="A1410" s="11" t="s">
        <v>9461</v>
      </c>
      <c r="B1410" s="4" t="s">
        <v>9463</v>
      </c>
      <c r="C1410" s="5">
        <f t="shared" si="25"/>
        <v>-4.724163848177465E-2</v>
      </c>
      <c r="D1410" s="5"/>
      <c r="E1410" s="5"/>
      <c r="F1410" s="5">
        <f>IF(Tabela3[[#This Row],[Retorno_Diário]]&gt;0,1,-1)</f>
        <v>-1</v>
      </c>
      <c r="G1410" s="5">
        <f>Tabela3[[#This Row],[Sinal_TSMOM]]*(0.4*Tabela3[[#This Row],[Volatilidade]])</f>
        <v>0</v>
      </c>
      <c r="H1410" s="5">
        <f>Tabela3[[#This Row],[Position_Size]]*Tabela3[[#This Row],[Retorno_Diário]]</f>
        <v>0</v>
      </c>
    </row>
    <row r="1411" spans="1:8" x14ac:dyDescent="0.2">
      <c r="A1411" s="11" t="s">
        <v>9468</v>
      </c>
      <c r="B1411" s="4" t="s">
        <v>9470</v>
      </c>
      <c r="C1411" s="5">
        <f t="shared" ref="C1411:C1474" si="26">B1411/B1410-1</f>
        <v>-3.9009344098694942E-3</v>
      </c>
      <c r="D1411" s="5"/>
      <c r="E1411" s="5"/>
      <c r="F1411" s="5">
        <f>IF(Tabela3[[#This Row],[Retorno_Diário]]&gt;0,1,-1)</f>
        <v>-1</v>
      </c>
      <c r="G1411" s="5">
        <f>Tabela3[[#This Row],[Sinal_TSMOM]]*(0.4*Tabela3[[#This Row],[Volatilidade]])</f>
        <v>0</v>
      </c>
      <c r="H1411" s="5">
        <f>Tabela3[[#This Row],[Position_Size]]*Tabela3[[#This Row],[Retorno_Diário]]</f>
        <v>0</v>
      </c>
    </row>
    <row r="1412" spans="1:8" x14ac:dyDescent="0.2">
      <c r="A1412" s="11" t="s">
        <v>9475</v>
      </c>
      <c r="B1412" s="4" t="s">
        <v>9477</v>
      </c>
      <c r="C1412" s="5">
        <f t="shared" si="26"/>
        <v>-3.6165917910393586E-2</v>
      </c>
      <c r="D1412" s="5"/>
      <c r="E1412" s="5"/>
      <c r="F1412" s="5">
        <f>IF(Tabela3[[#This Row],[Retorno_Diário]]&gt;0,1,-1)</f>
        <v>-1</v>
      </c>
      <c r="G1412" s="5">
        <f>Tabela3[[#This Row],[Sinal_TSMOM]]*(0.4*Tabela3[[#This Row],[Volatilidade]])</f>
        <v>0</v>
      </c>
      <c r="H1412" s="5">
        <f>Tabela3[[#This Row],[Position_Size]]*Tabela3[[#This Row],[Retorno_Diário]]</f>
        <v>0</v>
      </c>
    </row>
    <row r="1413" spans="1:8" x14ac:dyDescent="0.2">
      <c r="A1413" s="11" t="s">
        <v>9482</v>
      </c>
      <c r="B1413" s="4" t="s">
        <v>9484</v>
      </c>
      <c r="C1413" s="5">
        <f t="shared" si="26"/>
        <v>7.093376189659284E-2</v>
      </c>
      <c r="D1413" s="5"/>
      <c r="E1413" s="5"/>
      <c r="F1413" s="5">
        <f>IF(Tabela3[[#This Row],[Retorno_Diário]]&gt;0,1,-1)</f>
        <v>1</v>
      </c>
      <c r="G1413" s="5">
        <f>Tabela3[[#This Row],[Sinal_TSMOM]]*(0.4*Tabela3[[#This Row],[Volatilidade]])</f>
        <v>0</v>
      </c>
      <c r="H1413" s="5">
        <f>Tabela3[[#This Row],[Position_Size]]*Tabela3[[#This Row],[Retorno_Diário]]</f>
        <v>0</v>
      </c>
    </row>
    <row r="1414" spans="1:8" x14ac:dyDescent="0.2">
      <c r="A1414" s="11" t="s">
        <v>9488</v>
      </c>
      <c r="B1414" s="4" t="s">
        <v>9490</v>
      </c>
      <c r="C1414" s="5">
        <f t="shared" si="26"/>
        <v>4.2739990789553151E-3</v>
      </c>
      <c r="D1414" s="5"/>
      <c r="E1414" s="5"/>
      <c r="F1414" s="5">
        <f>IF(Tabela3[[#This Row],[Retorno_Diário]]&gt;0,1,-1)</f>
        <v>1</v>
      </c>
      <c r="G1414" s="5">
        <f>Tabela3[[#This Row],[Sinal_TSMOM]]*(0.4*Tabela3[[#This Row],[Volatilidade]])</f>
        <v>0</v>
      </c>
      <c r="H1414" s="5">
        <f>Tabela3[[#This Row],[Position_Size]]*Tabela3[[#This Row],[Retorno_Diário]]</f>
        <v>0</v>
      </c>
    </row>
    <row r="1415" spans="1:8" x14ac:dyDescent="0.2">
      <c r="A1415" s="11" t="s">
        <v>9495</v>
      </c>
      <c r="B1415" s="4" t="s">
        <v>9497</v>
      </c>
      <c r="C1415" s="5">
        <f t="shared" si="26"/>
        <v>-1.0332238959102624E-2</v>
      </c>
      <c r="D1415" s="5"/>
      <c r="E1415" s="5"/>
      <c r="F1415" s="5">
        <f>IF(Tabela3[[#This Row],[Retorno_Diário]]&gt;0,1,-1)</f>
        <v>-1</v>
      </c>
      <c r="G1415" s="5">
        <f>Tabela3[[#This Row],[Sinal_TSMOM]]*(0.4*Tabela3[[#This Row],[Volatilidade]])</f>
        <v>0</v>
      </c>
      <c r="H1415" s="5">
        <f>Tabela3[[#This Row],[Position_Size]]*Tabela3[[#This Row],[Retorno_Diário]]</f>
        <v>0</v>
      </c>
    </row>
    <row r="1416" spans="1:8" x14ac:dyDescent="0.2">
      <c r="A1416" s="11" t="s">
        <v>9502</v>
      </c>
      <c r="B1416" s="4" t="s">
        <v>9504</v>
      </c>
      <c r="C1416" s="5">
        <f t="shared" si="26"/>
        <v>-3.2653794512323975E-3</v>
      </c>
      <c r="D1416" s="5"/>
      <c r="E1416" s="5"/>
      <c r="F1416" s="5">
        <f>IF(Tabela3[[#This Row],[Retorno_Diário]]&gt;0,1,-1)</f>
        <v>-1</v>
      </c>
      <c r="G1416" s="5">
        <f>Tabela3[[#This Row],[Sinal_TSMOM]]*(0.4*Tabela3[[#This Row],[Volatilidade]])</f>
        <v>0</v>
      </c>
      <c r="H1416" s="5">
        <f>Tabela3[[#This Row],[Position_Size]]*Tabela3[[#This Row],[Retorno_Diário]]</f>
        <v>0</v>
      </c>
    </row>
    <row r="1417" spans="1:8" x14ac:dyDescent="0.2">
      <c r="A1417" s="11" t="s">
        <v>9509</v>
      </c>
      <c r="B1417" s="4" t="s">
        <v>9511</v>
      </c>
      <c r="C1417" s="5">
        <f t="shared" si="26"/>
        <v>-1.0382517027702765E-3</v>
      </c>
      <c r="D1417" s="5"/>
      <c r="E1417" s="5"/>
      <c r="F1417" s="5">
        <f>IF(Tabela3[[#This Row],[Retorno_Diário]]&gt;0,1,-1)</f>
        <v>-1</v>
      </c>
      <c r="G1417" s="5">
        <f>Tabela3[[#This Row],[Sinal_TSMOM]]*(0.4*Tabela3[[#This Row],[Volatilidade]])</f>
        <v>0</v>
      </c>
      <c r="H1417" s="5">
        <f>Tabela3[[#This Row],[Position_Size]]*Tabela3[[#This Row],[Retorno_Diário]]</f>
        <v>0</v>
      </c>
    </row>
    <row r="1418" spans="1:8" x14ac:dyDescent="0.2">
      <c r="A1418" s="11" t="s">
        <v>9516</v>
      </c>
      <c r="B1418" s="4" t="s">
        <v>9518</v>
      </c>
      <c r="C1418" s="5">
        <f t="shared" si="26"/>
        <v>8.4713256326353958E-2</v>
      </c>
      <c r="D1418" s="5"/>
      <c r="E1418" s="5"/>
      <c r="F1418" s="5">
        <f>IF(Tabela3[[#This Row],[Retorno_Diário]]&gt;0,1,-1)</f>
        <v>1</v>
      </c>
      <c r="G1418" s="5">
        <f>Tabela3[[#This Row],[Sinal_TSMOM]]*(0.4*Tabela3[[#This Row],[Volatilidade]])</f>
        <v>0</v>
      </c>
      <c r="H1418" s="5">
        <f>Tabela3[[#This Row],[Position_Size]]*Tabela3[[#This Row],[Retorno_Diário]]</f>
        <v>0</v>
      </c>
    </row>
    <row r="1419" spans="1:8" x14ac:dyDescent="0.2">
      <c r="A1419" s="11" t="s">
        <v>9523</v>
      </c>
      <c r="B1419" s="4" t="s">
        <v>9525</v>
      </c>
      <c r="C1419" s="5">
        <f t="shared" si="26"/>
        <v>-2.7657713129268346E-2</v>
      </c>
      <c r="D1419" s="5"/>
      <c r="E1419" s="5"/>
      <c r="F1419" s="5">
        <f>IF(Tabela3[[#This Row],[Retorno_Diário]]&gt;0,1,-1)</f>
        <v>-1</v>
      </c>
      <c r="G1419" s="5">
        <f>Tabela3[[#This Row],[Sinal_TSMOM]]*(0.4*Tabela3[[#This Row],[Volatilidade]])</f>
        <v>0</v>
      </c>
      <c r="H1419" s="5">
        <f>Tabela3[[#This Row],[Position_Size]]*Tabela3[[#This Row],[Retorno_Diário]]</f>
        <v>0</v>
      </c>
    </row>
    <row r="1420" spans="1:8" x14ac:dyDescent="0.2">
      <c r="A1420" s="11" t="s">
        <v>9530</v>
      </c>
      <c r="B1420" s="4" t="s">
        <v>9532</v>
      </c>
      <c r="C1420" s="5">
        <f t="shared" si="26"/>
        <v>3.1707144713918112E-2</v>
      </c>
      <c r="D1420" s="5"/>
      <c r="E1420" s="5"/>
      <c r="F1420" s="5">
        <f>IF(Tabela3[[#This Row],[Retorno_Diário]]&gt;0,1,-1)</f>
        <v>1</v>
      </c>
      <c r="G1420" s="5">
        <f>Tabela3[[#This Row],[Sinal_TSMOM]]*(0.4*Tabela3[[#This Row],[Volatilidade]])</f>
        <v>0</v>
      </c>
      <c r="H1420" s="5">
        <f>Tabela3[[#This Row],[Position_Size]]*Tabela3[[#This Row],[Retorno_Diário]]</f>
        <v>0</v>
      </c>
    </row>
    <row r="1421" spans="1:8" x14ac:dyDescent="0.2">
      <c r="A1421" s="11" t="s">
        <v>9536</v>
      </c>
      <c r="B1421" s="4" t="s">
        <v>9538</v>
      </c>
      <c r="C1421" s="5">
        <f t="shared" si="26"/>
        <v>9.9747578712539031E-4</v>
      </c>
      <c r="D1421" s="5"/>
      <c r="E1421" s="5"/>
      <c r="F1421" s="5">
        <f>IF(Tabela3[[#This Row],[Retorno_Diário]]&gt;0,1,-1)</f>
        <v>1</v>
      </c>
      <c r="G1421" s="5">
        <f>Tabela3[[#This Row],[Sinal_TSMOM]]*(0.4*Tabela3[[#This Row],[Volatilidade]])</f>
        <v>0</v>
      </c>
      <c r="H1421" s="5">
        <f>Tabela3[[#This Row],[Position_Size]]*Tabela3[[#This Row],[Retorno_Diário]]</f>
        <v>0</v>
      </c>
    </row>
    <row r="1422" spans="1:8" x14ac:dyDescent="0.2">
      <c r="A1422" s="11" t="s">
        <v>9543</v>
      </c>
      <c r="B1422" s="4" t="s">
        <v>9545</v>
      </c>
      <c r="C1422" s="5">
        <f t="shared" si="26"/>
        <v>-2.427743542138594E-2</v>
      </c>
      <c r="D1422" s="5"/>
      <c r="E1422" s="5"/>
      <c r="F1422" s="5">
        <f>IF(Tabela3[[#This Row],[Retorno_Diário]]&gt;0,1,-1)</f>
        <v>-1</v>
      </c>
      <c r="G1422" s="5">
        <f>Tabela3[[#This Row],[Sinal_TSMOM]]*(0.4*Tabela3[[#This Row],[Volatilidade]])</f>
        <v>0</v>
      </c>
      <c r="H1422" s="5">
        <f>Tabela3[[#This Row],[Position_Size]]*Tabela3[[#This Row],[Retorno_Diário]]</f>
        <v>0</v>
      </c>
    </row>
    <row r="1423" spans="1:8" x14ac:dyDescent="0.2">
      <c r="A1423" s="11" t="s">
        <v>9550</v>
      </c>
      <c r="B1423" s="4" t="s">
        <v>9552</v>
      </c>
      <c r="C1423" s="5">
        <f t="shared" si="26"/>
        <v>1.7753868061283429E-2</v>
      </c>
      <c r="D1423" s="5"/>
      <c r="E1423" s="5"/>
      <c r="F1423" s="5">
        <f>IF(Tabela3[[#This Row],[Retorno_Diário]]&gt;0,1,-1)</f>
        <v>1</v>
      </c>
      <c r="G1423" s="5">
        <f>Tabela3[[#This Row],[Sinal_TSMOM]]*(0.4*Tabela3[[#This Row],[Volatilidade]])</f>
        <v>0</v>
      </c>
      <c r="H1423" s="5">
        <f>Tabela3[[#This Row],[Position_Size]]*Tabela3[[#This Row],[Retorno_Diário]]</f>
        <v>0</v>
      </c>
    </row>
    <row r="1424" spans="1:8" x14ac:dyDescent="0.2">
      <c r="A1424" s="11" t="s">
        <v>9557</v>
      </c>
      <c r="B1424" s="4" t="s">
        <v>9559</v>
      </c>
      <c r="C1424" s="5">
        <f t="shared" si="26"/>
        <v>4.1614206263581588E-2</v>
      </c>
      <c r="D1424" s="5"/>
      <c r="E1424" s="5"/>
      <c r="F1424" s="5">
        <f>IF(Tabela3[[#This Row],[Retorno_Diário]]&gt;0,1,-1)</f>
        <v>1</v>
      </c>
      <c r="G1424" s="5">
        <f>Tabela3[[#This Row],[Sinal_TSMOM]]*(0.4*Tabela3[[#This Row],[Volatilidade]])</f>
        <v>0</v>
      </c>
      <c r="H1424" s="5">
        <f>Tabela3[[#This Row],[Position_Size]]*Tabela3[[#This Row],[Retorno_Diário]]</f>
        <v>0</v>
      </c>
    </row>
    <row r="1425" spans="1:8" x14ac:dyDescent="0.2">
      <c r="A1425" s="11" t="s">
        <v>9564</v>
      </c>
      <c r="B1425" s="4" t="s">
        <v>9566</v>
      </c>
      <c r="C1425" s="5">
        <f t="shared" si="26"/>
        <v>9.8392821075101722E-3</v>
      </c>
      <c r="D1425" s="5"/>
      <c r="E1425" s="5"/>
      <c r="F1425" s="5">
        <f>IF(Tabela3[[#This Row],[Retorno_Diário]]&gt;0,1,-1)</f>
        <v>1</v>
      </c>
      <c r="G1425" s="5">
        <f>Tabela3[[#This Row],[Sinal_TSMOM]]*(0.4*Tabela3[[#This Row],[Volatilidade]])</f>
        <v>0</v>
      </c>
      <c r="H1425" s="5">
        <f>Tabela3[[#This Row],[Position_Size]]*Tabela3[[#This Row],[Retorno_Diário]]</f>
        <v>0</v>
      </c>
    </row>
    <row r="1426" spans="1:8" x14ac:dyDescent="0.2">
      <c r="A1426" s="11" t="s">
        <v>9571</v>
      </c>
      <c r="B1426" s="4" t="s">
        <v>9573</v>
      </c>
      <c r="C1426" s="5">
        <f t="shared" si="26"/>
        <v>1.8471825954904375E-3</v>
      </c>
      <c r="D1426" s="5"/>
      <c r="E1426" s="5"/>
      <c r="F1426" s="5">
        <f>IF(Tabela3[[#This Row],[Retorno_Diário]]&gt;0,1,-1)</f>
        <v>1</v>
      </c>
      <c r="G1426" s="5">
        <f>Tabela3[[#This Row],[Sinal_TSMOM]]*(0.4*Tabela3[[#This Row],[Volatilidade]])</f>
        <v>0</v>
      </c>
      <c r="H1426" s="5">
        <f>Tabela3[[#This Row],[Position_Size]]*Tabela3[[#This Row],[Retorno_Diário]]</f>
        <v>0</v>
      </c>
    </row>
    <row r="1427" spans="1:8" x14ac:dyDescent="0.2">
      <c r="A1427" s="11" t="s">
        <v>9578</v>
      </c>
      <c r="B1427" s="4" t="s">
        <v>9580</v>
      </c>
      <c r="C1427" s="5">
        <f t="shared" si="26"/>
        <v>-1.7141134216052789E-2</v>
      </c>
      <c r="D1427" s="5"/>
      <c r="E1427" s="5"/>
      <c r="F1427" s="5">
        <f>IF(Tabela3[[#This Row],[Retorno_Diário]]&gt;0,1,-1)</f>
        <v>-1</v>
      </c>
      <c r="G1427" s="5">
        <f>Tabela3[[#This Row],[Sinal_TSMOM]]*(0.4*Tabela3[[#This Row],[Volatilidade]])</f>
        <v>0</v>
      </c>
      <c r="H1427" s="5">
        <f>Tabela3[[#This Row],[Position_Size]]*Tabela3[[#This Row],[Retorno_Diário]]</f>
        <v>0</v>
      </c>
    </row>
    <row r="1428" spans="1:8" x14ac:dyDescent="0.2">
      <c r="A1428" s="11" t="s">
        <v>9585</v>
      </c>
      <c r="B1428" s="4" t="s">
        <v>9587</v>
      </c>
      <c r="C1428" s="5">
        <f t="shared" si="26"/>
        <v>8.0400473626629498E-4</v>
      </c>
      <c r="D1428" s="5"/>
      <c r="E1428" s="5"/>
      <c r="F1428" s="5">
        <f>IF(Tabela3[[#This Row],[Retorno_Diário]]&gt;0,1,-1)</f>
        <v>1</v>
      </c>
      <c r="G1428" s="5">
        <f>Tabela3[[#This Row],[Sinal_TSMOM]]*(0.4*Tabela3[[#This Row],[Volatilidade]])</f>
        <v>0</v>
      </c>
      <c r="H1428" s="5">
        <f>Tabela3[[#This Row],[Position_Size]]*Tabela3[[#This Row],[Retorno_Diário]]</f>
        <v>0</v>
      </c>
    </row>
    <row r="1429" spans="1:8" x14ac:dyDescent="0.2">
      <c r="A1429" s="11" t="s">
        <v>9592</v>
      </c>
      <c r="B1429" s="4" t="s">
        <v>9594</v>
      </c>
      <c r="C1429" s="5">
        <f t="shared" si="26"/>
        <v>-3.0629469832672673E-2</v>
      </c>
      <c r="D1429" s="5"/>
      <c r="E1429" s="5"/>
      <c r="F1429" s="5">
        <f>IF(Tabela3[[#This Row],[Retorno_Diário]]&gt;0,1,-1)</f>
        <v>-1</v>
      </c>
      <c r="G1429" s="5">
        <f>Tabela3[[#This Row],[Sinal_TSMOM]]*(0.4*Tabela3[[#This Row],[Volatilidade]])</f>
        <v>0</v>
      </c>
      <c r="H1429" s="5">
        <f>Tabela3[[#This Row],[Position_Size]]*Tabela3[[#This Row],[Retorno_Diário]]</f>
        <v>0</v>
      </c>
    </row>
    <row r="1430" spans="1:8" x14ac:dyDescent="0.2">
      <c r="A1430" s="11" t="s">
        <v>9599</v>
      </c>
      <c r="B1430" s="4" t="s">
        <v>9601</v>
      </c>
      <c r="C1430" s="5">
        <f t="shared" si="26"/>
        <v>-1.742418734126383E-2</v>
      </c>
      <c r="D1430" s="5"/>
      <c r="E1430" s="5"/>
      <c r="F1430" s="5">
        <f>IF(Tabela3[[#This Row],[Retorno_Diário]]&gt;0,1,-1)</f>
        <v>-1</v>
      </c>
      <c r="G1430" s="5">
        <f>Tabela3[[#This Row],[Sinal_TSMOM]]*(0.4*Tabela3[[#This Row],[Volatilidade]])</f>
        <v>0</v>
      </c>
      <c r="H1430" s="5">
        <f>Tabela3[[#This Row],[Position_Size]]*Tabela3[[#This Row],[Retorno_Diário]]</f>
        <v>0</v>
      </c>
    </row>
    <row r="1431" spans="1:8" x14ac:dyDescent="0.2">
      <c r="A1431" s="11" t="s">
        <v>9606</v>
      </c>
      <c r="B1431" s="4" t="s">
        <v>9608</v>
      </c>
      <c r="C1431" s="5">
        <f t="shared" si="26"/>
        <v>-1.4467734621280925E-2</v>
      </c>
      <c r="D1431" s="5"/>
      <c r="E1431" s="5"/>
      <c r="F1431" s="5">
        <f>IF(Tabela3[[#This Row],[Retorno_Diário]]&gt;0,1,-1)</f>
        <v>-1</v>
      </c>
      <c r="G1431" s="5">
        <f>Tabela3[[#This Row],[Sinal_TSMOM]]*(0.4*Tabela3[[#This Row],[Volatilidade]])</f>
        <v>0</v>
      </c>
      <c r="H1431" s="5">
        <f>Tabela3[[#This Row],[Position_Size]]*Tabela3[[#This Row],[Retorno_Diário]]</f>
        <v>0</v>
      </c>
    </row>
    <row r="1432" spans="1:8" x14ac:dyDescent="0.2">
      <c r="A1432" s="11" t="s">
        <v>9613</v>
      </c>
      <c r="B1432" s="4" t="s">
        <v>9615</v>
      </c>
      <c r="C1432" s="5">
        <f t="shared" si="26"/>
        <v>-8.6455982734938708E-3</v>
      </c>
      <c r="D1432" s="5"/>
      <c r="E1432" s="5"/>
      <c r="F1432" s="5">
        <f>IF(Tabela3[[#This Row],[Retorno_Diário]]&gt;0,1,-1)</f>
        <v>-1</v>
      </c>
      <c r="G1432" s="5">
        <f>Tabela3[[#This Row],[Sinal_TSMOM]]*(0.4*Tabela3[[#This Row],[Volatilidade]])</f>
        <v>0</v>
      </c>
      <c r="H1432" s="5">
        <f>Tabela3[[#This Row],[Position_Size]]*Tabela3[[#This Row],[Retorno_Diário]]</f>
        <v>0</v>
      </c>
    </row>
    <row r="1433" spans="1:8" x14ac:dyDescent="0.2">
      <c r="A1433" s="11" t="s">
        <v>9619</v>
      </c>
      <c r="B1433" s="4" t="s">
        <v>9621</v>
      </c>
      <c r="C1433" s="5">
        <f t="shared" si="26"/>
        <v>-6.8175320366835601E-3</v>
      </c>
      <c r="D1433" s="5"/>
      <c r="E1433" s="5"/>
      <c r="F1433" s="5">
        <f>IF(Tabela3[[#This Row],[Retorno_Diário]]&gt;0,1,-1)</f>
        <v>-1</v>
      </c>
      <c r="G1433" s="5">
        <f>Tabela3[[#This Row],[Sinal_TSMOM]]*(0.4*Tabela3[[#This Row],[Volatilidade]])</f>
        <v>0</v>
      </c>
      <c r="H1433" s="5">
        <f>Tabela3[[#This Row],[Position_Size]]*Tabela3[[#This Row],[Retorno_Diário]]</f>
        <v>0</v>
      </c>
    </row>
    <row r="1434" spans="1:8" x14ac:dyDescent="0.2">
      <c r="A1434" s="11" t="s">
        <v>9626</v>
      </c>
      <c r="B1434" s="4" t="s">
        <v>9628</v>
      </c>
      <c r="C1434" s="5">
        <f t="shared" si="26"/>
        <v>1.3706300269817451E-2</v>
      </c>
      <c r="D1434" s="5"/>
      <c r="E1434" s="5"/>
      <c r="F1434" s="5">
        <f>IF(Tabela3[[#This Row],[Retorno_Diário]]&gt;0,1,-1)</f>
        <v>1</v>
      </c>
      <c r="G1434" s="5">
        <f>Tabela3[[#This Row],[Sinal_TSMOM]]*(0.4*Tabela3[[#This Row],[Volatilidade]])</f>
        <v>0</v>
      </c>
      <c r="H1434" s="5">
        <f>Tabela3[[#This Row],[Position_Size]]*Tabela3[[#This Row],[Retorno_Diário]]</f>
        <v>0</v>
      </c>
    </row>
    <row r="1435" spans="1:8" x14ac:dyDescent="0.2">
      <c r="A1435" s="11" t="s">
        <v>9633</v>
      </c>
      <c r="B1435" s="4" t="s">
        <v>9635</v>
      </c>
      <c r="C1435" s="5">
        <f t="shared" si="26"/>
        <v>2.1106006397382249E-3</v>
      </c>
      <c r="D1435" s="5"/>
      <c r="E1435" s="5"/>
      <c r="F1435" s="5">
        <f>IF(Tabela3[[#This Row],[Retorno_Diário]]&gt;0,1,-1)</f>
        <v>1</v>
      </c>
      <c r="G1435" s="5">
        <f>Tabela3[[#This Row],[Sinal_TSMOM]]*(0.4*Tabela3[[#This Row],[Volatilidade]])</f>
        <v>0</v>
      </c>
      <c r="H1435" s="5">
        <f>Tabela3[[#This Row],[Position_Size]]*Tabela3[[#This Row],[Retorno_Diário]]</f>
        <v>0</v>
      </c>
    </row>
    <row r="1436" spans="1:8" x14ac:dyDescent="0.2">
      <c r="A1436" s="11" t="s">
        <v>9640</v>
      </c>
      <c r="B1436" s="4" t="s">
        <v>9642</v>
      </c>
      <c r="C1436" s="5">
        <f t="shared" si="26"/>
        <v>-3.6879395111769742E-2</v>
      </c>
      <c r="D1436" s="5"/>
      <c r="E1436" s="5"/>
      <c r="F1436" s="5">
        <f>IF(Tabela3[[#This Row],[Retorno_Diário]]&gt;0,1,-1)</f>
        <v>-1</v>
      </c>
      <c r="G1436" s="5">
        <f>Tabela3[[#This Row],[Sinal_TSMOM]]*(0.4*Tabela3[[#This Row],[Volatilidade]])</f>
        <v>0</v>
      </c>
      <c r="H1436" s="5">
        <f>Tabela3[[#This Row],[Position_Size]]*Tabela3[[#This Row],[Retorno_Diário]]</f>
        <v>0</v>
      </c>
    </row>
    <row r="1437" spans="1:8" x14ac:dyDescent="0.2">
      <c r="A1437" s="11" t="s">
        <v>9646</v>
      </c>
      <c r="B1437" s="4" t="s">
        <v>9648</v>
      </c>
      <c r="C1437" s="5">
        <f t="shared" si="26"/>
        <v>1.5033730090783237E-3</v>
      </c>
      <c r="D1437" s="5"/>
      <c r="E1437" s="5"/>
      <c r="F1437" s="5">
        <f>IF(Tabela3[[#This Row],[Retorno_Diário]]&gt;0,1,-1)</f>
        <v>1</v>
      </c>
      <c r="G1437" s="5">
        <f>Tabela3[[#This Row],[Sinal_TSMOM]]*(0.4*Tabela3[[#This Row],[Volatilidade]])</f>
        <v>0</v>
      </c>
      <c r="H1437" s="5">
        <f>Tabela3[[#This Row],[Position_Size]]*Tabela3[[#This Row],[Retorno_Diário]]</f>
        <v>0</v>
      </c>
    </row>
    <row r="1438" spans="1:8" x14ac:dyDescent="0.2">
      <c r="A1438" s="11" t="s">
        <v>9653</v>
      </c>
      <c r="B1438" s="4" t="s">
        <v>9655</v>
      </c>
      <c r="C1438" s="5">
        <f t="shared" si="26"/>
        <v>-1.0144182994411222E-2</v>
      </c>
      <c r="D1438" s="5"/>
      <c r="E1438" s="5"/>
      <c r="F1438" s="5">
        <f>IF(Tabela3[[#This Row],[Retorno_Diário]]&gt;0,1,-1)</f>
        <v>-1</v>
      </c>
      <c r="G1438" s="5">
        <f>Tabela3[[#This Row],[Sinal_TSMOM]]*(0.4*Tabela3[[#This Row],[Volatilidade]])</f>
        <v>0</v>
      </c>
      <c r="H1438" s="5">
        <f>Tabela3[[#This Row],[Position_Size]]*Tabela3[[#This Row],[Retorno_Diário]]</f>
        <v>0</v>
      </c>
    </row>
    <row r="1439" spans="1:8" x14ac:dyDescent="0.2">
      <c r="A1439" s="11" t="s">
        <v>9659</v>
      </c>
      <c r="B1439" s="4" t="s">
        <v>9661</v>
      </c>
      <c r="C1439" s="5">
        <f t="shared" si="26"/>
        <v>-2.9434789319933929E-2</v>
      </c>
      <c r="D1439" s="5"/>
      <c r="E1439" s="5"/>
      <c r="F1439" s="5">
        <f>IF(Tabela3[[#This Row],[Retorno_Diário]]&gt;0,1,-1)</f>
        <v>-1</v>
      </c>
      <c r="G1439" s="5">
        <f>Tabela3[[#This Row],[Sinal_TSMOM]]*(0.4*Tabela3[[#This Row],[Volatilidade]])</f>
        <v>0</v>
      </c>
      <c r="H1439" s="5">
        <f>Tabela3[[#This Row],[Position_Size]]*Tabela3[[#This Row],[Retorno_Diário]]</f>
        <v>0</v>
      </c>
    </row>
    <row r="1440" spans="1:8" x14ac:dyDescent="0.2">
      <c r="A1440" s="11" t="s">
        <v>9666</v>
      </c>
      <c r="B1440" s="4" t="s">
        <v>9668</v>
      </c>
      <c r="C1440" s="5">
        <f t="shared" si="26"/>
        <v>-2.8930613129588889E-2</v>
      </c>
      <c r="D1440" s="5"/>
      <c r="E1440" s="5"/>
      <c r="F1440" s="5">
        <f>IF(Tabela3[[#This Row],[Retorno_Diário]]&gt;0,1,-1)</f>
        <v>-1</v>
      </c>
      <c r="G1440" s="5">
        <f>Tabela3[[#This Row],[Sinal_TSMOM]]*(0.4*Tabela3[[#This Row],[Volatilidade]])</f>
        <v>0</v>
      </c>
      <c r="H1440" s="5">
        <f>Tabela3[[#This Row],[Position_Size]]*Tabela3[[#This Row],[Retorno_Diário]]</f>
        <v>0</v>
      </c>
    </row>
    <row r="1441" spans="1:8" x14ac:dyDescent="0.2">
      <c r="A1441" s="11" t="s">
        <v>9673</v>
      </c>
      <c r="B1441" s="4" t="s">
        <v>9675</v>
      </c>
      <c r="C1441" s="5">
        <f t="shared" si="26"/>
        <v>1.4457477242204586E-2</v>
      </c>
      <c r="D1441" s="5"/>
      <c r="E1441" s="5"/>
      <c r="F1441" s="5">
        <f>IF(Tabela3[[#This Row],[Retorno_Diário]]&gt;0,1,-1)</f>
        <v>1</v>
      </c>
      <c r="G1441" s="5">
        <f>Tabela3[[#This Row],[Sinal_TSMOM]]*(0.4*Tabela3[[#This Row],[Volatilidade]])</f>
        <v>0</v>
      </c>
      <c r="H1441" s="5">
        <f>Tabela3[[#This Row],[Position_Size]]*Tabela3[[#This Row],[Retorno_Diário]]</f>
        <v>0</v>
      </c>
    </row>
    <row r="1442" spans="1:8" x14ac:dyDescent="0.2">
      <c r="A1442" s="11" t="s">
        <v>9680</v>
      </c>
      <c r="B1442" s="4" t="s">
        <v>9682</v>
      </c>
      <c r="C1442" s="5">
        <f t="shared" si="26"/>
        <v>1.4707990933471748E-2</v>
      </c>
      <c r="D1442" s="5"/>
      <c r="E1442" s="5"/>
      <c r="F1442" s="5">
        <f>IF(Tabela3[[#This Row],[Retorno_Diário]]&gt;0,1,-1)</f>
        <v>1</v>
      </c>
      <c r="G1442" s="5">
        <f>Tabela3[[#This Row],[Sinal_TSMOM]]*(0.4*Tabela3[[#This Row],[Volatilidade]])</f>
        <v>0</v>
      </c>
      <c r="H1442" s="5">
        <f>Tabela3[[#This Row],[Position_Size]]*Tabela3[[#This Row],[Retorno_Diário]]</f>
        <v>0</v>
      </c>
    </row>
    <row r="1443" spans="1:8" x14ac:dyDescent="0.2">
      <c r="A1443" s="11" t="s">
        <v>9687</v>
      </c>
      <c r="B1443" s="4" t="s">
        <v>9689</v>
      </c>
      <c r="C1443" s="5">
        <f t="shared" si="26"/>
        <v>-7.3658477351959961E-3</v>
      </c>
      <c r="D1443" s="5"/>
      <c r="E1443" s="5"/>
      <c r="F1443" s="5">
        <f>IF(Tabela3[[#This Row],[Retorno_Diário]]&gt;0,1,-1)</f>
        <v>-1</v>
      </c>
      <c r="G1443" s="5">
        <f>Tabela3[[#This Row],[Sinal_TSMOM]]*(0.4*Tabela3[[#This Row],[Volatilidade]])</f>
        <v>0</v>
      </c>
      <c r="H1443" s="5">
        <f>Tabela3[[#This Row],[Position_Size]]*Tabela3[[#This Row],[Retorno_Diário]]</f>
        <v>0</v>
      </c>
    </row>
    <row r="1444" spans="1:8" x14ac:dyDescent="0.2">
      <c r="A1444" s="11" t="s">
        <v>9694</v>
      </c>
      <c r="B1444" s="4" t="s">
        <v>9696</v>
      </c>
      <c r="C1444" s="5">
        <f t="shared" si="26"/>
        <v>1.3290048337458948E-2</v>
      </c>
      <c r="D1444" s="5"/>
      <c r="E1444" s="5"/>
      <c r="F1444" s="5">
        <f>IF(Tabela3[[#This Row],[Retorno_Diário]]&gt;0,1,-1)</f>
        <v>1</v>
      </c>
      <c r="G1444" s="5">
        <f>Tabela3[[#This Row],[Sinal_TSMOM]]*(0.4*Tabela3[[#This Row],[Volatilidade]])</f>
        <v>0</v>
      </c>
      <c r="H1444" s="5">
        <f>Tabela3[[#This Row],[Position_Size]]*Tabela3[[#This Row],[Retorno_Diário]]</f>
        <v>0</v>
      </c>
    </row>
    <row r="1445" spans="1:8" x14ac:dyDescent="0.2">
      <c r="A1445" s="11" t="s">
        <v>9701</v>
      </c>
      <c r="B1445" s="4" t="s">
        <v>9703</v>
      </c>
      <c r="C1445" s="5">
        <f t="shared" si="26"/>
        <v>1.4622827049357356E-2</v>
      </c>
      <c r="D1445" s="5"/>
      <c r="E1445" s="5"/>
      <c r="F1445" s="5">
        <f>IF(Tabela3[[#This Row],[Retorno_Diário]]&gt;0,1,-1)</f>
        <v>1</v>
      </c>
      <c r="G1445" s="5">
        <f>Tabela3[[#This Row],[Sinal_TSMOM]]*(0.4*Tabela3[[#This Row],[Volatilidade]])</f>
        <v>0</v>
      </c>
      <c r="H1445" s="5">
        <f>Tabela3[[#This Row],[Position_Size]]*Tabela3[[#This Row],[Retorno_Diário]]</f>
        <v>0</v>
      </c>
    </row>
    <row r="1446" spans="1:8" x14ac:dyDescent="0.2">
      <c r="A1446" s="11" t="s">
        <v>9707</v>
      </c>
      <c r="B1446" s="4" t="s">
        <v>9709</v>
      </c>
      <c r="C1446" s="5">
        <f t="shared" si="26"/>
        <v>9.5151857952924246E-3</v>
      </c>
      <c r="D1446" s="5"/>
      <c r="E1446" s="5"/>
      <c r="F1446" s="5">
        <f>IF(Tabela3[[#This Row],[Retorno_Diário]]&gt;0,1,-1)</f>
        <v>1</v>
      </c>
      <c r="G1446" s="5">
        <f>Tabela3[[#This Row],[Sinal_TSMOM]]*(0.4*Tabela3[[#This Row],[Volatilidade]])</f>
        <v>0</v>
      </c>
      <c r="H1446" s="5">
        <f>Tabela3[[#This Row],[Position_Size]]*Tabela3[[#This Row],[Retorno_Diário]]</f>
        <v>0</v>
      </c>
    </row>
    <row r="1447" spans="1:8" x14ac:dyDescent="0.2">
      <c r="A1447" s="11" t="s">
        <v>9714</v>
      </c>
      <c r="B1447" s="4" t="s">
        <v>9716</v>
      </c>
      <c r="C1447" s="5">
        <f t="shared" si="26"/>
        <v>2.9494952294141008E-2</v>
      </c>
      <c r="D1447" s="5"/>
      <c r="E1447" s="5"/>
      <c r="F1447" s="5">
        <f>IF(Tabela3[[#This Row],[Retorno_Diário]]&gt;0,1,-1)</f>
        <v>1</v>
      </c>
      <c r="G1447" s="5">
        <f>Tabela3[[#This Row],[Sinal_TSMOM]]*(0.4*Tabela3[[#This Row],[Volatilidade]])</f>
        <v>0</v>
      </c>
      <c r="H1447" s="5">
        <f>Tabela3[[#This Row],[Position_Size]]*Tabela3[[#This Row],[Retorno_Diário]]</f>
        <v>0</v>
      </c>
    </row>
    <row r="1448" spans="1:8" x14ac:dyDescent="0.2">
      <c r="A1448" s="11" t="s">
        <v>9721</v>
      </c>
      <c r="B1448" s="4" t="s">
        <v>9723</v>
      </c>
      <c r="C1448" s="5">
        <f t="shared" si="26"/>
        <v>-2.8248027379409013E-2</v>
      </c>
      <c r="D1448" s="5"/>
      <c r="E1448" s="5"/>
      <c r="F1448" s="5">
        <f>IF(Tabela3[[#This Row],[Retorno_Diário]]&gt;0,1,-1)</f>
        <v>-1</v>
      </c>
      <c r="G1448" s="5">
        <f>Tabela3[[#This Row],[Sinal_TSMOM]]*(0.4*Tabela3[[#This Row],[Volatilidade]])</f>
        <v>0</v>
      </c>
      <c r="H1448" s="5">
        <f>Tabela3[[#This Row],[Position_Size]]*Tabela3[[#This Row],[Retorno_Diário]]</f>
        <v>0</v>
      </c>
    </row>
    <row r="1449" spans="1:8" x14ac:dyDescent="0.2">
      <c r="A1449" s="11" t="s">
        <v>9728</v>
      </c>
      <c r="B1449" s="4" t="s">
        <v>9730</v>
      </c>
      <c r="C1449" s="5">
        <f t="shared" si="26"/>
        <v>1.2041319387221749E-2</v>
      </c>
      <c r="D1449" s="5"/>
      <c r="E1449" s="5"/>
      <c r="F1449" s="5">
        <f>IF(Tabela3[[#This Row],[Retorno_Diário]]&gt;0,1,-1)</f>
        <v>1</v>
      </c>
      <c r="G1449" s="5">
        <f>Tabela3[[#This Row],[Sinal_TSMOM]]*(0.4*Tabela3[[#This Row],[Volatilidade]])</f>
        <v>0</v>
      </c>
      <c r="H1449" s="5">
        <f>Tabela3[[#This Row],[Position_Size]]*Tabela3[[#This Row],[Retorno_Diário]]</f>
        <v>0</v>
      </c>
    </row>
    <row r="1450" spans="1:8" x14ac:dyDescent="0.2">
      <c r="A1450" s="11" t="s">
        <v>9735</v>
      </c>
      <c r="B1450" s="4" t="s">
        <v>9737</v>
      </c>
      <c r="C1450" s="5">
        <f t="shared" si="26"/>
        <v>1.4690841573782309E-2</v>
      </c>
      <c r="D1450" s="5"/>
      <c r="E1450" s="5"/>
      <c r="F1450" s="5">
        <f>IF(Tabela3[[#This Row],[Retorno_Diário]]&gt;0,1,-1)</f>
        <v>1</v>
      </c>
      <c r="G1450" s="5">
        <f>Tabela3[[#This Row],[Sinal_TSMOM]]*(0.4*Tabela3[[#This Row],[Volatilidade]])</f>
        <v>0</v>
      </c>
      <c r="H1450" s="5">
        <f>Tabela3[[#This Row],[Position_Size]]*Tabela3[[#This Row],[Retorno_Diário]]</f>
        <v>0</v>
      </c>
    </row>
    <row r="1451" spans="1:8" x14ac:dyDescent="0.2">
      <c r="A1451" s="11" t="s">
        <v>9742</v>
      </c>
      <c r="B1451" s="4" t="s">
        <v>9744</v>
      </c>
      <c r="C1451" s="5">
        <f t="shared" si="26"/>
        <v>2.4033327042086272E-2</v>
      </c>
      <c r="D1451" s="5"/>
      <c r="E1451" s="5"/>
      <c r="F1451" s="5">
        <f>IF(Tabela3[[#This Row],[Retorno_Diário]]&gt;0,1,-1)</f>
        <v>1</v>
      </c>
      <c r="G1451" s="5">
        <f>Tabela3[[#This Row],[Sinal_TSMOM]]*(0.4*Tabela3[[#This Row],[Volatilidade]])</f>
        <v>0</v>
      </c>
      <c r="H1451" s="5">
        <f>Tabela3[[#This Row],[Position_Size]]*Tabela3[[#This Row],[Retorno_Diário]]</f>
        <v>0</v>
      </c>
    </row>
    <row r="1452" spans="1:8" x14ac:dyDescent="0.2">
      <c r="A1452" s="11" t="s">
        <v>9749</v>
      </c>
      <c r="B1452" s="4" t="s">
        <v>9751</v>
      </c>
      <c r="C1452" s="5">
        <f t="shared" si="26"/>
        <v>-1.0685770217553126E-2</v>
      </c>
      <c r="D1452" s="5"/>
      <c r="E1452" s="5"/>
      <c r="F1452" s="5">
        <f>IF(Tabela3[[#This Row],[Retorno_Diário]]&gt;0,1,-1)</f>
        <v>-1</v>
      </c>
      <c r="G1452" s="5">
        <f>Tabela3[[#This Row],[Sinal_TSMOM]]*(0.4*Tabela3[[#This Row],[Volatilidade]])</f>
        <v>0</v>
      </c>
      <c r="H1452" s="5">
        <f>Tabela3[[#This Row],[Position_Size]]*Tabela3[[#This Row],[Retorno_Diário]]</f>
        <v>0</v>
      </c>
    </row>
    <row r="1453" spans="1:8" x14ac:dyDescent="0.2">
      <c r="A1453" s="11" t="s">
        <v>9756</v>
      </c>
      <c r="B1453" s="4" t="s">
        <v>9758</v>
      </c>
      <c r="C1453" s="5">
        <f t="shared" si="26"/>
        <v>1.1596349693651975E-2</v>
      </c>
      <c r="D1453" s="5"/>
      <c r="E1453" s="5"/>
      <c r="F1453" s="5">
        <f>IF(Tabela3[[#This Row],[Retorno_Diário]]&gt;0,1,-1)</f>
        <v>1</v>
      </c>
      <c r="G1453" s="5">
        <f>Tabela3[[#This Row],[Sinal_TSMOM]]*(0.4*Tabela3[[#This Row],[Volatilidade]])</f>
        <v>0</v>
      </c>
      <c r="H1453" s="5">
        <f>Tabela3[[#This Row],[Position_Size]]*Tabela3[[#This Row],[Retorno_Diário]]</f>
        <v>0</v>
      </c>
    </row>
    <row r="1454" spans="1:8" x14ac:dyDescent="0.2">
      <c r="A1454" s="11" t="s">
        <v>9763</v>
      </c>
      <c r="B1454" s="4" t="s">
        <v>9765</v>
      </c>
      <c r="C1454" s="5">
        <f t="shared" si="26"/>
        <v>2.2009681924483493E-2</v>
      </c>
      <c r="D1454" s="5"/>
      <c r="E1454" s="5"/>
      <c r="F1454" s="5">
        <f>IF(Tabela3[[#This Row],[Retorno_Diário]]&gt;0,1,-1)</f>
        <v>1</v>
      </c>
      <c r="G1454" s="5">
        <f>Tabela3[[#This Row],[Sinal_TSMOM]]*(0.4*Tabela3[[#This Row],[Volatilidade]])</f>
        <v>0</v>
      </c>
      <c r="H1454" s="5">
        <f>Tabela3[[#This Row],[Position_Size]]*Tabela3[[#This Row],[Retorno_Diário]]</f>
        <v>0</v>
      </c>
    </row>
    <row r="1455" spans="1:8" x14ac:dyDescent="0.2">
      <c r="A1455" s="11" t="s">
        <v>9770</v>
      </c>
      <c r="B1455" s="4" t="s">
        <v>9772</v>
      </c>
      <c r="C1455" s="5">
        <f t="shared" si="26"/>
        <v>2.9697034501972031E-3</v>
      </c>
      <c r="D1455" s="5"/>
      <c r="E1455" s="5"/>
      <c r="F1455" s="5">
        <f>IF(Tabela3[[#This Row],[Retorno_Diário]]&gt;0,1,-1)</f>
        <v>1</v>
      </c>
      <c r="G1455" s="5">
        <f>Tabela3[[#This Row],[Sinal_TSMOM]]*(0.4*Tabela3[[#This Row],[Volatilidade]])</f>
        <v>0</v>
      </c>
      <c r="H1455" s="5">
        <f>Tabela3[[#This Row],[Position_Size]]*Tabela3[[#This Row],[Retorno_Diário]]</f>
        <v>0</v>
      </c>
    </row>
    <row r="1456" spans="1:8" x14ac:dyDescent="0.2">
      <c r="A1456" s="11" t="s">
        <v>9777</v>
      </c>
      <c r="B1456" s="4" t="s">
        <v>9779</v>
      </c>
      <c r="C1456" s="5">
        <f t="shared" si="26"/>
        <v>-3.1611485127597372E-2</v>
      </c>
      <c r="D1456" s="5"/>
      <c r="E1456" s="5"/>
      <c r="F1456" s="5">
        <f>IF(Tabela3[[#This Row],[Retorno_Diário]]&gt;0,1,-1)</f>
        <v>-1</v>
      </c>
      <c r="G1456" s="5">
        <f>Tabela3[[#This Row],[Sinal_TSMOM]]*(0.4*Tabela3[[#This Row],[Volatilidade]])</f>
        <v>0</v>
      </c>
      <c r="H1456" s="5">
        <f>Tabela3[[#This Row],[Position_Size]]*Tabela3[[#This Row],[Retorno_Diário]]</f>
        <v>0</v>
      </c>
    </row>
    <row r="1457" spans="1:8" x14ac:dyDescent="0.2">
      <c r="A1457" s="11" t="s">
        <v>9783</v>
      </c>
      <c r="B1457" s="4" t="s">
        <v>9785</v>
      </c>
      <c r="C1457" s="5">
        <f t="shared" si="26"/>
        <v>1.3946079188221105E-2</v>
      </c>
      <c r="D1457" s="5"/>
      <c r="E1457" s="5"/>
      <c r="F1457" s="5">
        <f>IF(Tabela3[[#This Row],[Retorno_Diário]]&gt;0,1,-1)</f>
        <v>1</v>
      </c>
      <c r="G1457" s="5">
        <f>Tabela3[[#This Row],[Sinal_TSMOM]]*(0.4*Tabela3[[#This Row],[Volatilidade]])</f>
        <v>0</v>
      </c>
      <c r="H1457" s="5">
        <f>Tabela3[[#This Row],[Position_Size]]*Tabela3[[#This Row],[Retorno_Diário]]</f>
        <v>0</v>
      </c>
    </row>
    <row r="1458" spans="1:8" x14ac:dyDescent="0.2">
      <c r="A1458" s="11" t="s">
        <v>9790</v>
      </c>
      <c r="B1458" s="4" t="s">
        <v>9792</v>
      </c>
      <c r="C1458" s="5">
        <f t="shared" si="26"/>
        <v>-4.6794694397198633E-2</v>
      </c>
      <c r="D1458" s="5"/>
      <c r="E1458" s="5"/>
      <c r="F1458" s="5">
        <f>IF(Tabela3[[#This Row],[Retorno_Diário]]&gt;0,1,-1)</f>
        <v>-1</v>
      </c>
      <c r="G1458" s="5">
        <f>Tabela3[[#This Row],[Sinal_TSMOM]]*(0.4*Tabela3[[#This Row],[Volatilidade]])</f>
        <v>0</v>
      </c>
      <c r="H1458" s="5">
        <f>Tabela3[[#This Row],[Position_Size]]*Tabela3[[#This Row],[Retorno_Diário]]</f>
        <v>0</v>
      </c>
    </row>
    <row r="1459" spans="1:8" x14ac:dyDescent="0.2">
      <c r="A1459" s="11" t="s">
        <v>9797</v>
      </c>
      <c r="B1459" s="4" t="s">
        <v>9799</v>
      </c>
      <c r="C1459" s="5">
        <f t="shared" si="26"/>
        <v>-3.9646788445612313E-2</v>
      </c>
      <c r="D1459" s="5"/>
      <c r="E1459" s="5"/>
      <c r="F1459" s="5">
        <f>IF(Tabela3[[#This Row],[Retorno_Diário]]&gt;0,1,-1)</f>
        <v>-1</v>
      </c>
      <c r="G1459" s="5">
        <f>Tabela3[[#This Row],[Sinal_TSMOM]]*(0.4*Tabela3[[#This Row],[Volatilidade]])</f>
        <v>0</v>
      </c>
      <c r="H1459" s="5">
        <f>Tabela3[[#This Row],[Position_Size]]*Tabela3[[#This Row],[Retorno_Diário]]</f>
        <v>0</v>
      </c>
    </row>
    <row r="1460" spans="1:8" x14ac:dyDescent="0.2">
      <c r="A1460" s="11" t="s">
        <v>9804</v>
      </c>
      <c r="B1460" s="4" t="s">
        <v>9806</v>
      </c>
      <c r="C1460" s="5">
        <f t="shared" si="26"/>
        <v>-2.2513368075088858E-3</v>
      </c>
      <c r="D1460" s="5"/>
      <c r="E1460" s="5"/>
      <c r="F1460" s="5">
        <f>IF(Tabela3[[#This Row],[Retorno_Diário]]&gt;0,1,-1)</f>
        <v>-1</v>
      </c>
      <c r="G1460" s="5">
        <f>Tabela3[[#This Row],[Sinal_TSMOM]]*(0.4*Tabela3[[#This Row],[Volatilidade]])</f>
        <v>0</v>
      </c>
      <c r="H1460" s="5">
        <f>Tabela3[[#This Row],[Position_Size]]*Tabela3[[#This Row],[Retorno_Diário]]</f>
        <v>0</v>
      </c>
    </row>
    <row r="1461" spans="1:8" x14ac:dyDescent="0.2">
      <c r="A1461" s="11" t="s">
        <v>9810</v>
      </c>
      <c r="B1461" s="4" t="s">
        <v>9812</v>
      </c>
      <c r="C1461" s="5">
        <f t="shared" si="26"/>
        <v>-1.6959233091938142E-2</v>
      </c>
      <c r="D1461" s="5"/>
      <c r="E1461" s="5"/>
      <c r="F1461" s="5">
        <f>IF(Tabela3[[#This Row],[Retorno_Diário]]&gt;0,1,-1)</f>
        <v>-1</v>
      </c>
      <c r="G1461" s="5">
        <f>Tabela3[[#This Row],[Sinal_TSMOM]]*(0.4*Tabela3[[#This Row],[Volatilidade]])</f>
        <v>0</v>
      </c>
      <c r="H1461" s="5">
        <f>Tabela3[[#This Row],[Position_Size]]*Tabela3[[#This Row],[Retorno_Diário]]</f>
        <v>0</v>
      </c>
    </row>
    <row r="1462" spans="1:8" x14ac:dyDescent="0.2">
      <c r="A1462" s="11" t="s">
        <v>9817</v>
      </c>
      <c r="B1462" s="4" t="s">
        <v>9819</v>
      </c>
      <c r="C1462" s="5">
        <f t="shared" si="26"/>
        <v>3.8369473426711931E-2</v>
      </c>
      <c r="D1462" s="5"/>
      <c r="E1462" s="5"/>
      <c r="F1462" s="5">
        <f>IF(Tabela3[[#This Row],[Retorno_Diário]]&gt;0,1,-1)</f>
        <v>1</v>
      </c>
      <c r="G1462" s="5">
        <f>Tabela3[[#This Row],[Sinal_TSMOM]]*(0.4*Tabela3[[#This Row],[Volatilidade]])</f>
        <v>0</v>
      </c>
      <c r="H1462" s="5">
        <f>Tabela3[[#This Row],[Position_Size]]*Tabela3[[#This Row],[Retorno_Diário]]</f>
        <v>0</v>
      </c>
    </row>
    <row r="1463" spans="1:8" x14ac:dyDescent="0.2">
      <c r="A1463" s="11" t="s">
        <v>9824</v>
      </c>
      <c r="B1463" s="4" t="s">
        <v>9826</v>
      </c>
      <c r="C1463" s="5">
        <f t="shared" si="26"/>
        <v>1.6009301914370111E-2</v>
      </c>
      <c r="D1463" s="5"/>
      <c r="E1463" s="5"/>
      <c r="F1463" s="5">
        <f>IF(Tabela3[[#This Row],[Retorno_Diário]]&gt;0,1,-1)</f>
        <v>1</v>
      </c>
      <c r="G1463" s="5">
        <f>Tabela3[[#This Row],[Sinal_TSMOM]]*(0.4*Tabela3[[#This Row],[Volatilidade]])</f>
        <v>0</v>
      </c>
      <c r="H1463" s="5">
        <f>Tabela3[[#This Row],[Position_Size]]*Tabela3[[#This Row],[Retorno_Diário]]</f>
        <v>0</v>
      </c>
    </row>
    <row r="1464" spans="1:8" x14ac:dyDescent="0.2">
      <c r="A1464" s="11" t="s">
        <v>9831</v>
      </c>
      <c r="B1464" s="4" t="s">
        <v>9833</v>
      </c>
      <c r="C1464" s="5">
        <f t="shared" si="26"/>
        <v>-4.3148637256723577E-2</v>
      </c>
      <c r="D1464" s="5"/>
      <c r="E1464" s="5"/>
      <c r="F1464" s="5">
        <f>IF(Tabela3[[#This Row],[Retorno_Diário]]&gt;0,1,-1)</f>
        <v>-1</v>
      </c>
      <c r="G1464" s="5">
        <f>Tabela3[[#This Row],[Sinal_TSMOM]]*(0.4*Tabela3[[#This Row],[Volatilidade]])</f>
        <v>0</v>
      </c>
      <c r="H1464" s="5">
        <f>Tabela3[[#This Row],[Position_Size]]*Tabela3[[#This Row],[Retorno_Diário]]</f>
        <v>0</v>
      </c>
    </row>
    <row r="1465" spans="1:8" x14ac:dyDescent="0.2">
      <c r="A1465" s="11" t="s">
        <v>9838</v>
      </c>
      <c r="B1465" s="4" t="s">
        <v>9840</v>
      </c>
      <c r="C1465" s="5">
        <f t="shared" si="26"/>
        <v>-3.4778217246459797E-2</v>
      </c>
      <c r="D1465" s="5"/>
      <c r="E1465" s="5"/>
      <c r="F1465" s="5">
        <f>IF(Tabela3[[#This Row],[Retorno_Diário]]&gt;0,1,-1)</f>
        <v>-1</v>
      </c>
      <c r="G1465" s="5">
        <f>Tabela3[[#This Row],[Sinal_TSMOM]]*(0.4*Tabela3[[#This Row],[Volatilidade]])</f>
        <v>0</v>
      </c>
      <c r="H1465" s="5">
        <f>Tabela3[[#This Row],[Position_Size]]*Tabela3[[#This Row],[Retorno_Diário]]</f>
        <v>0</v>
      </c>
    </row>
    <row r="1466" spans="1:8" x14ac:dyDescent="0.2">
      <c r="A1466" s="11" t="s">
        <v>9845</v>
      </c>
      <c r="B1466" s="4" t="s">
        <v>9145</v>
      </c>
      <c r="C1466" s="5">
        <f t="shared" si="26"/>
        <v>4.3148287818095543E-3</v>
      </c>
      <c r="D1466" s="5"/>
      <c r="E1466" s="5"/>
      <c r="F1466" s="5">
        <f>IF(Tabela3[[#This Row],[Retorno_Diário]]&gt;0,1,-1)</f>
        <v>1</v>
      </c>
      <c r="G1466" s="5">
        <f>Tabela3[[#This Row],[Sinal_TSMOM]]*(0.4*Tabela3[[#This Row],[Volatilidade]])</f>
        <v>0</v>
      </c>
      <c r="H1466" s="5">
        <f>Tabela3[[#This Row],[Position_Size]]*Tabela3[[#This Row],[Retorno_Diário]]</f>
        <v>0</v>
      </c>
    </row>
    <row r="1467" spans="1:8" x14ac:dyDescent="0.2">
      <c r="A1467" s="11" t="s">
        <v>9851</v>
      </c>
      <c r="B1467" s="4" t="s">
        <v>9853</v>
      </c>
      <c r="C1467" s="5">
        <f t="shared" si="26"/>
        <v>1.632097032335067E-2</v>
      </c>
      <c r="D1467" s="5"/>
      <c r="E1467" s="5"/>
      <c r="F1467" s="5">
        <f>IF(Tabela3[[#This Row],[Retorno_Diário]]&gt;0,1,-1)</f>
        <v>1</v>
      </c>
      <c r="G1467" s="5">
        <f>Tabela3[[#This Row],[Sinal_TSMOM]]*(0.4*Tabela3[[#This Row],[Volatilidade]])</f>
        <v>0</v>
      </c>
      <c r="H1467" s="5">
        <f>Tabela3[[#This Row],[Position_Size]]*Tabela3[[#This Row],[Retorno_Diário]]</f>
        <v>0</v>
      </c>
    </row>
    <row r="1468" spans="1:8" x14ac:dyDescent="0.2">
      <c r="A1468" s="11" t="s">
        <v>9858</v>
      </c>
      <c r="B1468" s="4" t="s">
        <v>9860</v>
      </c>
      <c r="C1468" s="5">
        <f t="shared" si="26"/>
        <v>-9.2563476420878255E-3</v>
      </c>
      <c r="D1468" s="5"/>
      <c r="E1468" s="5"/>
      <c r="F1468" s="5">
        <f>IF(Tabela3[[#This Row],[Retorno_Diário]]&gt;0,1,-1)</f>
        <v>-1</v>
      </c>
      <c r="G1468" s="5">
        <f>Tabela3[[#This Row],[Sinal_TSMOM]]*(0.4*Tabela3[[#This Row],[Volatilidade]])</f>
        <v>0</v>
      </c>
      <c r="H1468" s="5">
        <f>Tabela3[[#This Row],[Position_Size]]*Tabela3[[#This Row],[Retorno_Diário]]</f>
        <v>0</v>
      </c>
    </row>
    <row r="1469" spans="1:8" x14ac:dyDescent="0.2">
      <c r="A1469" s="11" t="s">
        <v>9865</v>
      </c>
      <c r="B1469" s="4" t="s">
        <v>9867</v>
      </c>
      <c r="C1469" s="5">
        <f t="shared" si="26"/>
        <v>3.7886268511292176E-2</v>
      </c>
      <c r="D1469" s="5"/>
      <c r="E1469" s="5"/>
      <c r="F1469" s="5">
        <f>IF(Tabela3[[#This Row],[Retorno_Diário]]&gt;0,1,-1)</f>
        <v>1</v>
      </c>
      <c r="G1469" s="5">
        <f>Tabela3[[#This Row],[Sinal_TSMOM]]*(0.4*Tabela3[[#This Row],[Volatilidade]])</f>
        <v>0</v>
      </c>
      <c r="H1469" s="5">
        <f>Tabela3[[#This Row],[Position_Size]]*Tabela3[[#This Row],[Retorno_Diário]]</f>
        <v>0</v>
      </c>
    </row>
    <row r="1470" spans="1:8" x14ac:dyDescent="0.2">
      <c r="A1470" s="11" t="s">
        <v>9872</v>
      </c>
      <c r="B1470" s="4" t="s">
        <v>9874</v>
      </c>
      <c r="C1470" s="5">
        <f t="shared" si="26"/>
        <v>2.7903124266296597E-2</v>
      </c>
      <c r="D1470" s="5"/>
      <c r="E1470" s="5"/>
      <c r="F1470" s="5">
        <f>IF(Tabela3[[#This Row],[Retorno_Diário]]&gt;0,1,-1)</f>
        <v>1</v>
      </c>
      <c r="G1470" s="5">
        <f>Tabela3[[#This Row],[Sinal_TSMOM]]*(0.4*Tabela3[[#This Row],[Volatilidade]])</f>
        <v>0</v>
      </c>
      <c r="H1470" s="5">
        <f>Tabela3[[#This Row],[Position_Size]]*Tabela3[[#This Row],[Retorno_Diário]]</f>
        <v>0</v>
      </c>
    </row>
    <row r="1471" spans="1:8" x14ac:dyDescent="0.2">
      <c r="A1471" s="11" t="s">
        <v>9879</v>
      </c>
      <c r="B1471" s="4" t="s">
        <v>9881</v>
      </c>
      <c r="C1471" s="5">
        <f t="shared" si="26"/>
        <v>3.4455029914061797E-2</v>
      </c>
      <c r="D1471" s="5"/>
      <c r="E1471" s="5"/>
      <c r="F1471" s="5">
        <f>IF(Tabela3[[#This Row],[Retorno_Diário]]&gt;0,1,-1)</f>
        <v>1</v>
      </c>
      <c r="G1471" s="5">
        <f>Tabela3[[#This Row],[Sinal_TSMOM]]*(0.4*Tabela3[[#This Row],[Volatilidade]])</f>
        <v>0</v>
      </c>
      <c r="H1471" s="5">
        <f>Tabela3[[#This Row],[Position_Size]]*Tabela3[[#This Row],[Retorno_Diário]]</f>
        <v>0</v>
      </c>
    </row>
    <row r="1472" spans="1:8" x14ac:dyDescent="0.2">
      <c r="A1472" s="11" t="s">
        <v>9886</v>
      </c>
      <c r="B1472" s="4" t="s">
        <v>9888</v>
      </c>
      <c r="C1472" s="5">
        <f t="shared" si="26"/>
        <v>1.6575899674776906E-2</v>
      </c>
      <c r="D1472" s="5"/>
      <c r="E1472" s="5"/>
      <c r="F1472" s="5">
        <f>IF(Tabela3[[#This Row],[Retorno_Diário]]&gt;0,1,-1)</f>
        <v>1</v>
      </c>
      <c r="G1472" s="5">
        <f>Tabela3[[#This Row],[Sinal_TSMOM]]*(0.4*Tabela3[[#This Row],[Volatilidade]])</f>
        <v>0</v>
      </c>
      <c r="H1472" s="5">
        <f>Tabela3[[#This Row],[Position_Size]]*Tabela3[[#This Row],[Retorno_Diário]]</f>
        <v>0</v>
      </c>
    </row>
    <row r="1473" spans="1:8" x14ac:dyDescent="0.2">
      <c r="A1473" s="11" t="s">
        <v>9893</v>
      </c>
      <c r="B1473" s="4" t="s">
        <v>9895</v>
      </c>
      <c r="C1473" s="5">
        <f t="shared" si="26"/>
        <v>4.45897101310333E-3</v>
      </c>
      <c r="D1473" s="5"/>
      <c r="E1473" s="5"/>
      <c r="F1473" s="5">
        <f>IF(Tabela3[[#This Row],[Retorno_Diário]]&gt;0,1,-1)</f>
        <v>1</v>
      </c>
      <c r="G1473" s="5">
        <f>Tabela3[[#This Row],[Sinal_TSMOM]]*(0.4*Tabela3[[#This Row],[Volatilidade]])</f>
        <v>0</v>
      </c>
      <c r="H1473" s="5">
        <f>Tabela3[[#This Row],[Position_Size]]*Tabela3[[#This Row],[Retorno_Diário]]</f>
        <v>0</v>
      </c>
    </row>
    <row r="1474" spans="1:8" x14ac:dyDescent="0.2">
      <c r="A1474" s="11" t="s">
        <v>9900</v>
      </c>
      <c r="B1474" s="4" t="s">
        <v>9902</v>
      </c>
      <c r="C1474" s="5">
        <f t="shared" si="26"/>
        <v>1.3469686792241697E-2</v>
      </c>
      <c r="D1474" s="5"/>
      <c r="E1474" s="5"/>
      <c r="F1474" s="5">
        <f>IF(Tabela3[[#This Row],[Retorno_Diário]]&gt;0,1,-1)</f>
        <v>1</v>
      </c>
      <c r="G1474" s="5">
        <f>Tabela3[[#This Row],[Sinal_TSMOM]]*(0.4*Tabela3[[#This Row],[Volatilidade]])</f>
        <v>0</v>
      </c>
      <c r="H1474" s="5">
        <f>Tabela3[[#This Row],[Position_Size]]*Tabela3[[#This Row],[Retorno_Diário]]</f>
        <v>0</v>
      </c>
    </row>
    <row r="1475" spans="1:8" x14ac:dyDescent="0.2">
      <c r="A1475" s="11" t="s">
        <v>9907</v>
      </c>
      <c r="B1475" s="4" t="s">
        <v>9909</v>
      </c>
      <c r="C1475" s="5">
        <f t="shared" ref="C1475:C1508" si="27">B1475/B1474-1</f>
        <v>8.0731618518818937E-3</v>
      </c>
      <c r="D1475" s="5"/>
      <c r="E1475" s="5"/>
      <c r="F1475" s="5">
        <f>IF(Tabela3[[#This Row],[Retorno_Diário]]&gt;0,1,-1)</f>
        <v>1</v>
      </c>
      <c r="G1475" s="5">
        <f>Tabela3[[#This Row],[Sinal_TSMOM]]*(0.4*Tabela3[[#This Row],[Volatilidade]])</f>
        <v>0</v>
      </c>
      <c r="H1475" s="5">
        <f>Tabela3[[#This Row],[Position_Size]]*Tabela3[[#This Row],[Retorno_Diário]]</f>
        <v>0</v>
      </c>
    </row>
    <row r="1476" spans="1:8" x14ac:dyDescent="0.2">
      <c r="A1476" s="11" t="s">
        <v>9913</v>
      </c>
      <c r="B1476" s="4" t="s">
        <v>9915</v>
      </c>
      <c r="C1476" s="5">
        <f t="shared" si="27"/>
        <v>2.9499431289178313E-2</v>
      </c>
      <c r="D1476" s="5"/>
      <c r="E1476" s="5"/>
      <c r="F1476" s="5">
        <f>IF(Tabela3[[#This Row],[Retorno_Diário]]&gt;0,1,-1)</f>
        <v>1</v>
      </c>
      <c r="G1476" s="5">
        <f>Tabela3[[#This Row],[Sinal_TSMOM]]*(0.4*Tabela3[[#This Row],[Volatilidade]])</f>
        <v>0</v>
      </c>
      <c r="H1476" s="5">
        <f>Tabela3[[#This Row],[Position_Size]]*Tabela3[[#This Row],[Retorno_Diário]]</f>
        <v>0</v>
      </c>
    </row>
    <row r="1477" spans="1:8" x14ac:dyDescent="0.2">
      <c r="A1477" s="11" t="s">
        <v>9920</v>
      </c>
      <c r="B1477" s="4" t="s">
        <v>9922</v>
      </c>
      <c r="C1477" s="5">
        <f t="shared" si="27"/>
        <v>5.8963453565814561E-3</v>
      </c>
      <c r="D1477" s="5"/>
      <c r="E1477" s="5"/>
      <c r="F1477" s="5">
        <f>IF(Tabela3[[#This Row],[Retorno_Diário]]&gt;0,1,-1)</f>
        <v>1</v>
      </c>
      <c r="G1477" s="5">
        <f>Tabela3[[#This Row],[Sinal_TSMOM]]*(0.4*Tabela3[[#This Row],[Volatilidade]])</f>
        <v>0</v>
      </c>
      <c r="H1477" s="5">
        <f>Tabela3[[#This Row],[Position_Size]]*Tabela3[[#This Row],[Retorno_Diário]]</f>
        <v>0</v>
      </c>
    </row>
    <row r="1478" spans="1:8" x14ac:dyDescent="0.2">
      <c r="A1478" s="11" t="s">
        <v>9927</v>
      </c>
      <c r="B1478" s="4" t="s">
        <v>9929</v>
      </c>
      <c r="C1478" s="5">
        <f t="shared" si="27"/>
        <v>2.1308089692620102E-2</v>
      </c>
      <c r="D1478" s="5"/>
      <c r="E1478" s="5"/>
      <c r="F1478" s="5">
        <f>IF(Tabela3[[#This Row],[Retorno_Diário]]&gt;0,1,-1)</f>
        <v>1</v>
      </c>
      <c r="G1478" s="5">
        <f>Tabela3[[#This Row],[Sinal_TSMOM]]*(0.4*Tabela3[[#This Row],[Volatilidade]])</f>
        <v>0</v>
      </c>
      <c r="H1478" s="5">
        <f>Tabela3[[#This Row],[Position_Size]]*Tabela3[[#This Row],[Retorno_Diário]]</f>
        <v>0</v>
      </c>
    </row>
    <row r="1479" spans="1:8" x14ac:dyDescent="0.2">
      <c r="A1479" s="11" t="s">
        <v>9934</v>
      </c>
      <c r="B1479" s="4" t="s">
        <v>9936</v>
      </c>
      <c r="C1479" s="5">
        <f t="shared" si="27"/>
        <v>-1.5466363965582541E-2</v>
      </c>
      <c r="D1479" s="5"/>
      <c r="E1479" s="5"/>
      <c r="F1479" s="5">
        <f>IF(Tabela3[[#This Row],[Retorno_Diário]]&gt;0,1,-1)</f>
        <v>-1</v>
      </c>
      <c r="G1479" s="5">
        <f>Tabela3[[#This Row],[Sinal_TSMOM]]*(0.4*Tabela3[[#This Row],[Volatilidade]])</f>
        <v>0</v>
      </c>
      <c r="H1479" s="5">
        <f>Tabela3[[#This Row],[Position_Size]]*Tabela3[[#This Row],[Retorno_Diário]]</f>
        <v>0</v>
      </c>
    </row>
    <row r="1480" spans="1:8" x14ac:dyDescent="0.2">
      <c r="A1480" s="11" t="s">
        <v>9941</v>
      </c>
      <c r="B1480" s="4" t="s">
        <v>9943</v>
      </c>
      <c r="C1480" s="5">
        <f t="shared" si="27"/>
        <v>1.2109291606168471E-2</v>
      </c>
      <c r="D1480" s="5"/>
      <c r="E1480" s="5"/>
      <c r="F1480" s="5">
        <f>IF(Tabela3[[#This Row],[Retorno_Diário]]&gt;0,1,-1)</f>
        <v>1</v>
      </c>
      <c r="G1480" s="5">
        <f>Tabela3[[#This Row],[Sinal_TSMOM]]*(0.4*Tabela3[[#This Row],[Volatilidade]])</f>
        <v>0</v>
      </c>
      <c r="H1480" s="5">
        <f>Tabela3[[#This Row],[Position_Size]]*Tabela3[[#This Row],[Retorno_Diário]]</f>
        <v>0</v>
      </c>
    </row>
    <row r="1481" spans="1:8" x14ac:dyDescent="0.2">
      <c r="A1481" s="11" t="s">
        <v>9948</v>
      </c>
      <c r="B1481" s="4" t="s">
        <v>9950</v>
      </c>
      <c r="C1481" s="5">
        <f t="shared" si="27"/>
        <v>-3.6782378380509906E-3</v>
      </c>
      <c r="D1481" s="5"/>
      <c r="E1481" s="5"/>
      <c r="F1481" s="5">
        <f>IF(Tabela3[[#This Row],[Retorno_Diário]]&gt;0,1,-1)</f>
        <v>-1</v>
      </c>
      <c r="G1481" s="5">
        <f>Tabela3[[#This Row],[Sinal_TSMOM]]*(0.4*Tabela3[[#This Row],[Volatilidade]])</f>
        <v>0</v>
      </c>
      <c r="H1481" s="5">
        <f>Tabela3[[#This Row],[Position_Size]]*Tabela3[[#This Row],[Retorno_Diário]]</f>
        <v>0</v>
      </c>
    </row>
    <row r="1482" spans="1:8" x14ac:dyDescent="0.2">
      <c r="A1482" s="11" t="s">
        <v>9955</v>
      </c>
      <c r="B1482" s="4" t="s">
        <v>9957</v>
      </c>
      <c r="C1482" s="5">
        <f t="shared" si="27"/>
        <v>2.2536412298062247E-2</v>
      </c>
      <c r="D1482" s="5"/>
      <c r="E1482" s="5"/>
      <c r="F1482" s="5">
        <f>IF(Tabela3[[#This Row],[Retorno_Diário]]&gt;0,1,-1)</f>
        <v>1</v>
      </c>
      <c r="G1482" s="5">
        <f>Tabela3[[#This Row],[Sinal_TSMOM]]*(0.4*Tabela3[[#This Row],[Volatilidade]])</f>
        <v>0</v>
      </c>
      <c r="H1482" s="5">
        <f>Tabela3[[#This Row],[Position_Size]]*Tabela3[[#This Row],[Retorno_Diário]]</f>
        <v>0</v>
      </c>
    </row>
    <row r="1483" spans="1:8" x14ac:dyDescent="0.2">
      <c r="A1483" s="11" t="s">
        <v>9962</v>
      </c>
      <c r="B1483" s="4" t="s">
        <v>9964</v>
      </c>
      <c r="C1483" s="5">
        <f t="shared" si="27"/>
        <v>-9.2245461907251025E-3</v>
      </c>
      <c r="D1483" s="5"/>
      <c r="E1483" s="5"/>
      <c r="F1483" s="5">
        <f>IF(Tabela3[[#This Row],[Retorno_Diário]]&gt;0,1,-1)</f>
        <v>-1</v>
      </c>
      <c r="G1483" s="5">
        <f>Tabela3[[#This Row],[Sinal_TSMOM]]*(0.4*Tabela3[[#This Row],[Volatilidade]])</f>
        <v>0</v>
      </c>
      <c r="H1483" s="5">
        <f>Tabela3[[#This Row],[Position_Size]]*Tabela3[[#This Row],[Retorno_Diário]]</f>
        <v>0</v>
      </c>
    </row>
    <row r="1484" spans="1:8" x14ac:dyDescent="0.2">
      <c r="A1484" s="11" t="s">
        <v>9969</v>
      </c>
      <c r="B1484" s="4" t="s">
        <v>9971</v>
      </c>
      <c r="C1484" s="5">
        <f t="shared" si="27"/>
        <v>-2.4587550754172183E-2</v>
      </c>
      <c r="D1484" s="5"/>
      <c r="E1484" s="5"/>
      <c r="F1484" s="5">
        <f>IF(Tabela3[[#This Row],[Retorno_Diário]]&gt;0,1,-1)</f>
        <v>-1</v>
      </c>
      <c r="G1484" s="5">
        <f>Tabela3[[#This Row],[Sinal_TSMOM]]*(0.4*Tabela3[[#This Row],[Volatilidade]])</f>
        <v>0</v>
      </c>
      <c r="H1484" s="5">
        <f>Tabela3[[#This Row],[Position_Size]]*Tabela3[[#This Row],[Retorno_Diário]]</f>
        <v>0</v>
      </c>
    </row>
    <row r="1485" spans="1:8" x14ac:dyDescent="0.2">
      <c r="A1485" s="11" t="s">
        <v>9976</v>
      </c>
      <c r="B1485" s="4" t="s">
        <v>9978</v>
      </c>
      <c r="C1485" s="5">
        <f t="shared" si="27"/>
        <v>-1.9295480629853978E-2</v>
      </c>
      <c r="D1485" s="5"/>
      <c r="E1485" s="5"/>
      <c r="F1485" s="5">
        <f>IF(Tabela3[[#This Row],[Retorno_Diário]]&gt;0,1,-1)</f>
        <v>-1</v>
      </c>
      <c r="G1485" s="5">
        <f>Tabela3[[#This Row],[Sinal_TSMOM]]*(0.4*Tabela3[[#This Row],[Volatilidade]])</f>
        <v>0</v>
      </c>
      <c r="H1485" s="5">
        <f>Tabela3[[#This Row],[Position_Size]]*Tabela3[[#This Row],[Retorno_Diário]]</f>
        <v>0</v>
      </c>
    </row>
    <row r="1486" spans="1:8" x14ac:dyDescent="0.2">
      <c r="A1486" s="11" t="s">
        <v>9983</v>
      </c>
      <c r="B1486" s="4" t="s">
        <v>9985</v>
      </c>
      <c r="C1486" s="5">
        <f t="shared" si="27"/>
        <v>9.753842802791457E-3</v>
      </c>
      <c r="D1486" s="5"/>
      <c r="E1486" s="5"/>
      <c r="F1486" s="5">
        <f>IF(Tabela3[[#This Row],[Retorno_Diário]]&gt;0,1,-1)</f>
        <v>1</v>
      </c>
      <c r="G1486" s="5">
        <f>Tabela3[[#This Row],[Sinal_TSMOM]]*(0.4*Tabela3[[#This Row],[Volatilidade]])</f>
        <v>0</v>
      </c>
      <c r="H1486" s="5">
        <f>Tabela3[[#This Row],[Position_Size]]*Tabela3[[#This Row],[Retorno_Diário]]</f>
        <v>0</v>
      </c>
    </row>
    <row r="1487" spans="1:8" x14ac:dyDescent="0.2">
      <c r="A1487" s="11" t="s">
        <v>9990</v>
      </c>
      <c r="B1487" s="4" t="s">
        <v>9992</v>
      </c>
      <c r="C1487" s="5">
        <f t="shared" si="27"/>
        <v>-8.7268651645032724E-3</v>
      </c>
      <c r="D1487" s="5"/>
      <c r="E1487" s="5"/>
      <c r="F1487" s="5">
        <f>IF(Tabela3[[#This Row],[Retorno_Diário]]&gt;0,1,-1)</f>
        <v>-1</v>
      </c>
      <c r="G1487" s="5">
        <f>Tabela3[[#This Row],[Sinal_TSMOM]]*(0.4*Tabela3[[#This Row],[Volatilidade]])</f>
        <v>0</v>
      </c>
      <c r="H1487" s="5">
        <f>Tabela3[[#This Row],[Position_Size]]*Tabela3[[#This Row],[Retorno_Diário]]</f>
        <v>0</v>
      </c>
    </row>
    <row r="1488" spans="1:8" x14ac:dyDescent="0.2">
      <c r="A1488" s="11" t="s">
        <v>9997</v>
      </c>
      <c r="B1488" s="4" t="s">
        <v>9999</v>
      </c>
      <c r="C1488" s="5">
        <f t="shared" si="27"/>
        <v>6.6707147454188043E-3</v>
      </c>
      <c r="D1488" s="5"/>
      <c r="E1488" s="5"/>
      <c r="F1488" s="5">
        <f>IF(Tabela3[[#This Row],[Retorno_Diário]]&gt;0,1,-1)</f>
        <v>1</v>
      </c>
      <c r="G1488" s="5">
        <f>Tabela3[[#This Row],[Sinal_TSMOM]]*(0.4*Tabela3[[#This Row],[Volatilidade]])</f>
        <v>0</v>
      </c>
      <c r="H1488" s="5">
        <f>Tabela3[[#This Row],[Position_Size]]*Tabela3[[#This Row],[Retorno_Diário]]</f>
        <v>0</v>
      </c>
    </row>
    <row r="1489" spans="1:8" x14ac:dyDescent="0.2">
      <c r="A1489" s="11" t="s">
        <v>10003</v>
      </c>
      <c r="B1489" s="4" t="s">
        <v>10005</v>
      </c>
      <c r="C1489" s="5">
        <f t="shared" si="27"/>
        <v>-2.8458640408279501E-2</v>
      </c>
      <c r="D1489" s="5"/>
      <c r="E1489" s="5"/>
      <c r="F1489" s="5">
        <f>IF(Tabela3[[#This Row],[Retorno_Diário]]&gt;0,1,-1)</f>
        <v>-1</v>
      </c>
      <c r="G1489" s="5">
        <f>Tabela3[[#This Row],[Sinal_TSMOM]]*(0.4*Tabela3[[#This Row],[Volatilidade]])</f>
        <v>0</v>
      </c>
      <c r="H1489" s="5">
        <f>Tabela3[[#This Row],[Position_Size]]*Tabela3[[#This Row],[Retorno_Diário]]</f>
        <v>0</v>
      </c>
    </row>
    <row r="1490" spans="1:8" x14ac:dyDescent="0.2">
      <c r="A1490" s="11" t="s">
        <v>10010</v>
      </c>
      <c r="B1490" s="4" t="s">
        <v>10012</v>
      </c>
      <c r="C1490" s="5">
        <f t="shared" si="27"/>
        <v>-1.069289729794809E-4</v>
      </c>
      <c r="D1490" s="5"/>
      <c r="E1490" s="5"/>
      <c r="F1490" s="5">
        <f>IF(Tabela3[[#This Row],[Retorno_Diário]]&gt;0,1,-1)</f>
        <v>-1</v>
      </c>
      <c r="G1490" s="5">
        <f>Tabela3[[#This Row],[Sinal_TSMOM]]*(0.4*Tabela3[[#This Row],[Volatilidade]])</f>
        <v>0</v>
      </c>
      <c r="H1490" s="5">
        <f>Tabela3[[#This Row],[Position_Size]]*Tabela3[[#This Row],[Retorno_Diário]]</f>
        <v>0</v>
      </c>
    </row>
    <row r="1491" spans="1:8" x14ac:dyDescent="0.2">
      <c r="A1491" s="11" t="s">
        <v>10016</v>
      </c>
      <c r="B1491" s="4" t="s">
        <v>10018</v>
      </c>
      <c r="C1491" s="5">
        <f t="shared" si="27"/>
        <v>-2.6836332395911433E-2</v>
      </c>
      <c r="D1491" s="5"/>
      <c r="E1491" s="5"/>
      <c r="F1491" s="5">
        <f>IF(Tabela3[[#This Row],[Retorno_Diário]]&gt;0,1,-1)</f>
        <v>-1</v>
      </c>
      <c r="G1491" s="5">
        <f>Tabela3[[#This Row],[Sinal_TSMOM]]*(0.4*Tabela3[[#This Row],[Volatilidade]])</f>
        <v>0</v>
      </c>
      <c r="H1491" s="5">
        <f>Tabela3[[#This Row],[Position_Size]]*Tabela3[[#This Row],[Retorno_Diário]]</f>
        <v>0</v>
      </c>
    </row>
    <row r="1492" spans="1:8" x14ac:dyDescent="0.2">
      <c r="A1492" s="11" t="s">
        <v>10022</v>
      </c>
      <c r="B1492" s="4" t="s">
        <v>10024</v>
      </c>
      <c r="C1492" s="5">
        <f t="shared" si="27"/>
        <v>2.3203770808687185E-2</v>
      </c>
      <c r="D1492" s="5"/>
      <c r="E1492" s="5"/>
      <c r="F1492" s="5">
        <f>IF(Tabela3[[#This Row],[Retorno_Diário]]&gt;0,1,-1)</f>
        <v>1</v>
      </c>
      <c r="G1492" s="5">
        <f>Tabela3[[#This Row],[Sinal_TSMOM]]*(0.4*Tabela3[[#This Row],[Volatilidade]])</f>
        <v>0</v>
      </c>
      <c r="H1492" s="5">
        <f>Tabela3[[#This Row],[Position_Size]]*Tabela3[[#This Row],[Retorno_Diário]]</f>
        <v>0</v>
      </c>
    </row>
    <row r="1493" spans="1:8" x14ac:dyDescent="0.2">
      <c r="A1493" s="11" t="s">
        <v>10028</v>
      </c>
      <c r="B1493" s="4" t="s">
        <v>10030</v>
      </c>
      <c r="C1493" s="5">
        <f t="shared" si="27"/>
        <v>-2.2827889379518962E-2</v>
      </c>
      <c r="D1493" s="5"/>
      <c r="E1493" s="5"/>
      <c r="F1493" s="5">
        <f>IF(Tabela3[[#This Row],[Retorno_Diário]]&gt;0,1,-1)</f>
        <v>-1</v>
      </c>
      <c r="G1493" s="5">
        <f>Tabela3[[#This Row],[Sinal_TSMOM]]*(0.4*Tabela3[[#This Row],[Volatilidade]])</f>
        <v>0</v>
      </c>
      <c r="H1493" s="5">
        <f>Tabela3[[#This Row],[Position_Size]]*Tabela3[[#This Row],[Retorno_Diário]]</f>
        <v>0</v>
      </c>
    </row>
    <row r="1494" spans="1:8" x14ac:dyDescent="0.2">
      <c r="A1494" s="11" t="s">
        <v>10035</v>
      </c>
      <c r="B1494" s="4" t="s">
        <v>10037</v>
      </c>
      <c r="C1494" s="5">
        <f t="shared" si="27"/>
        <v>2.4020446100706971E-2</v>
      </c>
      <c r="D1494" s="5"/>
      <c r="E1494" s="5"/>
      <c r="F1494" s="5">
        <f>IF(Tabela3[[#This Row],[Retorno_Diário]]&gt;0,1,-1)</f>
        <v>1</v>
      </c>
      <c r="G1494" s="5">
        <f>Tabela3[[#This Row],[Sinal_TSMOM]]*(0.4*Tabela3[[#This Row],[Volatilidade]])</f>
        <v>0</v>
      </c>
      <c r="H1494" s="5">
        <f>Tabela3[[#This Row],[Position_Size]]*Tabela3[[#This Row],[Retorno_Diário]]</f>
        <v>0</v>
      </c>
    </row>
    <row r="1495" spans="1:8" x14ac:dyDescent="0.2">
      <c r="A1495" s="11" t="s">
        <v>10042</v>
      </c>
      <c r="B1495" s="4" t="s">
        <v>10044</v>
      </c>
      <c r="C1495" s="5">
        <f t="shared" si="27"/>
        <v>1.9529569797841262E-2</v>
      </c>
      <c r="D1495" s="5"/>
      <c r="E1495" s="5"/>
      <c r="F1495" s="5">
        <f>IF(Tabela3[[#This Row],[Retorno_Diário]]&gt;0,1,-1)</f>
        <v>1</v>
      </c>
      <c r="G1495" s="5">
        <f>Tabela3[[#This Row],[Sinal_TSMOM]]*(0.4*Tabela3[[#This Row],[Volatilidade]])</f>
        <v>0</v>
      </c>
      <c r="H1495" s="5">
        <f>Tabela3[[#This Row],[Position_Size]]*Tabela3[[#This Row],[Retorno_Diário]]</f>
        <v>0</v>
      </c>
    </row>
    <row r="1496" spans="1:8" x14ac:dyDescent="0.2">
      <c r="A1496" s="11" t="s">
        <v>10049</v>
      </c>
      <c r="B1496" s="4" t="s">
        <v>10051</v>
      </c>
      <c r="C1496" s="5">
        <f t="shared" si="27"/>
        <v>-1.850295979102401E-2</v>
      </c>
      <c r="D1496" s="5"/>
      <c r="E1496" s="5"/>
      <c r="F1496" s="5">
        <f>IF(Tabela3[[#This Row],[Retorno_Diário]]&gt;0,1,-1)</f>
        <v>-1</v>
      </c>
      <c r="G1496" s="5">
        <f>Tabela3[[#This Row],[Sinal_TSMOM]]*(0.4*Tabela3[[#This Row],[Volatilidade]])</f>
        <v>0</v>
      </c>
      <c r="H1496" s="5">
        <f>Tabela3[[#This Row],[Position_Size]]*Tabela3[[#This Row],[Retorno_Diário]]</f>
        <v>0</v>
      </c>
    </row>
    <row r="1497" spans="1:8" x14ac:dyDescent="0.2">
      <c r="A1497" s="11" t="s">
        <v>10056</v>
      </c>
      <c r="B1497" s="4" t="s">
        <v>10058</v>
      </c>
      <c r="C1497" s="5">
        <f t="shared" si="27"/>
        <v>2.2090261399259736E-2</v>
      </c>
      <c r="D1497" s="5"/>
      <c r="E1497" s="5"/>
      <c r="F1497" s="5">
        <f>IF(Tabela3[[#This Row],[Retorno_Diário]]&gt;0,1,-1)</f>
        <v>1</v>
      </c>
      <c r="G1497" s="5">
        <f>Tabela3[[#This Row],[Sinal_TSMOM]]*(0.4*Tabela3[[#This Row],[Volatilidade]])</f>
        <v>0</v>
      </c>
      <c r="H1497" s="5">
        <f>Tabela3[[#This Row],[Position_Size]]*Tabela3[[#This Row],[Retorno_Diário]]</f>
        <v>0</v>
      </c>
    </row>
    <row r="1498" spans="1:8" x14ac:dyDescent="0.2">
      <c r="A1498" s="11" t="s">
        <v>10062</v>
      </c>
      <c r="B1498" s="4" t="s">
        <v>9340</v>
      </c>
      <c r="C1498" s="5">
        <f t="shared" si="27"/>
        <v>9.0437866910564324E-3</v>
      </c>
      <c r="D1498" s="5"/>
      <c r="E1498" s="5"/>
      <c r="F1498" s="5">
        <f>IF(Tabela3[[#This Row],[Retorno_Diário]]&gt;0,1,-1)</f>
        <v>1</v>
      </c>
      <c r="G1498" s="5">
        <f>Tabela3[[#This Row],[Sinal_TSMOM]]*(0.4*Tabela3[[#This Row],[Volatilidade]])</f>
        <v>0</v>
      </c>
      <c r="H1498" s="5">
        <f>Tabela3[[#This Row],[Position_Size]]*Tabela3[[#This Row],[Retorno_Diário]]</f>
        <v>0</v>
      </c>
    </row>
    <row r="1499" spans="1:8" x14ac:dyDescent="0.2">
      <c r="A1499" s="11" t="s">
        <v>10068</v>
      </c>
      <c r="B1499" s="4" t="s">
        <v>10070</v>
      </c>
      <c r="C1499" s="5">
        <f t="shared" si="27"/>
        <v>5.448286809251579E-3</v>
      </c>
      <c r="D1499" s="5"/>
      <c r="E1499" s="5"/>
      <c r="F1499" s="5">
        <f>IF(Tabela3[[#This Row],[Retorno_Diário]]&gt;0,1,-1)</f>
        <v>1</v>
      </c>
      <c r="G1499" s="5">
        <f>Tabela3[[#This Row],[Sinal_TSMOM]]*(0.4*Tabela3[[#This Row],[Volatilidade]])</f>
        <v>0</v>
      </c>
      <c r="H1499" s="5">
        <f>Tabela3[[#This Row],[Position_Size]]*Tabela3[[#This Row],[Retorno_Diário]]</f>
        <v>0</v>
      </c>
    </row>
    <row r="1500" spans="1:8" x14ac:dyDescent="0.2">
      <c r="A1500" s="11" t="s">
        <v>10075</v>
      </c>
      <c r="B1500" s="4" t="s">
        <v>10077</v>
      </c>
      <c r="C1500" s="5">
        <f t="shared" si="27"/>
        <v>1.1168581852519344E-2</v>
      </c>
      <c r="D1500" s="5"/>
      <c r="E1500" s="5"/>
      <c r="F1500" s="5">
        <f>IF(Tabela3[[#This Row],[Retorno_Diário]]&gt;0,1,-1)</f>
        <v>1</v>
      </c>
      <c r="G1500" s="5">
        <f>Tabela3[[#This Row],[Sinal_TSMOM]]*(0.4*Tabela3[[#This Row],[Volatilidade]])</f>
        <v>0</v>
      </c>
      <c r="H1500" s="5">
        <f>Tabela3[[#This Row],[Position_Size]]*Tabela3[[#This Row],[Retorno_Diário]]</f>
        <v>0</v>
      </c>
    </row>
    <row r="1501" spans="1:8" x14ac:dyDescent="0.2">
      <c r="A1501" s="11" t="s">
        <v>10082</v>
      </c>
      <c r="B1501" s="4" t="s">
        <v>10084</v>
      </c>
      <c r="C1501" s="5">
        <f t="shared" si="27"/>
        <v>2.4278999580219285E-2</v>
      </c>
      <c r="D1501" s="5"/>
      <c r="E1501" s="5"/>
      <c r="F1501" s="5">
        <f>IF(Tabela3[[#This Row],[Retorno_Diário]]&gt;0,1,-1)</f>
        <v>1</v>
      </c>
      <c r="G1501" s="5">
        <f>Tabela3[[#This Row],[Sinal_TSMOM]]*(0.4*Tabela3[[#This Row],[Volatilidade]])</f>
        <v>0</v>
      </c>
      <c r="H1501" s="5">
        <f>Tabela3[[#This Row],[Position_Size]]*Tabela3[[#This Row],[Retorno_Diário]]</f>
        <v>0</v>
      </c>
    </row>
    <row r="1502" spans="1:8" x14ac:dyDescent="0.2">
      <c r="A1502" s="11" t="s">
        <v>10089</v>
      </c>
      <c r="B1502" s="4" t="s">
        <v>10091</v>
      </c>
      <c r="C1502" s="5">
        <f t="shared" si="27"/>
        <v>-9.4454455323735864E-3</v>
      </c>
      <c r="D1502" s="5"/>
      <c r="E1502" s="5"/>
      <c r="F1502" s="5">
        <f>IF(Tabela3[[#This Row],[Retorno_Diário]]&gt;0,1,-1)</f>
        <v>-1</v>
      </c>
      <c r="G1502" s="5">
        <f>Tabela3[[#This Row],[Sinal_TSMOM]]*(0.4*Tabela3[[#This Row],[Volatilidade]])</f>
        <v>0</v>
      </c>
      <c r="H1502" s="5">
        <f>Tabela3[[#This Row],[Position_Size]]*Tabela3[[#This Row],[Retorno_Diário]]</f>
        <v>0</v>
      </c>
    </row>
    <row r="1503" spans="1:8" x14ac:dyDescent="0.2">
      <c r="A1503" s="11" t="s">
        <v>10096</v>
      </c>
      <c r="B1503" s="4" t="s">
        <v>10098</v>
      </c>
      <c r="C1503" s="5">
        <f t="shared" si="27"/>
        <v>-3.009837972264362E-2</v>
      </c>
      <c r="D1503" s="5"/>
      <c r="E1503" s="5"/>
      <c r="F1503" s="5">
        <f>IF(Tabela3[[#This Row],[Retorno_Diário]]&gt;0,1,-1)</f>
        <v>-1</v>
      </c>
      <c r="G1503" s="5">
        <f>Tabela3[[#This Row],[Sinal_TSMOM]]*(0.4*Tabela3[[#This Row],[Volatilidade]])</f>
        <v>0</v>
      </c>
      <c r="H1503" s="5">
        <f>Tabela3[[#This Row],[Position_Size]]*Tabela3[[#This Row],[Retorno_Diário]]</f>
        <v>0</v>
      </c>
    </row>
    <row r="1504" spans="1:8" x14ac:dyDescent="0.2">
      <c r="A1504" s="11" t="s">
        <v>10103</v>
      </c>
      <c r="B1504" s="4" t="s">
        <v>10105</v>
      </c>
      <c r="C1504" s="5">
        <f t="shared" si="27"/>
        <v>1.8270283642338958E-2</v>
      </c>
      <c r="D1504" s="5"/>
      <c r="E1504" s="5"/>
      <c r="F1504" s="5">
        <f>IF(Tabela3[[#This Row],[Retorno_Diário]]&gt;0,1,-1)</f>
        <v>1</v>
      </c>
      <c r="G1504" s="5">
        <f>Tabela3[[#This Row],[Sinal_TSMOM]]*(0.4*Tabela3[[#This Row],[Volatilidade]])</f>
        <v>0</v>
      </c>
      <c r="H1504" s="5">
        <f>Tabela3[[#This Row],[Position_Size]]*Tabela3[[#This Row],[Retorno_Diário]]</f>
        <v>0</v>
      </c>
    </row>
    <row r="1505" spans="1:8" x14ac:dyDescent="0.2">
      <c r="A1505" s="11" t="s">
        <v>10110</v>
      </c>
      <c r="B1505" s="4" t="s">
        <v>10112</v>
      </c>
      <c r="C1505" s="5">
        <f t="shared" si="27"/>
        <v>-3.2659694209098422E-3</v>
      </c>
      <c r="D1505" s="5"/>
      <c r="E1505" s="5"/>
      <c r="F1505" s="5">
        <f>IF(Tabela3[[#This Row],[Retorno_Diário]]&gt;0,1,-1)</f>
        <v>-1</v>
      </c>
      <c r="G1505" s="5">
        <f>Tabela3[[#This Row],[Sinal_TSMOM]]*(0.4*Tabela3[[#This Row],[Volatilidade]])</f>
        <v>0</v>
      </c>
      <c r="H1505" s="5">
        <f>Tabela3[[#This Row],[Position_Size]]*Tabela3[[#This Row],[Retorno_Diário]]</f>
        <v>0</v>
      </c>
    </row>
    <row r="1506" spans="1:8" x14ac:dyDescent="0.2">
      <c r="A1506" s="11" t="s">
        <v>10117</v>
      </c>
      <c r="B1506" s="4" t="s">
        <v>10119</v>
      </c>
      <c r="C1506" s="5">
        <f t="shared" si="27"/>
        <v>9.1951153127554086E-3</v>
      </c>
      <c r="D1506" s="5"/>
      <c r="E1506" s="5"/>
      <c r="F1506" s="5">
        <f>IF(Tabela3[[#This Row],[Retorno_Diário]]&gt;0,1,-1)</f>
        <v>1</v>
      </c>
      <c r="G1506" s="5">
        <f>Tabela3[[#This Row],[Sinal_TSMOM]]*(0.4*Tabela3[[#This Row],[Volatilidade]])</f>
        <v>0</v>
      </c>
      <c r="H1506" s="5">
        <f>Tabela3[[#This Row],[Position_Size]]*Tabela3[[#This Row],[Retorno_Diário]]</f>
        <v>0</v>
      </c>
    </row>
    <row r="1507" spans="1:8" x14ac:dyDescent="0.2">
      <c r="A1507" s="11" t="s">
        <v>10124</v>
      </c>
      <c r="B1507" s="4" t="s">
        <v>10126</v>
      </c>
      <c r="C1507" s="5">
        <f t="shared" si="27"/>
        <v>2.8003914479077796E-3</v>
      </c>
      <c r="D1507" s="5"/>
      <c r="E1507" s="5"/>
      <c r="F1507" s="5">
        <f>IF(Tabela3[[#This Row],[Retorno_Diário]]&gt;0,1,-1)</f>
        <v>1</v>
      </c>
      <c r="G1507" s="5">
        <f>Tabela3[[#This Row],[Sinal_TSMOM]]*(0.4*Tabela3[[#This Row],[Volatilidade]])</f>
        <v>0</v>
      </c>
      <c r="H1507" s="5">
        <f>Tabela3[[#This Row],[Position_Size]]*Tabela3[[#This Row],[Retorno_Diário]]</f>
        <v>0</v>
      </c>
    </row>
    <row r="1508" spans="1:8" x14ac:dyDescent="0.2">
      <c r="A1508" s="12" t="s">
        <v>10130</v>
      </c>
      <c r="B1508" s="13" t="s">
        <v>10132</v>
      </c>
      <c r="C1508" s="14">
        <f t="shared" si="27"/>
        <v>2.1247656196319298E-3</v>
      </c>
      <c r="D1508" s="14">
        <f>Tabela3[[#This Row],[Retorno_Diário]]/C1260-1</f>
        <v>-1.1038503297377531</v>
      </c>
      <c r="E1508" s="14">
        <f>_xlfn.STDEV.P(C1260:C1508)*SQRT(249)</f>
        <v>0.48138553277690438</v>
      </c>
      <c r="F1508" s="14">
        <f>IF(Tabela3[[#This Row],[Retorno_Diário]]&gt;0,1,-1)</f>
        <v>1</v>
      </c>
      <c r="G1508" s="14">
        <f>Tabela3[[#This Row],[Sinal_TSMOM]]*(0.4*Tabela3[[#This Row],[Volatilidade]])</f>
        <v>0.19255421311076176</v>
      </c>
      <c r="H1508" s="14">
        <f>Tabela3[[#This Row],[Position_Size]]*Tabela3[[#This Row],[Retorno_Diário]]</f>
        <v>4.0913257193302637E-4</v>
      </c>
    </row>
    <row r="1509" spans="1:8" x14ac:dyDescent="0.2">
      <c r="A1509" s="2"/>
      <c r="B1509" s="3"/>
    </row>
    <row r="1510" spans="1:8" x14ac:dyDescent="0.2">
      <c r="A1510" s="10"/>
      <c r="B1510" s="7"/>
      <c r="C1510" s="6"/>
      <c r="D1510" s="6"/>
      <c r="E1510" s="6"/>
      <c r="F1510" s="6"/>
      <c r="G1510" s="6"/>
      <c r="H1510" s="6"/>
    </row>
  </sheetData>
  <conditionalFormatting sqref="N6">
    <cfRule type="cellIs" dxfId="2" priority="3" operator="equal">
      <formula>1</formula>
    </cfRule>
  </conditionalFormatting>
  <conditionalFormatting sqref="N6:N11">
    <cfRule type="cellIs" dxfId="1" priority="2" operator="equal">
      <formula>-1</formula>
    </cfRule>
    <cfRule type="cellIs" dxfId="0" priority="1" operator="equal">
      <formula>1</formula>
    </cfRule>
  </conditionalFormatting>
  <dataValidations count="2">
    <dataValidation type="whole" operator="equal" allowBlank="1" showInputMessage="1" showErrorMessage="1" sqref="F252" xr:uid="{E4EA512A-D423-EB46-9AB3-8671A764FB8F}">
      <formula1>-1</formula1>
    </dataValidation>
    <dataValidation type="whole" operator="equal" allowBlank="1" showInputMessage="1" showErrorMessage="1" sqref="N6:N11" xr:uid="{597EC767-64ED-A045-811C-C0112E8E6A8D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2BF5-DD35-3047-954E-AE3CD84E23C6}">
  <dimension ref="A1:C7"/>
  <sheetViews>
    <sheetView workbookViewId="0">
      <selection activeCell="D7" sqref="D7"/>
    </sheetView>
  </sheetViews>
  <sheetFormatPr baseColWidth="10" defaultRowHeight="16" x14ac:dyDescent="0.2"/>
  <cols>
    <col min="2" max="2" width="22.33203125" customWidth="1"/>
  </cols>
  <sheetData>
    <row r="1" spans="1:3" x14ac:dyDescent="0.2">
      <c r="A1" s="8" t="s">
        <v>11444</v>
      </c>
      <c r="B1" s="8" t="s">
        <v>11445</v>
      </c>
      <c r="C1" s="8" t="s">
        <v>11446</v>
      </c>
    </row>
    <row r="2" spans="1:3" x14ac:dyDescent="0.2">
      <c r="A2" t="s">
        <v>11447</v>
      </c>
      <c r="B2" t="str">
        <f ca="1">B3/B2-1</f>
        <v/>
      </c>
      <c r="C2" t="s">
        <v>11448</v>
      </c>
    </row>
    <row r="3" spans="1:3" x14ac:dyDescent="0.2">
      <c r="A3" t="s">
        <v>11449</v>
      </c>
      <c r="B3" t="str">
        <f ca="1">IF(ROW()&gt;253,B3/OFFSET(B3,-252,0)-1,"")</f>
        <v/>
      </c>
      <c r="C3" t="s">
        <v>11450</v>
      </c>
    </row>
    <row r="4" spans="1:3" x14ac:dyDescent="0.2">
      <c r="A4" t="s">
        <v>11451</v>
      </c>
      <c r="B4" t="str">
        <f>IF(ROW()&gt;253,STDEV(C3:C254)*SQRT(252),"")</f>
        <v/>
      </c>
      <c r="C4" t="s">
        <v>11452</v>
      </c>
    </row>
    <row r="5" spans="1:3" x14ac:dyDescent="0.2">
      <c r="A5" t="s">
        <v>11453</v>
      </c>
      <c r="B5" t="str">
        <f>IF(D3="","",IF(D3&gt;0,1,-1))</f>
        <v/>
      </c>
      <c r="C5" t="s">
        <v>11454</v>
      </c>
    </row>
    <row r="6" spans="1:3" x14ac:dyDescent="0.2">
      <c r="A6" t="s">
        <v>11455</v>
      </c>
      <c r="B6" t="str">
        <f>IF(AND(F3&lt;&gt;"",E3&lt;&gt;""),F3*(0.4/E3),"")</f>
        <v/>
      </c>
      <c r="C6" t="s">
        <v>11456</v>
      </c>
    </row>
    <row r="7" spans="1:3" x14ac:dyDescent="0.2">
      <c r="A7" t="s">
        <v>11457</v>
      </c>
      <c r="B7" t="str">
        <f>IF(AND(G3&lt;&gt;"",C4&lt;&gt;""),G3*C4,"")</f>
        <v/>
      </c>
      <c r="C7" t="s">
        <v>11458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67371A-3685-BB41-89F8-472E540FE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NVIDIA_STOCK</vt:lpstr>
      <vt:lpstr>dados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Ismael Carvalho Teixeira</dc:creator>
  <cp:lastModifiedBy>Fernando Ismael Carvalho Teixeira</cp:lastModifiedBy>
  <dcterms:created xsi:type="dcterms:W3CDTF">2025-11-11T15:38:41Z</dcterms:created>
  <dcterms:modified xsi:type="dcterms:W3CDTF">2025-11-11T16:53:18Z</dcterms:modified>
</cp:coreProperties>
</file>